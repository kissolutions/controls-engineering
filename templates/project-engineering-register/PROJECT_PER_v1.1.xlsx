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" activeTab="9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PE DASHBOARD" sheetId="2" state="visible" r:id="rId2"/>
    <sheet xmlns:r="http://schemas.openxmlformats.org/officeDocument/2006/relationships" name="WP PROGRESS" sheetId="3" state="visible" r:id="rId3"/>
    <sheet xmlns:r="http://schemas.openxmlformats.org/officeDocument/2006/relationships" name="BLOCKED ITEMS REPORT" sheetId="4" state="visible" r:id="rId4"/>
    <sheet xmlns:r="http://schemas.openxmlformats.org/officeDocument/2006/relationships" name="SCOPES" sheetId="5" state="visible" r:id="rId5"/>
    <sheet xmlns:r="http://schemas.openxmlformats.org/officeDocument/2006/relationships" name="WORK PACKAGES" sheetId="6" state="visible" r:id="rId6"/>
    <sheet xmlns:r="http://schemas.openxmlformats.org/officeDocument/2006/relationships" name="RFI LEGACY" sheetId="7" state="hidden" r:id="rId7"/>
    <sheet xmlns:r="http://schemas.openxmlformats.org/officeDocument/2006/relationships" name="SYSTEM MODEL" sheetId="8" state="visible" r:id="rId8"/>
    <sheet xmlns:r="http://schemas.openxmlformats.org/officeDocument/2006/relationships" name="RFI REGISTER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PUNCH LIST" sheetId="11" state="visible" r:id="rId11"/>
    <sheet xmlns:r="http://schemas.openxmlformats.org/officeDocument/2006/relationships" name="REGISTRY GUIDE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CORDS" sheetId="14" state="visible" r:id="rId14"/>
    <sheet xmlns:r="http://schemas.openxmlformats.org/officeDocument/2006/relationships" name="LINKS" sheetId="15" state="visible" r:id="rId15"/>
    <sheet xmlns:r="http://schemas.openxmlformats.org/officeDocument/2006/relationships" name="CHANGE LOG" sheetId="16" state="visible" r:id="rId16"/>
    <sheet xmlns:r="http://schemas.openxmlformats.org/officeDocument/2006/relationships" name="BASELINES" sheetId="17" state="visible" r:id="rId17"/>
    <sheet xmlns:r="http://schemas.openxmlformats.org/officeDocument/2006/relationships" name="INTAKE QUEUE" sheetId="18" state="visible" r:id="rId18"/>
    <sheet xmlns:r="http://schemas.openxmlformats.org/officeDocument/2006/relationships" name="WP CHECKS" sheetId="19" state="visible" r:id="rId19"/>
    <sheet xmlns:r="http://schemas.openxmlformats.org/officeDocument/2006/relationships" name="WP FORMULA TESTS" sheetId="20" state="visible" r:id="rId20"/>
  </sheets>
  <definedNames>
    <definedName name="ValidWorkPackageNames">'WORK PACKAGES'!$D$2:$D$100</definedName>
    <definedName name="ValidWorkPackageIDs">'WORK PACKAGES'!$A$2:$A$100</definedName>
    <definedName name="_xlnm._FilterDatabase" localSheetId="0" hidden="1">'DASHBOARD'!$A$2:$U$51</definedName>
    <definedName name="_xlnm._FilterDatabase" localSheetId="1" hidden="1">'SCOPE DASHBOARD'!$A$4:$G$44</definedName>
    <definedName name="_xlnm._FilterDatabase" localSheetId="3" hidden="1">'BLOCKED ITEMS REPORT'!$A$4:$H$1007</definedName>
    <definedName name="_xlnm._FilterDatabase" localSheetId="4" hidden="1">'SCOPES'!$A$4:$R$60</definedName>
    <definedName name="_xlnm._FilterDatabase" localSheetId="6" hidden="1">'RFI LEGACY'!$B$2:$T$464</definedName>
    <definedName name="_xlnm.Print_Titles" localSheetId="6">'RFI LEGACY'!$2:$2</definedName>
    <definedName name="_xlnm.Print_Area" localSheetId="6">'RFI LEGACY'!$B$1:$N$22</definedName>
    <definedName name="_xlnm._FilterDatabase" localSheetId="7" hidden="1">'SYSTEM MODEL'!$A$4:$I$60</definedName>
    <definedName name="_xlnm._FilterDatabase" localSheetId="8" hidden="1">'RFI REGISTER'!$A$4:$R$250</definedName>
    <definedName name="_xlnm._FilterDatabase" localSheetId="9" hidden="1">'ISSUES'!$A$4:$Q$200</definedName>
    <definedName name="_xlnm._FilterDatabase" localSheetId="10" hidden="1">'PUNCH LIST'!$B$2:$W$464</definedName>
    <definedName name="_xlnm.Print_Titles" localSheetId="10">'PUNCH LIST'!$2:$2</definedName>
    <definedName name="_xlnm.Print_Area" localSheetId="10">'PUNCH LIST'!$B$1:$P$22</definedName>
    <definedName name="_xlnm._FilterDatabase" localSheetId="12" hidden="1">'SOURCES'!$A$4:$L$60</definedName>
    <definedName name="_xlnm._FilterDatabase" localSheetId="13" hidden="1">'RECORDS'!$A$4:$P$60</definedName>
    <definedName name="_xlnm._FilterDatabase" localSheetId="14" hidden="1">'LINKS'!$A$4:$J$2000</definedName>
    <definedName name="_xlnm._FilterDatabase" localSheetId="15" hidden="1">'CHANGE LOG'!$A$4:$K$60</definedName>
    <definedName name="_xlnm._FilterDatabase" localSheetId="16" hidden="1">'BASELINES'!$A$4:$K$60</definedName>
    <definedName name="_xlnm._FilterDatabase" localSheetId="17" hidden="1">'INTAKE QUEUE'!$A$4:$N$60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$-409]d\-mmm\-yy;@"/>
    <numFmt numFmtId="166" formatCode="yyyy\-mm\-dd"/>
  </numFmts>
  <fonts count="37">
    <font>
      <name val="Calibri"/>
      <charset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000000"/>
      <sz val="36"/>
    </font>
    <font>
      <name val="Calibri"/>
      <charset val="1"/>
      <family val="2"/>
      <color rgb="FF000000"/>
      <sz val="36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1"/>
    </font>
    <font>
      <name val="Aptos"/>
      <charset val="1"/>
      <b val="1"/>
      <color rgb="FFFFFFFF"/>
      <sz val="10"/>
    </font>
    <font>
      <name val="Aptos"/>
      <charset val="1"/>
      <b val="1"/>
      <color rgb="FF0000FF"/>
      <sz val="10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theme="1"/>
      <sz val="11"/>
    </font>
    <font>
      <name val="Aptos"/>
      <charset val="1"/>
      <color rgb="FF0000FF"/>
      <sz val="10"/>
    </font>
    <font>
      <name val="Aptos"/>
      <charset val="1"/>
      <color rgb="FF0000CC"/>
      <sz val="11"/>
    </font>
    <font>
      <name val="Calibri"/>
      <charset val="1"/>
      <family val="2"/>
      <b val="1"/>
      <color rgb="FF3F3F3F"/>
      <sz val="11"/>
    </font>
    <font>
      <name val="Calibri"/>
      <charset val="1"/>
      <family val="2"/>
      <color rgb="FF3F3F76"/>
      <sz val="11"/>
    </font>
    <font>
      <name val="Cambria"/>
      <charset val="1"/>
      <b val="1"/>
      <color rgb="FFFFFFFF"/>
      <sz val="11"/>
    </font>
    <font>
      <name val="Calibri"/>
      <charset val="1"/>
      <family val="2"/>
      <color theme="5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theme="5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b val="1"/>
      <color theme="5" tint="-0.249977111117893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Verdana"/>
      <charset val="1"/>
      <family val="2"/>
      <sz val="11"/>
    </font>
    <font>
      <name val="Verdana"/>
      <charset val="1"/>
      <family val="2"/>
      <sz val="10"/>
    </font>
    <font>
      <name val="Aptos"/>
      <charset val="1"/>
      <family val="2"/>
      <b val="1"/>
      <color rgb="FFFFFFFF"/>
      <sz val="15"/>
    </font>
    <font>
      <name val="Aptos"/>
      <charset val="1"/>
      <family val="2"/>
      <b val="1"/>
      <color rgb="FFFFFFFF"/>
      <sz val="10"/>
    </font>
    <font>
      <name val="Aptos"/>
      <charset val="1"/>
      <family val="2"/>
      <color rgb="FF516174"/>
      <sz val="10"/>
    </font>
    <font>
      <name val="Aptos"/>
      <charset val="1"/>
      <family val="2"/>
      <b val="1"/>
      <color rgb="FF155E75"/>
      <sz val="11"/>
    </font>
    <font>
      <name val="Aptos"/>
      <charset val="1"/>
      <family val="2"/>
      <color rgb="FF172332"/>
      <sz val="10"/>
    </font>
    <font>
      <name val="Aptos"/>
      <charset val="1"/>
      <family val="2"/>
      <color rgb="FF166534"/>
      <sz val="10"/>
    </font>
    <font>
      <name val="Aptos"/>
      <charset val="1"/>
      <family val="2"/>
      <color rgb="FF1D4ED8"/>
      <sz val="10"/>
    </font>
    <font>
      <name val="Calibri"/>
      <family val="2"/>
      <color rgb="FF000000"/>
      <sz val="11"/>
    </font>
    <font>
      <name val="Calibri"/>
      <b val="1"/>
      <sz val="13"/>
    </font>
    <font>
      <name val="Calibri"/>
      <b val="1"/>
      <sz val="11"/>
    </font>
    <font>
      <name val="Calibri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theme="4" tint="0.5998718222602009"/>
        <bgColor rgb="FFB2B2B2"/>
      </patternFill>
    </fill>
    <fill>
      <patternFill patternType="solid">
        <fgColor theme="0" tint="-0.1499984740745262"/>
        <bgColor rgb="FFD9E1F2"/>
      </patternFill>
    </fill>
    <fill>
      <patternFill patternType="solid">
        <fgColor rgb="FF223B55"/>
        <bgColor rgb="FF172E4B"/>
      </patternFill>
    </fill>
    <fill>
      <patternFill patternType="solid">
        <fgColor rgb="FFF2F2F2"/>
        <bgColor rgb="FFF0F5F8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0F5F8"/>
      </patternFill>
    </fill>
    <fill>
      <patternFill patternType="solid">
        <fgColor rgb="FFFFCC99"/>
        <bgColor rgb="FFD9D9D9"/>
      </patternFill>
    </fill>
    <fill>
      <patternFill patternType="solid">
        <fgColor rgb="FF244B69"/>
        <bgColor rgb="FF223B55"/>
      </patternFill>
    </fill>
    <fill>
      <patternFill patternType="solid">
        <fgColor rgb="FF002060"/>
        <bgColor rgb="FF172E4B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"/>
        <bgColor rgb="FFB2B2B2"/>
      </patternFill>
    </fill>
    <fill>
      <patternFill patternType="solid">
        <fgColor rgb="FFD9E1F2"/>
        <bgColor rgb="FFD9D9D9"/>
      </patternFill>
    </fill>
    <fill>
      <patternFill patternType="solid">
        <fgColor rgb="FF172E4B"/>
        <bgColor rgb="FF172332"/>
      </patternFill>
    </fill>
    <fill>
      <patternFill patternType="solid">
        <fgColor rgb="FF216175"/>
        <bgColor rgb="FF155E75"/>
      </patternFill>
    </fill>
    <fill>
      <patternFill patternType="solid">
        <fgColor rgb="FFE9EEF4"/>
        <bgColor rgb="FFF2F2F2"/>
      </patternFill>
    </fill>
    <fill>
      <patternFill patternType="solid">
        <fgColor rgb="FFF0F5F8"/>
        <bgColor rgb="FFF2F2F2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136">
    <xf numFmtId="0" fontId="0" fillId="0" borderId="0" pivotButton="0" quotePrefix="0" xfId="0"/>
    <xf numFmtId="0" fontId="28" fillId="17" borderId="0" pivotButton="0" quotePrefix="0" xfId="0"/>
    <xf numFmtId="0" fontId="27" fillId="15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 vertical="top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49" fontId="5" fillId="2" borderId="1" applyAlignment="1" pivotButton="0" quotePrefix="0" xfId="0">
      <alignment horizontal="center" vertical="center" wrapText="1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pivotButton="0" quotePrefix="0" xfId="0">
      <alignment horizontal="center" vertical="center" wrapText="1"/>
    </xf>
    <xf numFmtId="14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vertical="center" wrapText="1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right" vertical="center"/>
    </xf>
    <xf numFmtId="49" fontId="1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0" hidden="0"/>
    </xf>
    <xf numFmtId="9" fontId="9" fillId="5" borderId="3" applyAlignment="1" pivotButton="0" quotePrefix="0" xfId="0">
      <alignment horizontal="center" vertical="center"/>
    </xf>
    <xf numFmtId="9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9" fillId="5" borderId="3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top"/>
    </xf>
    <xf numFmtId="0" fontId="2" fillId="6" borderId="0" applyAlignment="1" pivotButton="0" quotePrefix="0" xfId="0">
      <alignment horizontal="left" vertical="top"/>
    </xf>
    <xf numFmtId="0" fontId="1" fillId="0" borderId="0" applyProtection="1" pivotButton="0" quotePrefix="0" xfId="0">
      <protection locked="0" hidden="0"/>
    </xf>
    <xf numFmtId="49" fontId="8" fillId="0" borderId="1" applyAlignment="1" pivotButton="0" quotePrefix="0" xfId="0">
      <alignment horizontal="right" vertical="center"/>
    </xf>
    <xf numFmtId="49" fontId="8" fillId="0" borderId="2" applyAlignment="1" pivotButton="0" quotePrefix="0" xfId="0">
      <alignment horizontal="right"/>
    </xf>
    <xf numFmtId="49" fontId="5" fillId="0" borderId="2" applyAlignment="1" pivotButton="0" quotePrefix="0" xfId="0">
      <alignment horizontal="center"/>
    </xf>
    <xf numFmtId="0" fontId="10" fillId="0" borderId="1" applyAlignment="1" applyProtection="1" pivotButton="0" quotePrefix="0" xfId="0">
      <alignment horizontal="center" vertical="center"/>
      <protection locked="0" hidden="0"/>
    </xf>
    <xf numFmtId="49" fontId="8" fillId="0" borderId="1" applyAlignment="1" pivotButton="0" quotePrefix="0" xfId="0">
      <alignment horizontal="right"/>
    </xf>
    <xf numFmtId="49" fontId="5" fillId="0" borderId="1" applyAlignment="1" pivotButton="0" quotePrefix="0" xfId="0">
      <alignment horizontal="center"/>
    </xf>
    <xf numFmtId="49" fontId="10" fillId="0" borderId="1" applyAlignment="1" pivotButton="0" quotePrefix="0" xfId="0">
      <alignment horizontal="center"/>
    </xf>
    <xf numFmtId="49" fontId="11" fillId="0" borderId="1" applyAlignment="1" pivotButton="0" quotePrefix="0" xfId="0">
      <alignment horizontal="right" vertical="center"/>
    </xf>
    <xf numFmtId="49" fontId="6" fillId="0" borderId="1" applyAlignment="1" pivotButton="0" quotePrefix="0" xfId="0">
      <alignment horizontal="center" vertical="center"/>
    </xf>
    <xf numFmtId="49" fontId="11" fillId="0" borderId="2" applyAlignment="1" pivotButton="0" quotePrefix="0" xfId="0">
      <alignment horizontal="right"/>
    </xf>
    <xf numFmtId="49" fontId="10" fillId="0" borderId="2" applyAlignment="1" pivotButton="0" quotePrefix="0" xfId="0">
      <alignment horizontal="center"/>
    </xf>
    <xf numFmtId="9" fontId="1" fillId="0" borderId="1" applyAlignment="1" applyProtection="1" pivotButton="0" quotePrefix="0" xfId="0">
      <alignment horizontal="center" vertical="center" wrapText="1"/>
      <protection locked="0" hidden="0"/>
    </xf>
    <xf numFmtId="49" fontId="10" fillId="7" borderId="2" applyAlignment="1" pivotButton="0" quotePrefix="0" xfId="0">
      <alignment horizontal="center"/>
    </xf>
    <xf numFmtId="0" fontId="10" fillId="7" borderId="1" applyAlignment="1" applyProtection="1" pivotButton="0" quotePrefix="0" xfId="0">
      <alignment horizontal="center" vertical="center"/>
      <protection locked="0" hidden="0"/>
    </xf>
    <xf numFmtId="9" fontId="1" fillId="0" borderId="1" applyAlignment="1" pivotButton="0" quotePrefix="0" xfId="0">
      <alignment horizontal="center" vertical="center"/>
    </xf>
    <xf numFmtId="9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49" fontId="11" fillId="7" borderId="2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5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vertical="center" wrapText="1"/>
    </xf>
    <xf numFmtId="0" fontId="20" fillId="10" borderId="2" applyAlignment="1" pivotButton="0" quotePrefix="0" xfId="0">
      <alignment horizontal="left" vertical="center" wrapText="1"/>
    </xf>
    <xf numFmtId="0" fontId="20" fillId="10" borderId="2" applyAlignment="1" pivotButton="0" quotePrefix="0" xfId="0">
      <alignment horizontal="center" vertical="center" wrapText="1"/>
    </xf>
    <xf numFmtId="14" fontId="20" fillId="10" borderId="2" applyAlignment="1" pivotButton="0" quotePrefix="0" xfId="0">
      <alignment horizontal="center" vertical="center" wrapText="1"/>
    </xf>
    <xf numFmtId="0" fontId="19" fillId="10" borderId="6" applyAlignment="1" pivotButton="0" quotePrefix="0" xfId="0">
      <alignment horizontal="center" vertical="center" wrapText="1"/>
    </xf>
    <xf numFmtId="0" fontId="21" fillId="10" borderId="6" applyAlignment="1" pivotButton="0" quotePrefix="0" xfId="0">
      <alignment horizontal="center" vertical="center" wrapText="1"/>
    </xf>
    <xf numFmtId="0" fontId="20" fillId="1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11" borderId="2" applyAlignment="1" pivotButton="0" quotePrefix="0" xfId="0">
      <alignment vertical="center" wrapText="1"/>
    </xf>
    <xf numFmtId="11" fontId="1" fillId="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14" fontId="0" fillId="11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1" fontId="0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vertical="center" wrapText="1"/>
    </xf>
    <xf numFmtId="0" fontId="23" fillId="0" borderId="2" applyAlignment="1" pivotButton="0" quotePrefix="0" xfId="0">
      <alignment horizontal="left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horizontal="left" vertical="center" wrapText="1"/>
    </xf>
    <xf numFmtId="0" fontId="1" fillId="12" borderId="2" applyAlignment="1" pivotButton="0" quotePrefix="0" xfId="0">
      <alignment horizontal="center" vertical="center" wrapText="1"/>
    </xf>
    <xf numFmtId="14" fontId="1" fillId="12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left" vertical="center" wrapText="1"/>
    </xf>
    <xf numFmtId="14" fontId="0" fillId="0" borderId="2" applyAlignment="1" pivotButton="0" quotePrefix="0" xfId="0">
      <alignment horizontal="left" vertical="center" wrapText="1"/>
    </xf>
    <xf numFmtId="165" fontId="24" fillId="0" borderId="2" applyAlignment="1" applyProtection="1" pivotButton="0" quotePrefix="0" xfId="0">
      <alignment horizontal="center" vertical="center" wrapText="1"/>
      <protection locked="0" hidden="0"/>
    </xf>
    <xf numFmtId="165" fontId="22" fillId="0" borderId="1" applyAlignment="1" applyProtection="1" pivotButton="0" quotePrefix="0" xfId="0">
      <alignment vertical="center" wrapText="1"/>
      <protection locked="0" hidden="0"/>
    </xf>
    <xf numFmtId="165" fontId="22" fillId="0" borderId="2" applyAlignment="1" applyProtection="1" pivotButton="0" quotePrefix="0" xfId="0">
      <alignment horizontal="center" vertical="center" wrapText="1"/>
      <protection locked="0" hidden="0"/>
    </xf>
    <xf numFmtId="165" fontId="25" fillId="0" borderId="2" applyAlignment="1" applyProtection="1" pivotButton="0" quotePrefix="0" xfId="0">
      <alignment horizontal="center" vertical="center" wrapText="1"/>
      <protection locked="0" hidden="0"/>
    </xf>
    <xf numFmtId="0" fontId="1" fillId="13" borderId="7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28" fillId="0" borderId="0" pivotButton="0" quotePrefix="0" xfId="0"/>
    <xf numFmtId="0" fontId="29" fillId="16" borderId="0" pivotButton="0" quotePrefix="0" xfId="0"/>
    <xf numFmtId="0" fontId="30" fillId="0" borderId="0" pivotButton="0" quotePrefix="0" xfId="0"/>
    <xf numFmtId="0" fontId="31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2" fillId="0" borderId="0" applyAlignment="1" pivotButton="0" quotePrefix="0" xfId="0">
      <alignment vertical="top" wrapText="1"/>
    </xf>
    <xf numFmtId="166" fontId="27" fillId="15" borderId="0" pivotButton="0" quotePrefix="0" xfId="0"/>
    <xf numFmtId="0" fontId="32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9" fontId="14" fillId="8" borderId="3" applyAlignment="1" applyProtection="1" pivotButton="0" quotePrefix="0" xfId="0">
      <alignment horizontal="left" vertical="center"/>
      <protection locked="0" hidden="0"/>
    </xf>
    <xf numFmtId="0" fontId="13" fillId="5" borderId="5" applyAlignment="1" pivotButton="0" quotePrefix="0" xfId="0">
      <alignment horizontal="left" vertical="center"/>
    </xf>
    <xf numFmtId="0" fontId="10" fillId="3" borderId="2" applyAlignment="1" applyProtection="1" pivotButton="0" quotePrefix="0" xfId="0">
      <alignment horizontal="center" vertical="center" wrapText="1"/>
      <protection locked="0" hidden="0"/>
    </xf>
    <xf numFmtId="0" fontId="33" fillId="0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7" fillId="15" borderId="0" applyAlignment="1" pivotButton="0" quotePrefix="0" xfId="0">
      <alignment wrapText="1"/>
    </xf>
    <xf numFmtId="0" fontId="33" fillId="0" borderId="0" applyAlignment="1" pivotButton="0" quotePrefix="0" xfId="0">
      <alignment wrapText="1"/>
    </xf>
    <xf numFmtId="9" fontId="0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applyAlignment="1" pivotButton="0" quotePrefix="0" xfId="0">
      <alignment wrapText="1"/>
    </xf>
    <xf numFmtId="0" fontId="28" fillId="17" borderId="0" pivotButton="0" quotePrefix="0" xfId="0"/>
    <xf numFmtId="0" fontId="0" fillId="0" borderId="0" pivotButton="0" quotePrefix="0" xfId="0"/>
    <xf numFmtId="0" fontId="26" fillId="14" borderId="0" pivotButton="0" quotePrefix="0" xfId="0"/>
    <xf numFmtId="0" fontId="26" fillId="1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8" fillId="17" borderId="0" applyAlignment="1" pivotButton="0" quotePrefix="0" xfId="0">
      <alignment wrapText="1"/>
    </xf>
    <xf numFmtId="0" fontId="27" fillId="15" borderId="0" pivotButton="0" quotePrefix="0" xfId="0"/>
  </cellXfs>
  <cellStyles count="3">
    <cellStyle name="Normal" xfId="0" builtinId="0"/>
    <cellStyle name="Normal 2" xfId="1"/>
    <cellStyle name="Percent 2" xfId="2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223B55"/>
      <rgbColor rgb="FF808000"/>
      <rgbColor rgb="FF800080"/>
      <rgbColor rgb="FF155E75"/>
      <rgbColor rgb="FFB2B2B2"/>
      <rgbColor rgb="FF7F7F7F"/>
      <rgbColor rgb="FF9999FF"/>
      <rgbColor rgb="FF993366"/>
      <rgbColor rgb="FFFFFFCC"/>
      <rgbColor rgb="FFE9EEF4"/>
      <rgbColor rgb="FF660066"/>
      <rgbColor rgb="FFED7D31"/>
      <rgbColor rgb="FF1D4ED8"/>
      <rgbColor rgb="FFB4C7E7"/>
      <rgbColor rgb="FF000080"/>
      <rgbColor rgb="FFFF00FF"/>
      <rgbColor rgb="FFFFFF00"/>
      <rgbColor rgb="FF00FFFF"/>
      <rgbColor rgb="FF800080"/>
      <rgbColor rgb="FF800000"/>
      <rgbColor rgb="FF216175"/>
      <rgbColor rgb="FF0000CC"/>
      <rgbColor rgb="FF00CCFF"/>
      <rgbColor rgb="FFF0F5F8"/>
      <rgbColor rgb="FFF2F2F2"/>
      <rgbColor rgb="FFD9D9D9"/>
      <rgbColor rgb="FFA9D18E"/>
      <rgbColor rgb="FFFF99CC"/>
      <rgbColor rgb="FFD9E1F2"/>
      <rgbColor rgb="FFFFCC99"/>
      <rgbColor rgb="FF244B69"/>
      <rgbColor rgb="FF33CCCC"/>
      <rgbColor rgb="FF99CC00"/>
      <rgbColor rgb="FFFFCC00"/>
      <rgbColor rgb="FFBF9000"/>
      <rgbColor rgb="FFFA7D00"/>
      <rgbColor rgb="FF516174"/>
      <rgbColor rgb="FF969696"/>
      <rgbColor rgb="FF002060"/>
      <rgbColor rgb="FF339966"/>
      <rgbColor rgb="FF172332"/>
      <rgbColor rgb="FF172E4B"/>
      <rgbColor rgb="FFC55A11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Unknown Author</author>
  </authors>
  <commentList>
    <comment ref="F2" authorId="0" shapeId="0">
      <text>
        <t>Choose a human-readable Work Package name from the validated list. Package Code displays the corresponding canonical WP ID.</t>
      </text>
    </comment>
    <comment ref="G2" authorId="0" shapeId="0">
      <text>
        <t>Displays the canonical Work Package ID corresponding to the selected Work Package name. The selector is a human-readable name, not an ID.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4" sqref="S4"/>
    </sheetView>
  </sheetViews>
  <sheetFormatPr baseColWidth="8" defaultColWidth="30" defaultRowHeight="15"/>
  <cols>
    <col width="17" customWidth="1" style="3" min="1" max="1"/>
    <col width="19" customWidth="1" style="4" min="2" max="2"/>
    <col width="7.5703125" customWidth="1" style="5" min="3" max="4"/>
    <col width="12.42578125" customWidth="1" style="6" min="5" max="6"/>
    <col width="12.5703125" customWidth="1" style="6" min="7" max="7"/>
    <col width="12.42578125" customWidth="1" style="6" min="8" max="9"/>
    <col width="10.140625" customWidth="1" style="7" min="10" max="10"/>
    <col width="11.5703125" customWidth="1" style="7" min="11" max="11"/>
    <col width="12.5703125" customWidth="1" style="7" min="12" max="12"/>
    <col width="12.42578125" customWidth="1" style="7" min="13" max="14"/>
    <col width="10.42578125" customWidth="1" style="7" min="15" max="15"/>
    <col width="8" customWidth="1" style="6" min="16" max="16"/>
    <col width="11.42578125" customWidth="1" style="8" min="17" max="17"/>
    <col width="15" customWidth="1" style="9" min="18" max="18"/>
    <col width="16" customWidth="1" style="9" min="19" max="19"/>
    <col width="48" customWidth="1" style="9" min="20" max="20"/>
    <col width="30" customWidth="1" style="9" min="21" max="21"/>
    <col width="30" customWidth="1" style="9" min="22" max="16384"/>
  </cols>
  <sheetData>
    <row r="1" ht="46.5" customFormat="1" customHeight="1" s="12">
      <c r="A1" s="10" t="inlineStr">
        <is>
          <t>PROJECT PROGRESS DASHBOARD</t>
        </is>
      </c>
      <c r="B1" s="10" t="n"/>
      <c r="C1" s="11" t="n"/>
      <c r="D1" s="11" t="n"/>
      <c r="E1" s="10" t="n"/>
      <c r="F1" s="10" t="n"/>
      <c r="G1" s="10" t="n"/>
      <c r="H1" s="10" t="n"/>
      <c r="I1" s="10" t="n"/>
      <c r="J1" s="11" t="n"/>
      <c r="K1" s="11" t="n"/>
      <c r="L1" s="11" t="n"/>
      <c r="M1" s="11" t="n"/>
      <c r="N1" s="11" t="n"/>
      <c r="O1" s="11" t="n"/>
      <c r="P1" s="10" t="n"/>
      <c r="Q1" s="10" t="n"/>
    </row>
    <row r="2" ht="45" customFormat="1" customHeight="1" s="20">
      <c r="A2" s="13" t="inlineStr">
        <is>
          <t>Work Package ID</t>
        </is>
      </c>
      <c r="B2" s="13" t="inlineStr">
        <is>
          <t>Package Code</t>
        </is>
      </c>
      <c r="C2" s="14" t="inlineStr">
        <is>
          <t>Priority
Level</t>
        </is>
      </c>
      <c r="D2" s="14" t="inlineStr">
        <is>
          <t>Critical Path?</t>
        </is>
      </c>
      <c r="E2" s="15" t="inlineStr">
        <is>
          <t>Eng Completion</t>
        </is>
      </c>
      <c r="F2" s="15" t="inlineStr">
        <is>
          <t>Program
Completion</t>
        </is>
      </c>
      <c r="G2" s="16" t="inlineStr">
        <is>
          <t>Conduit &amp; Wire Pulls</t>
        </is>
      </c>
      <c r="H2" s="15" t="inlineStr">
        <is>
          <t>Devices Installed</t>
        </is>
      </c>
      <c r="I2" s="15" t="inlineStr">
        <is>
          <t>PreComm
Completed</t>
        </is>
      </c>
      <c r="J2" s="14" t="inlineStr">
        <is>
          <t>BLOCKED -
Eng Info</t>
        </is>
      </c>
      <c r="K2" s="14" t="inlineStr">
        <is>
          <t>BLOCKED - Vendor Info</t>
        </is>
      </c>
      <c r="L2" s="14" t="inlineStr">
        <is>
          <t>BLOCKED - Cond &amp; Wire</t>
        </is>
      </c>
      <c r="M2" s="14" t="inlineStr">
        <is>
          <t>BLOCKED - Devices</t>
        </is>
      </c>
      <c r="N2" s="14" t="inlineStr">
        <is>
          <t>BLOCKED -
PreComm</t>
        </is>
      </c>
      <c r="O2" s="14" t="inlineStr">
        <is>
          <t>Active Change Orders?</t>
        </is>
      </c>
      <c r="P2" s="16" t="inlineStr">
        <is>
          <t>Internal Gates Complete?</t>
        </is>
      </c>
      <c r="Q2" s="17" t="inlineStr">
        <is>
          <t>Open
Punchlist
Items</t>
        </is>
      </c>
      <c r="R2" s="18" t="inlineStr">
        <is>
          <t>Open RFIs</t>
        </is>
      </c>
      <c r="S2" s="19" t="inlineStr">
        <is>
          <t>Open Issues</t>
        </is>
      </c>
      <c r="T2" s="20" t="inlineStr">
        <is>
          <t>Weekly Notes</t>
        </is>
      </c>
      <c r="U2" s="18" t="inlineStr">
        <is>
          <t>Engineering Scope / Scope of Work</t>
        </is>
      </c>
    </row>
    <row r="3" ht="23.25" customHeight="1" s="130">
      <c r="A3" s="21" t="n"/>
      <c r="B3" s="22">
        <f>IF($A3="","",IFERROR(IF(INDEX('WORK PACKAGES'!$B$2:$B$100,MATCH($A3,'WORK PACKAGES'!$A$2:$A$100,0))="","",INDEX('WORK PACKAGES'!$B$2:$B$100,MATCH($A3,'WORK PACKAGES'!$A$2:$A$100,0))),""))</f>
        <v/>
      </c>
      <c r="C3" s="23">
        <f>IF($A3="","",IFERROR(IF(INDEX('WORK PACKAGES'!$E$2:$E$100,MATCH($A3,'WORK PACKAGES'!$A$2:$A$100,0))="","",INDEX('WORK PACKAGES'!$E$2:$E$100,MATCH($A3,'WORK PACKAGES'!$A$2:$A$100,0))),""))</f>
        <v/>
      </c>
      <c r="D3" s="23" t="n"/>
      <c r="E3" s="24">
        <f>IF($A3="","",IFERROR(IF(INDEX('WP PROGRESS'!$F$2:$F$100,MATCH($A3,'WP PROGRESS'!$A$2:$A$100,0))="","",INDEX('WP PROGRESS'!$F$2:$F$100,MATCH($A3,'WP PROGRESS'!$A$2:$A$100,0))),""))</f>
        <v/>
      </c>
      <c r="F3" s="24">
        <f>IF($A3="","",IFERROR(IF(INDEX('WP PROGRESS'!$G$2:$G$100,MATCH($A3,'WP PROGRESS'!$A$2:$A$100,0))="","",INDEX('WP PROGRESS'!$G$2:$G$100,MATCH($A3,'WP PROGRESS'!$A$2:$A$100,0))),""))</f>
        <v/>
      </c>
      <c r="G3" s="24">
        <f>IF($A3="","",IFERROR(IF(INDEX('WP PROGRESS'!$H$2:$H$100,MATCH($A3,'WP PROGRESS'!$A$2:$A$100,0))="","",INDEX('WP PROGRESS'!$H$2:$H$100,MATCH($A3,'WP PROGRESS'!$A$2:$A$100,0))),""))</f>
        <v/>
      </c>
      <c r="H3" s="24">
        <f>IF($A3="","",IFERROR(IF(INDEX('WP PROGRESS'!$I$2:$I$100,MATCH($A3,'WP PROGRESS'!$A$2:$A$100,0))="","",INDEX('WP PROGRESS'!$I$2:$I$100,MATCH($A3,'WP PROGRESS'!$A$2:$A$100,0))),""))</f>
        <v/>
      </c>
      <c r="I3" s="24">
        <f>IF($A3="","",IFERROR(IF(INDEX('WP PROGRESS'!$K$2:$K$100,MATCH($A3,'WP PROGRESS'!$A$2:$A$100,0))="","",INDEX('WP PROGRESS'!$K$2:$K$100,MATCH($A3,'WP PROGRESS'!$A$2:$A$100,0))),""))</f>
        <v/>
      </c>
      <c r="J3" s="25" t="n"/>
      <c r="K3" s="25" t="n"/>
      <c r="L3" s="26" t="n"/>
      <c r="M3" s="25" t="n"/>
      <c r="N3" s="25" t="n"/>
      <c r="O3" s="25" t="n"/>
      <c r="P3" s="27">
        <f>IF($A3="","",IFERROR(IF(INDEX('WP PROGRESS'!$V$2:$V$100,MATCH($A3,'WP PROGRESS'!$A$2:$A$100,0))="","",INDEX('WP PROGRESS'!$V$2:$V$100,MATCH($A3,'WP PROGRESS'!$A$2:$A$100,0))),""))</f>
        <v/>
      </c>
      <c r="Q3" s="28">
        <f>IF($A3="","",IFERROR(IF(INDEX('WP PROGRESS'!$E$2:$E$100,MATCH($A3,'WP PROGRESS'!$A$2:$A$100,0))="","",INDEX('WP PROGRESS'!$E$2:$E$100,MATCH($A3,'WP PROGRESS'!$A$2:$A$100,0))),""))</f>
        <v/>
      </c>
      <c r="R3" s="29">
        <f>IF($A3="","",IFERROR(IF(INDEX('WP PROGRESS'!$Z$2:$Z$100,MATCH($A3,'WP PROGRESS'!$A$2:$A$100,0))="","",INDEX('WP PROGRESS'!$Z$2:$Z$100,MATCH($A3,'WP PROGRESS'!$A$2:$A$100,0))),""))</f>
        <v/>
      </c>
      <c r="S3" s="29">
        <f>IF($A3="","",COUNTIFS(ISSUES!$P$5:$P$200,"*"&amp;$A3&amp;"*",ISSUES!$H$5:$H$200,"&lt;&gt;Closed",ISSUES!$H$5:$H$200,"&lt;&gt;Resolved",ISSUES!$H$5:$H$200,"&lt;&gt;Cancelled",ISSUES!$H$5:$H$200,"&lt;&gt;",ISSUES!$A$5:$A$200,"&lt;&gt;"))</f>
        <v/>
      </c>
      <c r="T3" s="30" t="n"/>
      <c r="U3" s="29">
        <f>IF($A3="","",IFERROR(IF(INDEX('WORK PACKAGES'!$G$2:$G$100,MATCH($A3,'WORK PACKAGES'!$A$2:$A$100,0))="","",INDEX('WORK PACKAGES'!$G$2:$G$100,MATCH($A3,'WORK PACKAGES'!$A$2:$A$100,0))),""))</f>
        <v/>
      </c>
    </row>
    <row r="4" ht="23.25" customHeight="1" s="130">
      <c r="A4" s="31" t="n"/>
      <c r="B4" s="22">
        <f>IF($A4="","",IFERROR(IF(INDEX('WORK PACKAGES'!$B$2:$B$100,MATCH($A4,'WORK PACKAGES'!$A$2:$A$100,0))="","",INDEX('WORK PACKAGES'!$B$2:$B$100,MATCH($A4,'WORK PACKAGES'!$A$2:$A$100,0))),""))</f>
        <v/>
      </c>
      <c r="C4" s="23">
        <f>IF($A4="","",IFERROR(IF(INDEX('WORK PACKAGES'!$E$2:$E$100,MATCH($A4,'WORK PACKAGES'!$A$2:$A$100,0))="","",INDEX('WORK PACKAGES'!$E$2:$E$100,MATCH($A4,'WORK PACKAGES'!$A$2:$A$100,0))),""))</f>
        <v/>
      </c>
      <c r="D4" s="23" t="n"/>
      <c r="E4" s="24">
        <f>IF($A4="","",IFERROR(IF(INDEX('WP PROGRESS'!$F$2:$F$100,MATCH($A4,'WP PROGRESS'!$A$2:$A$100,0))="","",INDEX('WP PROGRESS'!$F$2:$F$100,MATCH($A4,'WP PROGRESS'!$A$2:$A$100,0))),""))</f>
        <v/>
      </c>
      <c r="F4" s="24">
        <f>IF($A4="","",IFERROR(IF(INDEX('WP PROGRESS'!$G$2:$G$100,MATCH($A4,'WP PROGRESS'!$A$2:$A$100,0))="","",INDEX('WP PROGRESS'!$G$2:$G$100,MATCH($A4,'WP PROGRESS'!$A$2:$A$100,0))),""))</f>
        <v/>
      </c>
      <c r="G4" s="24">
        <f>IF($A4="","",IFERROR(IF(INDEX('WP PROGRESS'!$H$2:$H$100,MATCH($A4,'WP PROGRESS'!$A$2:$A$100,0))="","",INDEX('WP PROGRESS'!$H$2:$H$100,MATCH($A4,'WP PROGRESS'!$A$2:$A$100,0))),""))</f>
        <v/>
      </c>
      <c r="H4" s="24">
        <f>IF($A4="","",IFERROR(IF(INDEX('WP PROGRESS'!$I$2:$I$100,MATCH($A4,'WP PROGRESS'!$A$2:$A$100,0))="","",INDEX('WP PROGRESS'!$I$2:$I$100,MATCH($A4,'WP PROGRESS'!$A$2:$A$100,0))),""))</f>
        <v/>
      </c>
      <c r="I4" s="24">
        <f>IF($A4="","",IFERROR(IF(INDEX('WP PROGRESS'!$K$2:$K$100,MATCH($A4,'WP PROGRESS'!$A$2:$A$100,0))="","",INDEX('WP PROGRESS'!$K$2:$K$100,MATCH($A4,'WP PROGRESS'!$A$2:$A$100,0))),""))</f>
        <v/>
      </c>
      <c r="J4" s="25" t="n"/>
      <c r="K4" s="25" t="n"/>
      <c r="L4" s="26" t="n"/>
      <c r="M4" s="25" t="n"/>
      <c r="N4" s="25" t="n"/>
      <c r="O4" s="25" t="n"/>
      <c r="P4" s="27">
        <f>IF($A4="","",IFERROR(IF(INDEX('WP PROGRESS'!$V$2:$V$100,MATCH($A4,'WP PROGRESS'!$A$2:$A$100,0))="","",INDEX('WP PROGRESS'!$V$2:$V$100,MATCH($A4,'WP PROGRESS'!$A$2:$A$100,0))),""))</f>
        <v/>
      </c>
      <c r="Q4" s="28">
        <f>IF($A4="","",IFERROR(IF(INDEX('WP PROGRESS'!$E$2:$E$100,MATCH($A4,'WP PROGRESS'!$A$2:$A$100,0))="","",INDEX('WP PROGRESS'!$E$2:$E$100,MATCH($A4,'WP PROGRESS'!$A$2:$A$100,0))),""))</f>
        <v/>
      </c>
      <c r="R4" s="29">
        <f>IF($A4="","",IFERROR(IF(INDEX('WP PROGRESS'!$Z$2:$Z$100,MATCH($A4,'WP PROGRESS'!$A$2:$A$100,0))="","",INDEX('WP PROGRESS'!$Z$2:$Z$100,MATCH($A4,'WP PROGRESS'!$A$2:$A$100,0))),""))</f>
        <v/>
      </c>
      <c r="S4" s="29">
        <f>IF($A4="","",COUNTIFS(ISSUES!$P$5:$P$200,"*"&amp;$A4&amp;"*",ISSUES!$H$5:$H$200,"&lt;&gt;Closed",ISSUES!$H$5:$H$200,"&lt;&gt;Resolved",ISSUES!$H$5:$H$200,"&lt;&gt;Cancelled",ISSUES!$H$5:$H$200,"&lt;&gt;",ISSUES!$A$5:$A$200,"&lt;&gt;"))</f>
        <v/>
      </c>
      <c r="T4" s="30" t="n"/>
      <c r="U4" s="29">
        <f>IF($A4="","",IFERROR(IF(INDEX('WORK PACKAGES'!$G$2:$G$100,MATCH($A4,'WORK PACKAGES'!$A$2:$A$100,0))="","",INDEX('WORK PACKAGES'!$G$2:$G$100,MATCH($A4,'WORK PACKAGES'!$A$2:$A$100,0))),""))</f>
        <v/>
      </c>
    </row>
    <row r="5" ht="23.25" customHeight="1" s="130">
      <c r="A5" s="31" t="n"/>
      <c r="B5" s="22">
        <f>IF($A5="","",IFERROR(IF(INDEX('WORK PACKAGES'!$B$2:$B$100,MATCH($A5,'WORK PACKAGES'!$A$2:$A$100,0))="","",INDEX('WORK PACKAGES'!$B$2:$B$100,MATCH($A5,'WORK PACKAGES'!$A$2:$A$100,0))),""))</f>
        <v/>
      </c>
      <c r="C5" s="23">
        <f>IF($A5="","",IFERROR(IF(INDEX('WORK PACKAGES'!$E$2:$E$100,MATCH($A5,'WORK PACKAGES'!$A$2:$A$100,0))="","",INDEX('WORK PACKAGES'!$E$2:$E$100,MATCH($A5,'WORK PACKAGES'!$A$2:$A$100,0))),""))</f>
        <v/>
      </c>
      <c r="D5" s="23" t="n"/>
      <c r="E5" s="24">
        <f>IF($A5="","",IFERROR(IF(INDEX('WP PROGRESS'!$F$2:$F$100,MATCH($A5,'WP PROGRESS'!$A$2:$A$100,0))="","",INDEX('WP PROGRESS'!$F$2:$F$100,MATCH($A5,'WP PROGRESS'!$A$2:$A$100,0))),""))</f>
        <v/>
      </c>
      <c r="F5" s="24">
        <f>IF($A5="","",IFERROR(IF(INDEX('WP PROGRESS'!$G$2:$G$100,MATCH($A5,'WP PROGRESS'!$A$2:$A$100,0))="","",INDEX('WP PROGRESS'!$G$2:$G$100,MATCH($A5,'WP PROGRESS'!$A$2:$A$100,0))),""))</f>
        <v/>
      </c>
      <c r="G5" s="24">
        <f>IF($A5="","",IFERROR(IF(INDEX('WP PROGRESS'!$H$2:$H$100,MATCH($A5,'WP PROGRESS'!$A$2:$A$100,0))="","",INDEX('WP PROGRESS'!$H$2:$H$100,MATCH($A5,'WP PROGRESS'!$A$2:$A$100,0))),""))</f>
        <v/>
      </c>
      <c r="H5" s="24">
        <f>IF($A5="","",IFERROR(IF(INDEX('WP PROGRESS'!$I$2:$I$100,MATCH($A5,'WP PROGRESS'!$A$2:$A$100,0))="","",INDEX('WP PROGRESS'!$I$2:$I$100,MATCH($A5,'WP PROGRESS'!$A$2:$A$100,0))),""))</f>
        <v/>
      </c>
      <c r="I5" s="24">
        <f>IF($A5="","",IFERROR(IF(INDEX('WP PROGRESS'!$K$2:$K$100,MATCH($A5,'WP PROGRESS'!$A$2:$A$100,0))="","",INDEX('WP PROGRESS'!$K$2:$K$100,MATCH($A5,'WP PROGRESS'!$A$2:$A$100,0))),""))</f>
        <v/>
      </c>
      <c r="J5" s="25" t="n"/>
      <c r="K5" s="25" t="n"/>
      <c r="L5" s="26" t="n"/>
      <c r="M5" s="25" t="n"/>
      <c r="N5" s="25" t="n"/>
      <c r="O5" s="25" t="n"/>
      <c r="P5" s="27">
        <f>IF($A5="","",IFERROR(IF(INDEX('WP PROGRESS'!$V$2:$V$100,MATCH($A5,'WP PROGRESS'!$A$2:$A$100,0))="","",INDEX('WP PROGRESS'!$V$2:$V$100,MATCH($A5,'WP PROGRESS'!$A$2:$A$100,0))),""))</f>
        <v/>
      </c>
      <c r="Q5" s="28">
        <f>IF($A5="","",IFERROR(IF(INDEX('WP PROGRESS'!$E$2:$E$100,MATCH($A5,'WP PROGRESS'!$A$2:$A$100,0))="","",INDEX('WP PROGRESS'!$E$2:$E$100,MATCH($A5,'WP PROGRESS'!$A$2:$A$100,0))),""))</f>
        <v/>
      </c>
      <c r="R5" s="29">
        <f>IF($A5="","",IFERROR(IF(INDEX('WP PROGRESS'!$Z$2:$Z$100,MATCH($A5,'WP PROGRESS'!$A$2:$A$100,0))="","",INDEX('WP PROGRESS'!$Z$2:$Z$100,MATCH($A5,'WP PROGRESS'!$A$2:$A$100,0))),""))</f>
        <v/>
      </c>
      <c r="S5" s="29">
        <f>IF($A5="","",COUNTIFS(ISSUES!$P$5:$P$200,"*"&amp;$A5&amp;"*",ISSUES!$H$5:$H$200,"&lt;&gt;Closed",ISSUES!$H$5:$H$200,"&lt;&gt;Resolved",ISSUES!$H$5:$H$200,"&lt;&gt;Cancelled",ISSUES!$H$5:$H$200,"&lt;&gt;",ISSUES!$A$5:$A$200,"&lt;&gt;"))</f>
        <v/>
      </c>
      <c r="T5" s="30" t="n"/>
      <c r="U5" s="29">
        <f>IF($A5="","",IFERROR(IF(INDEX('WORK PACKAGES'!$G$2:$G$100,MATCH($A5,'WORK PACKAGES'!$A$2:$A$100,0))="","",INDEX('WORK PACKAGES'!$G$2:$G$100,MATCH($A5,'WORK PACKAGES'!$A$2:$A$100,0))),""))</f>
        <v/>
      </c>
    </row>
    <row r="6" ht="23.25" customHeight="1" s="130">
      <c r="A6" s="32" t="n"/>
      <c r="B6" s="33">
        <f>IF($A6="","",IFERROR(IF(INDEX('WORK PACKAGES'!$B$2:$B$100,MATCH($A6,'WORK PACKAGES'!$A$2:$A$100,0))="","",INDEX('WORK PACKAGES'!$B$2:$B$100,MATCH($A6,'WORK PACKAGES'!$A$2:$A$100,0))),""))</f>
        <v/>
      </c>
      <c r="C6" s="34">
        <f>IF($A6="","",IFERROR(IF(INDEX('WORK PACKAGES'!$E$2:$E$100,MATCH($A6,'WORK PACKAGES'!$A$2:$A$100,0))="","",INDEX('WORK PACKAGES'!$E$2:$E$100,MATCH($A6,'WORK PACKAGES'!$A$2:$A$100,0))),""))</f>
        <v/>
      </c>
      <c r="D6" s="34" t="n"/>
      <c r="E6" s="24">
        <f>IF($A6="","",IFERROR(IF(INDEX('WP PROGRESS'!$F$2:$F$100,MATCH($A6,'WP PROGRESS'!$A$2:$A$100,0))="","",INDEX('WP PROGRESS'!$F$2:$F$100,MATCH($A6,'WP PROGRESS'!$A$2:$A$100,0))),""))</f>
        <v/>
      </c>
      <c r="F6" s="24">
        <f>IF($A6="","",IFERROR(IF(INDEX('WP PROGRESS'!$G$2:$G$100,MATCH($A6,'WP PROGRESS'!$A$2:$A$100,0))="","",INDEX('WP PROGRESS'!$G$2:$G$100,MATCH($A6,'WP PROGRESS'!$A$2:$A$100,0))),""))</f>
        <v/>
      </c>
      <c r="G6" s="24">
        <f>IF($A6="","",IFERROR(IF(INDEX('WP PROGRESS'!$H$2:$H$100,MATCH($A6,'WP PROGRESS'!$A$2:$A$100,0))="","",INDEX('WP PROGRESS'!$H$2:$H$100,MATCH($A6,'WP PROGRESS'!$A$2:$A$100,0))),""))</f>
        <v/>
      </c>
      <c r="H6" s="24">
        <f>IF($A6="","",IFERROR(IF(INDEX('WP PROGRESS'!$I$2:$I$100,MATCH($A6,'WP PROGRESS'!$A$2:$A$100,0))="","",INDEX('WP PROGRESS'!$I$2:$I$100,MATCH($A6,'WP PROGRESS'!$A$2:$A$100,0))),""))</f>
        <v/>
      </c>
      <c r="I6" s="24">
        <f>IF($A6="","",IFERROR(IF(INDEX('WP PROGRESS'!$K$2:$K$100,MATCH($A6,'WP PROGRESS'!$A$2:$A$100,0))="","",INDEX('WP PROGRESS'!$K$2:$K$100,MATCH($A6,'WP PROGRESS'!$A$2:$A$100,0))),""))</f>
        <v/>
      </c>
      <c r="J6" s="25" t="n"/>
      <c r="K6" s="25" t="n"/>
      <c r="L6" s="26" t="n"/>
      <c r="M6" s="25" t="n"/>
      <c r="N6" s="25" t="n"/>
      <c r="O6" s="25" t="n"/>
      <c r="P6" s="27">
        <f>IF($A6="","",IFERROR(IF(INDEX('WP PROGRESS'!$V$2:$V$100,MATCH($A6,'WP PROGRESS'!$A$2:$A$100,0))="","",INDEX('WP PROGRESS'!$V$2:$V$100,MATCH($A6,'WP PROGRESS'!$A$2:$A$100,0))),""))</f>
        <v/>
      </c>
      <c r="Q6" s="28">
        <f>IF($A6="","",IFERROR(IF(INDEX('WP PROGRESS'!$E$2:$E$100,MATCH($A6,'WP PROGRESS'!$A$2:$A$100,0))="","",INDEX('WP PROGRESS'!$E$2:$E$100,MATCH($A6,'WP PROGRESS'!$A$2:$A$100,0))),""))</f>
        <v/>
      </c>
      <c r="R6" s="29">
        <f>IF($A6="","",IFERROR(IF(INDEX('WP PROGRESS'!$Z$2:$Z$100,MATCH($A6,'WP PROGRESS'!$A$2:$A$100,0))="","",INDEX('WP PROGRESS'!$Z$2:$Z$100,MATCH($A6,'WP PROGRESS'!$A$2:$A$100,0))),""))</f>
        <v/>
      </c>
      <c r="S6" s="29">
        <f>IF($A6="","",COUNTIFS(ISSUES!$P$5:$P$200,"*"&amp;$A6&amp;"*",ISSUES!$H$5:$H$200,"&lt;&gt;Closed",ISSUES!$H$5:$H$200,"&lt;&gt;Resolved",ISSUES!$H$5:$H$200,"&lt;&gt;Cancelled",ISSUES!$H$5:$H$200,"&lt;&gt;",ISSUES!$A$5:$A$200,"&lt;&gt;"))</f>
        <v/>
      </c>
      <c r="U6" s="29">
        <f>IF($A6="","",IFERROR(IF(INDEX('WORK PACKAGES'!$G$2:$G$100,MATCH($A6,'WORK PACKAGES'!$A$2:$A$100,0))="","",INDEX('WORK PACKAGES'!$G$2:$G$100,MATCH($A6,'WORK PACKAGES'!$A$2:$A$100,0))),""))</f>
        <v/>
      </c>
    </row>
    <row r="7" ht="23.25" customHeight="1" s="130">
      <c r="A7" s="35" t="n"/>
      <c r="B7" s="36">
        <f>IF($A7="","",IFERROR(IF(INDEX('WORK PACKAGES'!$B$2:$B$100,MATCH($A7,'WORK PACKAGES'!$A$2:$A$100,0))="","",INDEX('WORK PACKAGES'!$B$2:$B$100,MATCH($A7,'WORK PACKAGES'!$A$2:$A$100,0))),""))</f>
        <v/>
      </c>
      <c r="C7" s="34">
        <f>IF($A7="","",IFERROR(IF(INDEX('WORK PACKAGES'!$E$2:$E$100,MATCH($A7,'WORK PACKAGES'!$A$2:$A$100,0))="","",INDEX('WORK PACKAGES'!$E$2:$E$100,MATCH($A7,'WORK PACKAGES'!$A$2:$A$100,0))),""))</f>
        <v/>
      </c>
      <c r="D7" s="34" t="n"/>
      <c r="E7" s="24">
        <f>IF($A7="","",IFERROR(IF(INDEX('WP PROGRESS'!$F$2:$F$100,MATCH($A7,'WP PROGRESS'!$A$2:$A$100,0))="","",INDEX('WP PROGRESS'!$F$2:$F$100,MATCH($A7,'WP PROGRESS'!$A$2:$A$100,0))),""))</f>
        <v/>
      </c>
      <c r="F7" s="24">
        <f>IF($A7="","",IFERROR(IF(INDEX('WP PROGRESS'!$G$2:$G$100,MATCH($A7,'WP PROGRESS'!$A$2:$A$100,0))="","",INDEX('WP PROGRESS'!$G$2:$G$100,MATCH($A7,'WP PROGRESS'!$A$2:$A$100,0))),""))</f>
        <v/>
      </c>
      <c r="G7" s="24">
        <f>IF($A7="","",IFERROR(IF(INDEX('WP PROGRESS'!$H$2:$H$100,MATCH($A7,'WP PROGRESS'!$A$2:$A$100,0))="","",INDEX('WP PROGRESS'!$H$2:$H$100,MATCH($A7,'WP PROGRESS'!$A$2:$A$100,0))),""))</f>
        <v/>
      </c>
      <c r="H7" s="24">
        <f>IF($A7="","",IFERROR(IF(INDEX('WP PROGRESS'!$I$2:$I$100,MATCH($A7,'WP PROGRESS'!$A$2:$A$100,0))="","",INDEX('WP PROGRESS'!$I$2:$I$100,MATCH($A7,'WP PROGRESS'!$A$2:$A$100,0))),""))</f>
        <v/>
      </c>
      <c r="I7" s="24">
        <f>IF($A7="","",IFERROR(IF(INDEX('WP PROGRESS'!$K$2:$K$100,MATCH($A7,'WP PROGRESS'!$A$2:$A$100,0))="","",INDEX('WP PROGRESS'!$K$2:$K$100,MATCH($A7,'WP PROGRESS'!$A$2:$A$100,0))),""))</f>
        <v/>
      </c>
      <c r="J7" s="25" t="n"/>
      <c r="K7" s="25" t="n"/>
      <c r="L7" s="26" t="n"/>
      <c r="M7" s="25" t="n"/>
      <c r="N7" s="25" t="n"/>
      <c r="O7" s="25" t="n"/>
      <c r="P7" s="27">
        <f>IF($A7="","",IFERROR(IF(INDEX('WP PROGRESS'!$V$2:$V$100,MATCH($A7,'WP PROGRESS'!$A$2:$A$100,0))="","",INDEX('WP PROGRESS'!$V$2:$V$100,MATCH($A7,'WP PROGRESS'!$A$2:$A$100,0))),""))</f>
        <v/>
      </c>
      <c r="Q7" s="28">
        <f>IF($A7="","",IFERROR(IF(INDEX('WP PROGRESS'!$E$2:$E$100,MATCH($A7,'WP PROGRESS'!$A$2:$A$100,0))="","",INDEX('WP PROGRESS'!$E$2:$E$100,MATCH($A7,'WP PROGRESS'!$A$2:$A$100,0))),""))</f>
        <v/>
      </c>
      <c r="R7" s="29">
        <f>IF($A7="","",IFERROR(IF(INDEX('WP PROGRESS'!$Z$2:$Z$100,MATCH($A7,'WP PROGRESS'!$A$2:$A$100,0))="","",INDEX('WP PROGRESS'!$Z$2:$Z$100,MATCH($A7,'WP PROGRESS'!$A$2:$A$100,0))),""))</f>
        <v/>
      </c>
      <c r="S7" s="29">
        <f>IF($A7="","",COUNTIFS(ISSUES!$P$5:$P$200,"*"&amp;$A7&amp;"*",ISSUES!$H$5:$H$200,"&lt;&gt;Closed",ISSUES!$H$5:$H$200,"&lt;&gt;Resolved",ISSUES!$H$5:$H$200,"&lt;&gt;Cancelled",ISSUES!$H$5:$H$200,"&lt;&gt;",ISSUES!$A$5:$A$200,"&lt;&gt;"))</f>
        <v/>
      </c>
      <c r="U7" s="29">
        <f>IF($A7="","",IFERROR(IF(INDEX('WORK PACKAGES'!$G$2:$G$100,MATCH($A7,'WORK PACKAGES'!$A$2:$A$100,0))="","",INDEX('WORK PACKAGES'!$G$2:$G$100,MATCH($A7,'WORK PACKAGES'!$A$2:$A$100,0))),""))</f>
        <v/>
      </c>
    </row>
    <row r="8" ht="23.25" customHeight="1" s="130">
      <c r="A8" s="35" t="n"/>
      <c r="B8" s="37">
        <f>IF($A8="","",IFERROR(IF(INDEX('WORK PACKAGES'!$B$2:$B$100,MATCH($A8,'WORK PACKAGES'!$A$2:$A$100,0))="","",INDEX('WORK PACKAGES'!$B$2:$B$100,MATCH($A8,'WORK PACKAGES'!$A$2:$A$100,0))),""))</f>
        <v/>
      </c>
      <c r="C8" s="34">
        <f>IF($A8="","",IFERROR(IF(INDEX('WORK PACKAGES'!$E$2:$E$100,MATCH($A8,'WORK PACKAGES'!$A$2:$A$100,0))="","",INDEX('WORK PACKAGES'!$E$2:$E$100,MATCH($A8,'WORK PACKAGES'!$A$2:$A$100,0))),""))</f>
        <v/>
      </c>
      <c r="D8" s="34" t="n"/>
      <c r="E8" s="24">
        <f>IF($A8="","",IFERROR(IF(INDEX('WP PROGRESS'!$F$2:$F$100,MATCH($A8,'WP PROGRESS'!$A$2:$A$100,0))="","",INDEX('WP PROGRESS'!$F$2:$F$100,MATCH($A8,'WP PROGRESS'!$A$2:$A$100,0))),""))</f>
        <v/>
      </c>
      <c r="F8" s="24">
        <f>IF($A8="","",IFERROR(IF(INDEX('WP PROGRESS'!$G$2:$G$100,MATCH($A8,'WP PROGRESS'!$A$2:$A$100,0))="","",INDEX('WP PROGRESS'!$G$2:$G$100,MATCH($A8,'WP PROGRESS'!$A$2:$A$100,0))),""))</f>
        <v/>
      </c>
      <c r="G8" s="24">
        <f>IF($A8="","",IFERROR(IF(INDEX('WP PROGRESS'!$H$2:$H$100,MATCH($A8,'WP PROGRESS'!$A$2:$A$100,0))="","",INDEX('WP PROGRESS'!$H$2:$H$100,MATCH($A8,'WP PROGRESS'!$A$2:$A$100,0))),""))</f>
        <v/>
      </c>
      <c r="H8" s="24">
        <f>IF($A8="","",IFERROR(IF(INDEX('WP PROGRESS'!$I$2:$I$100,MATCH($A8,'WP PROGRESS'!$A$2:$A$100,0))="","",INDEX('WP PROGRESS'!$I$2:$I$100,MATCH($A8,'WP PROGRESS'!$A$2:$A$100,0))),""))</f>
        <v/>
      </c>
      <c r="I8" s="24">
        <f>IF($A8="","",IFERROR(IF(INDEX('WP PROGRESS'!$K$2:$K$100,MATCH($A8,'WP PROGRESS'!$A$2:$A$100,0))="","",INDEX('WP PROGRESS'!$K$2:$K$100,MATCH($A8,'WP PROGRESS'!$A$2:$A$100,0))),""))</f>
        <v/>
      </c>
      <c r="J8" s="25" t="n"/>
      <c r="K8" s="25" t="n"/>
      <c r="L8" s="26" t="n"/>
      <c r="M8" s="25" t="n"/>
      <c r="N8" s="25" t="n"/>
      <c r="O8" s="25" t="n"/>
      <c r="P8" s="27">
        <f>IF($A8="","",IFERROR(IF(INDEX('WP PROGRESS'!$V$2:$V$100,MATCH($A8,'WP PROGRESS'!$A$2:$A$100,0))="","",INDEX('WP PROGRESS'!$V$2:$V$100,MATCH($A8,'WP PROGRESS'!$A$2:$A$100,0))),""))</f>
        <v/>
      </c>
      <c r="Q8" s="28">
        <f>IF($A8="","",IFERROR(IF(INDEX('WP PROGRESS'!$E$2:$E$100,MATCH($A8,'WP PROGRESS'!$A$2:$A$100,0))="","",INDEX('WP PROGRESS'!$E$2:$E$100,MATCH($A8,'WP PROGRESS'!$A$2:$A$100,0))),""))</f>
        <v/>
      </c>
      <c r="R8" s="29">
        <f>IF($A8="","",IFERROR(IF(INDEX('WP PROGRESS'!$Z$2:$Z$100,MATCH($A8,'WP PROGRESS'!$A$2:$A$100,0))="","",INDEX('WP PROGRESS'!$Z$2:$Z$100,MATCH($A8,'WP PROGRESS'!$A$2:$A$100,0))),""))</f>
        <v/>
      </c>
      <c r="S8" s="29">
        <f>IF($A8="","",COUNTIFS(ISSUES!$P$5:$P$200,"*"&amp;$A8&amp;"*",ISSUES!$H$5:$H$200,"&lt;&gt;Closed",ISSUES!$H$5:$H$200,"&lt;&gt;Resolved",ISSUES!$H$5:$H$200,"&lt;&gt;Cancelled",ISSUES!$H$5:$H$200,"&lt;&gt;",ISSUES!$A$5:$A$200,"&lt;&gt;"))</f>
        <v/>
      </c>
      <c r="U8" s="29">
        <f>IF($A8="","",IFERROR(IF(INDEX('WORK PACKAGES'!$G$2:$G$100,MATCH($A8,'WORK PACKAGES'!$A$2:$A$100,0))="","",INDEX('WORK PACKAGES'!$G$2:$G$100,MATCH($A8,'WORK PACKAGES'!$A$2:$A$100,0))),""))</f>
        <v/>
      </c>
    </row>
    <row r="9" ht="23.25" customHeight="1" s="130">
      <c r="A9" s="38" t="n"/>
      <c r="B9" s="39">
        <f>IF($A9="","",IFERROR(IF(INDEX('WORK PACKAGES'!$B$2:$B$100,MATCH($A9,'WORK PACKAGES'!$A$2:$A$100,0))="","",INDEX('WORK PACKAGES'!$B$2:$B$100,MATCH($A9,'WORK PACKAGES'!$A$2:$A$100,0))),""))</f>
        <v/>
      </c>
      <c r="C9" s="23">
        <f>IF($A9="","",IFERROR(IF(INDEX('WORK PACKAGES'!$E$2:$E$100,MATCH($A9,'WORK PACKAGES'!$A$2:$A$100,0))="","",INDEX('WORK PACKAGES'!$E$2:$E$100,MATCH($A9,'WORK PACKAGES'!$A$2:$A$100,0))),""))</f>
        <v/>
      </c>
      <c r="D9" s="23" t="n"/>
      <c r="E9" s="24">
        <f>IF($A9="","",IFERROR(IF(INDEX('WP PROGRESS'!$F$2:$F$100,MATCH($A9,'WP PROGRESS'!$A$2:$A$100,0))="","",INDEX('WP PROGRESS'!$F$2:$F$100,MATCH($A9,'WP PROGRESS'!$A$2:$A$100,0))),""))</f>
        <v/>
      </c>
      <c r="F9" s="24">
        <f>IF($A9="","",IFERROR(IF(INDEX('WP PROGRESS'!$G$2:$G$100,MATCH($A9,'WP PROGRESS'!$A$2:$A$100,0))="","",INDEX('WP PROGRESS'!$G$2:$G$100,MATCH($A9,'WP PROGRESS'!$A$2:$A$100,0))),""))</f>
        <v/>
      </c>
      <c r="G9" s="24">
        <f>IF($A9="","",IFERROR(IF(INDEX('WP PROGRESS'!$H$2:$H$100,MATCH($A9,'WP PROGRESS'!$A$2:$A$100,0))="","",INDEX('WP PROGRESS'!$H$2:$H$100,MATCH($A9,'WP PROGRESS'!$A$2:$A$100,0))),""))</f>
        <v/>
      </c>
      <c r="H9" s="24">
        <f>IF($A9="","",IFERROR(IF(INDEX('WP PROGRESS'!$I$2:$I$100,MATCH($A9,'WP PROGRESS'!$A$2:$A$100,0))="","",INDEX('WP PROGRESS'!$I$2:$I$100,MATCH($A9,'WP PROGRESS'!$A$2:$A$100,0))),""))</f>
        <v/>
      </c>
      <c r="I9" s="24">
        <f>IF($A9="","",IFERROR(IF(INDEX('WP PROGRESS'!$K$2:$K$100,MATCH($A9,'WP PROGRESS'!$A$2:$A$100,0))="","",INDEX('WP PROGRESS'!$K$2:$K$100,MATCH($A9,'WP PROGRESS'!$A$2:$A$100,0))),""))</f>
        <v/>
      </c>
      <c r="J9" s="25" t="n"/>
      <c r="K9" s="25" t="n"/>
      <c r="L9" s="26" t="n"/>
      <c r="M9" s="25" t="n"/>
      <c r="N9" s="25" t="n"/>
      <c r="O9" s="25" t="n"/>
      <c r="P9" s="27">
        <f>IF($A9="","",IFERROR(IF(INDEX('WP PROGRESS'!$V$2:$V$100,MATCH($A9,'WP PROGRESS'!$A$2:$A$100,0))="","",INDEX('WP PROGRESS'!$V$2:$V$100,MATCH($A9,'WP PROGRESS'!$A$2:$A$100,0))),""))</f>
        <v/>
      </c>
      <c r="Q9" s="28">
        <f>IF($A9="","",IFERROR(IF(INDEX('WP PROGRESS'!$E$2:$E$100,MATCH($A9,'WP PROGRESS'!$A$2:$A$100,0))="","",INDEX('WP PROGRESS'!$E$2:$E$100,MATCH($A9,'WP PROGRESS'!$A$2:$A$100,0))),""))</f>
        <v/>
      </c>
      <c r="R9" s="29">
        <f>IF($A9="","",IFERROR(IF(INDEX('WP PROGRESS'!$Z$2:$Z$100,MATCH($A9,'WP PROGRESS'!$A$2:$A$100,0))="","",INDEX('WP PROGRESS'!$Z$2:$Z$100,MATCH($A9,'WP PROGRESS'!$A$2:$A$100,0))),""))</f>
        <v/>
      </c>
      <c r="S9" s="29">
        <f>IF($A9="","",COUNTIFS(ISSUES!$P$5:$P$200,"*"&amp;$A9&amp;"*",ISSUES!$H$5:$H$200,"&lt;&gt;Closed",ISSUES!$H$5:$H$200,"&lt;&gt;Resolved",ISSUES!$H$5:$H$200,"&lt;&gt;Cancelled",ISSUES!$H$5:$H$200,"&lt;&gt;",ISSUES!$A$5:$A$200,"&lt;&gt;"))</f>
        <v/>
      </c>
      <c r="U9" s="29">
        <f>IF($A9="","",IFERROR(IF(INDEX('WORK PACKAGES'!$G$2:$G$100,MATCH($A9,'WORK PACKAGES'!$A$2:$A$100,0))="","",INDEX('WORK PACKAGES'!$G$2:$G$100,MATCH($A9,'WORK PACKAGES'!$A$2:$A$100,0))),""))</f>
        <v/>
      </c>
    </row>
    <row r="10" ht="23.25" customHeight="1" s="130">
      <c r="A10" s="40" t="n"/>
      <c r="B10" s="41">
        <f>IF($A10="","",IFERROR(IF(INDEX('WORK PACKAGES'!$B$2:$B$100,MATCH($A10,'WORK PACKAGES'!$A$2:$A$100,0))="","",INDEX('WORK PACKAGES'!$B$2:$B$100,MATCH($A10,'WORK PACKAGES'!$A$2:$A$100,0))),""))</f>
        <v/>
      </c>
      <c r="C10" s="34">
        <f>IF($A10="","",IFERROR(IF(INDEX('WORK PACKAGES'!$E$2:$E$100,MATCH($A10,'WORK PACKAGES'!$A$2:$A$100,0))="","",INDEX('WORK PACKAGES'!$E$2:$E$100,MATCH($A10,'WORK PACKAGES'!$A$2:$A$100,0))),""))</f>
        <v/>
      </c>
      <c r="D10" s="34" t="n"/>
      <c r="E10" s="24">
        <f>IF($A10="","",IFERROR(IF(INDEX('WP PROGRESS'!$F$2:$F$100,MATCH($A10,'WP PROGRESS'!$A$2:$A$100,0))="","",INDEX('WP PROGRESS'!$F$2:$F$100,MATCH($A10,'WP PROGRESS'!$A$2:$A$100,0))),""))</f>
        <v/>
      </c>
      <c r="F10" s="24">
        <f>IF($A10="","",IFERROR(IF(INDEX('WP PROGRESS'!$G$2:$G$100,MATCH($A10,'WP PROGRESS'!$A$2:$A$100,0))="","",INDEX('WP PROGRESS'!$G$2:$G$100,MATCH($A10,'WP PROGRESS'!$A$2:$A$100,0))),""))</f>
        <v/>
      </c>
      <c r="G10" s="24">
        <f>IF($A10="","",IFERROR(IF(INDEX('WP PROGRESS'!$H$2:$H$100,MATCH($A10,'WP PROGRESS'!$A$2:$A$100,0))="","",INDEX('WP PROGRESS'!$H$2:$H$100,MATCH($A10,'WP PROGRESS'!$A$2:$A$100,0))),""))</f>
        <v/>
      </c>
      <c r="H10" s="24">
        <f>IF($A10="","",IFERROR(IF(INDEX('WP PROGRESS'!$I$2:$I$100,MATCH($A10,'WP PROGRESS'!$A$2:$A$100,0))="","",INDEX('WP PROGRESS'!$I$2:$I$100,MATCH($A10,'WP PROGRESS'!$A$2:$A$100,0))),""))</f>
        <v/>
      </c>
      <c r="I10" s="24">
        <f>IF($A10="","",IFERROR(IF(INDEX('WP PROGRESS'!$K$2:$K$100,MATCH($A10,'WP PROGRESS'!$A$2:$A$100,0))="","",INDEX('WP PROGRESS'!$K$2:$K$100,MATCH($A10,'WP PROGRESS'!$A$2:$A$100,0))),""))</f>
        <v/>
      </c>
      <c r="J10" s="25" t="n"/>
      <c r="K10" s="25" t="n"/>
      <c r="L10" s="26" t="n"/>
      <c r="M10" s="25" t="n"/>
      <c r="N10" s="25" t="n"/>
      <c r="O10" s="25" t="n"/>
      <c r="P10" s="27">
        <f>IF($A10="","",IFERROR(IF(INDEX('WP PROGRESS'!$V$2:$V$100,MATCH($A10,'WP PROGRESS'!$A$2:$A$100,0))="","",INDEX('WP PROGRESS'!$V$2:$V$100,MATCH($A10,'WP PROGRESS'!$A$2:$A$100,0))),""))</f>
        <v/>
      </c>
      <c r="Q10" s="28">
        <f>IF($A10="","",IFERROR(IF(INDEX('WP PROGRESS'!$E$2:$E$100,MATCH($A10,'WP PROGRESS'!$A$2:$A$100,0))="","",INDEX('WP PROGRESS'!$E$2:$E$100,MATCH($A10,'WP PROGRESS'!$A$2:$A$100,0))),""))</f>
        <v/>
      </c>
      <c r="R10" s="29">
        <f>IF($A10="","",IFERROR(IF(INDEX('WP PROGRESS'!$Z$2:$Z$100,MATCH($A10,'WP PROGRESS'!$A$2:$A$100,0))="","",INDEX('WP PROGRESS'!$Z$2:$Z$100,MATCH($A10,'WP PROGRESS'!$A$2:$A$100,0))),""))</f>
        <v/>
      </c>
      <c r="S10" s="29">
        <f>IF($A10="","",COUNTIFS(ISSUES!$P$5:$P$200,"*"&amp;$A10&amp;"*",ISSUES!$H$5:$H$200,"&lt;&gt;Closed",ISSUES!$H$5:$H$200,"&lt;&gt;Resolved",ISSUES!$H$5:$H$200,"&lt;&gt;Cancelled",ISSUES!$H$5:$H$200,"&lt;&gt;",ISSUES!$A$5:$A$200,"&lt;&gt;"))</f>
        <v/>
      </c>
      <c r="U10" s="29">
        <f>IF($A10="","",IFERROR(IF(INDEX('WORK PACKAGES'!$G$2:$G$100,MATCH($A10,'WORK PACKAGES'!$A$2:$A$100,0))="","",INDEX('WORK PACKAGES'!$G$2:$G$100,MATCH($A10,'WORK PACKAGES'!$A$2:$A$100,0))),""))</f>
        <v/>
      </c>
    </row>
    <row r="11" ht="23.25" customHeight="1" s="130">
      <c r="A11" s="40" t="n"/>
      <c r="B11" s="41">
        <f>IF($A11="","",IFERROR(IF(INDEX('WORK PACKAGES'!$B$2:$B$100,MATCH($A11,'WORK PACKAGES'!$A$2:$A$100,0))="","",INDEX('WORK PACKAGES'!$B$2:$B$100,MATCH($A11,'WORK PACKAGES'!$A$2:$A$100,0))),""))</f>
        <v/>
      </c>
      <c r="C11" s="34">
        <f>IF($A11="","",IFERROR(IF(INDEX('WORK PACKAGES'!$E$2:$E$100,MATCH($A11,'WORK PACKAGES'!$A$2:$A$100,0))="","",INDEX('WORK PACKAGES'!$E$2:$E$100,MATCH($A11,'WORK PACKAGES'!$A$2:$A$100,0))),""))</f>
        <v/>
      </c>
      <c r="D11" s="34" t="n"/>
      <c r="E11" s="24">
        <f>IF($A11="","",IFERROR(IF(INDEX('WP PROGRESS'!$F$2:$F$100,MATCH($A11,'WP PROGRESS'!$A$2:$A$100,0))="","",INDEX('WP PROGRESS'!$F$2:$F$100,MATCH($A11,'WP PROGRESS'!$A$2:$A$100,0))),""))</f>
        <v/>
      </c>
      <c r="F11" s="24">
        <f>IF($A11="","",IFERROR(IF(INDEX('WP PROGRESS'!$G$2:$G$100,MATCH($A11,'WP PROGRESS'!$A$2:$A$100,0))="","",INDEX('WP PROGRESS'!$G$2:$G$100,MATCH($A11,'WP PROGRESS'!$A$2:$A$100,0))),""))</f>
        <v/>
      </c>
      <c r="G11" s="24">
        <f>IF($A11="","",IFERROR(IF(INDEX('WP PROGRESS'!$H$2:$H$100,MATCH($A11,'WP PROGRESS'!$A$2:$A$100,0))="","",INDEX('WP PROGRESS'!$H$2:$H$100,MATCH($A11,'WP PROGRESS'!$A$2:$A$100,0))),""))</f>
        <v/>
      </c>
      <c r="H11" s="24">
        <f>IF($A11="","",IFERROR(IF(INDEX('WP PROGRESS'!$I$2:$I$100,MATCH($A11,'WP PROGRESS'!$A$2:$A$100,0))="","",INDEX('WP PROGRESS'!$I$2:$I$100,MATCH($A11,'WP PROGRESS'!$A$2:$A$100,0))),""))</f>
        <v/>
      </c>
      <c r="I11" s="24">
        <f>IF($A11="","",IFERROR(IF(INDEX('WP PROGRESS'!$K$2:$K$100,MATCH($A11,'WP PROGRESS'!$A$2:$A$100,0))="","",INDEX('WP PROGRESS'!$K$2:$K$100,MATCH($A11,'WP PROGRESS'!$A$2:$A$100,0))),""))</f>
        <v/>
      </c>
      <c r="J11" s="25" t="n"/>
      <c r="K11" s="25" t="n"/>
      <c r="L11" s="26" t="n"/>
      <c r="M11" s="25" t="n"/>
      <c r="N11" s="25" t="n"/>
      <c r="O11" s="25" t="n"/>
      <c r="P11" s="27">
        <f>IF($A11="","",IFERROR(IF(INDEX('WP PROGRESS'!$V$2:$V$100,MATCH($A11,'WP PROGRESS'!$A$2:$A$100,0))="","",INDEX('WP PROGRESS'!$V$2:$V$100,MATCH($A11,'WP PROGRESS'!$A$2:$A$100,0))),""))</f>
        <v/>
      </c>
      <c r="Q11" s="28">
        <f>IF($A11="","",IFERROR(IF(INDEX('WP PROGRESS'!$E$2:$E$100,MATCH($A11,'WP PROGRESS'!$A$2:$A$100,0))="","",INDEX('WP PROGRESS'!$E$2:$E$100,MATCH($A11,'WP PROGRESS'!$A$2:$A$100,0))),""))</f>
        <v/>
      </c>
      <c r="R11" s="29">
        <f>IF($A11="","",IFERROR(IF(INDEX('WP PROGRESS'!$Z$2:$Z$100,MATCH($A11,'WP PROGRESS'!$A$2:$A$100,0))="","",INDEX('WP PROGRESS'!$Z$2:$Z$100,MATCH($A11,'WP PROGRESS'!$A$2:$A$100,0))),""))</f>
        <v/>
      </c>
      <c r="S11" s="29">
        <f>IF($A11="","",COUNTIFS(ISSUES!$P$5:$P$200,"*"&amp;$A11&amp;"*",ISSUES!$H$5:$H$200,"&lt;&gt;Closed",ISSUES!$H$5:$H$200,"&lt;&gt;Resolved",ISSUES!$H$5:$H$200,"&lt;&gt;Cancelled",ISSUES!$H$5:$H$200,"&lt;&gt;",ISSUES!$A$5:$A$200,"&lt;&gt;"))</f>
        <v/>
      </c>
      <c r="U11" s="29">
        <f>IF($A11="","",IFERROR(IF(INDEX('WORK PACKAGES'!$G$2:$G$100,MATCH($A11,'WORK PACKAGES'!$A$2:$A$100,0))="","",INDEX('WORK PACKAGES'!$G$2:$G$100,MATCH($A11,'WORK PACKAGES'!$A$2:$A$100,0))),""))</f>
        <v/>
      </c>
    </row>
    <row r="12" ht="23.25" customHeight="1" s="130">
      <c r="A12" s="40" t="n"/>
      <c r="B12" s="41">
        <f>IF($A12="","",IFERROR(IF(INDEX('WORK PACKAGES'!$B$2:$B$100,MATCH($A12,'WORK PACKAGES'!$A$2:$A$100,0))="","",INDEX('WORK PACKAGES'!$B$2:$B$100,MATCH($A12,'WORK PACKAGES'!$A$2:$A$100,0))),""))</f>
        <v/>
      </c>
      <c r="C12" s="34">
        <f>IF($A12="","",IFERROR(IF(INDEX('WORK PACKAGES'!$E$2:$E$100,MATCH($A12,'WORK PACKAGES'!$A$2:$A$100,0))="","",INDEX('WORK PACKAGES'!$E$2:$E$100,MATCH($A12,'WORK PACKAGES'!$A$2:$A$100,0))),""))</f>
        <v/>
      </c>
      <c r="D12" s="34" t="n"/>
      <c r="E12" s="24">
        <f>IF($A12="","",IFERROR(IF(INDEX('WP PROGRESS'!$F$2:$F$100,MATCH($A12,'WP PROGRESS'!$A$2:$A$100,0))="","",INDEX('WP PROGRESS'!$F$2:$F$100,MATCH($A12,'WP PROGRESS'!$A$2:$A$100,0))),""))</f>
        <v/>
      </c>
      <c r="F12" s="24">
        <f>IF($A12="","",IFERROR(IF(INDEX('WP PROGRESS'!$G$2:$G$100,MATCH($A12,'WP PROGRESS'!$A$2:$A$100,0))="","",INDEX('WP PROGRESS'!$G$2:$G$100,MATCH($A12,'WP PROGRESS'!$A$2:$A$100,0))),""))</f>
        <v/>
      </c>
      <c r="G12" s="24">
        <f>IF($A12="","",IFERROR(IF(INDEX('WP PROGRESS'!$H$2:$H$100,MATCH($A12,'WP PROGRESS'!$A$2:$A$100,0))="","",INDEX('WP PROGRESS'!$H$2:$H$100,MATCH($A12,'WP PROGRESS'!$A$2:$A$100,0))),""))</f>
        <v/>
      </c>
      <c r="H12" s="24">
        <f>IF($A12="","",IFERROR(IF(INDEX('WP PROGRESS'!$I$2:$I$100,MATCH($A12,'WP PROGRESS'!$A$2:$A$100,0))="","",INDEX('WP PROGRESS'!$I$2:$I$100,MATCH($A12,'WP PROGRESS'!$A$2:$A$100,0))),""))</f>
        <v/>
      </c>
      <c r="I12" s="24">
        <f>IF($A12="","",IFERROR(IF(INDEX('WP PROGRESS'!$K$2:$K$100,MATCH($A12,'WP PROGRESS'!$A$2:$A$100,0))="","",INDEX('WP PROGRESS'!$K$2:$K$100,MATCH($A12,'WP PROGRESS'!$A$2:$A$100,0))),""))</f>
        <v/>
      </c>
      <c r="J12" s="25" t="n"/>
      <c r="K12" s="25" t="n"/>
      <c r="L12" s="26" t="n"/>
      <c r="M12" s="25" t="n"/>
      <c r="N12" s="25" t="n"/>
      <c r="O12" s="25" t="n"/>
      <c r="P12" s="27">
        <f>IF($A12="","",IFERROR(IF(INDEX('WP PROGRESS'!$V$2:$V$100,MATCH($A12,'WP PROGRESS'!$A$2:$A$100,0))="","",INDEX('WP PROGRESS'!$V$2:$V$100,MATCH($A12,'WP PROGRESS'!$A$2:$A$100,0))),""))</f>
        <v/>
      </c>
      <c r="Q12" s="28">
        <f>IF($A12="","",IFERROR(IF(INDEX('WP PROGRESS'!$E$2:$E$100,MATCH($A12,'WP PROGRESS'!$A$2:$A$100,0))="","",INDEX('WP PROGRESS'!$E$2:$E$100,MATCH($A12,'WP PROGRESS'!$A$2:$A$100,0))),""))</f>
        <v/>
      </c>
      <c r="R12" s="29">
        <f>IF($A12="","",IFERROR(IF(INDEX('WP PROGRESS'!$Z$2:$Z$100,MATCH($A12,'WP PROGRESS'!$A$2:$A$100,0))="","",INDEX('WP PROGRESS'!$Z$2:$Z$100,MATCH($A12,'WP PROGRESS'!$A$2:$A$100,0))),""))</f>
        <v/>
      </c>
      <c r="S12" s="29">
        <f>IF($A12="","",COUNTIFS(ISSUES!$P$5:$P$200,"*"&amp;$A12&amp;"*",ISSUES!$H$5:$H$200,"&lt;&gt;Closed",ISSUES!$H$5:$H$200,"&lt;&gt;Resolved",ISSUES!$H$5:$H$200,"&lt;&gt;Cancelled",ISSUES!$H$5:$H$200,"&lt;&gt;",ISSUES!$A$5:$A$200,"&lt;&gt;"))</f>
        <v/>
      </c>
      <c r="U12" s="29">
        <f>IF($A12="","",IFERROR(IF(INDEX('WORK PACKAGES'!$G$2:$G$100,MATCH($A12,'WORK PACKAGES'!$A$2:$A$100,0))="","",INDEX('WORK PACKAGES'!$G$2:$G$100,MATCH($A12,'WORK PACKAGES'!$A$2:$A$100,0))),""))</f>
        <v/>
      </c>
    </row>
    <row r="13" ht="23.25" customHeight="1" s="130">
      <c r="A13" s="40" t="n"/>
      <c r="B13" s="41">
        <f>IF($A13="","",IFERROR(IF(INDEX('WORK PACKAGES'!$B$2:$B$100,MATCH($A13,'WORK PACKAGES'!$A$2:$A$100,0))="","",INDEX('WORK PACKAGES'!$B$2:$B$100,MATCH($A13,'WORK PACKAGES'!$A$2:$A$100,0))),""))</f>
        <v/>
      </c>
      <c r="C13" s="34">
        <f>IF($A13="","",IFERROR(IF(INDEX('WORK PACKAGES'!$E$2:$E$100,MATCH($A13,'WORK PACKAGES'!$A$2:$A$100,0))="","",INDEX('WORK PACKAGES'!$E$2:$E$100,MATCH($A13,'WORK PACKAGES'!$A$2:$A$100,0))),""))</f>
        <v/>
      </c>
      <c r="D13" s="34" t="n"/>
      <c r="E13" s="24">
        <f>IF($A13="","",IFERROR(IF(INDEX('WP PROGRESS'!$F$2:$F$100,MATCH($A13,'WP PROGRESS'!$A$2:$A$100,0))="","",INDEX('WP PROGRESS'!$F$2:$F$100,MATCH($A13,'WP PROGRESS'!$A$2:$A$100,0))),""))</f>
        <v/>
      </c>
      <c r="F13" s="24">
        <f>IF($A13="","",IFERROR(IF(INDEX('WP PROGRESS'!$G$2:$G$100,MATCH($A13,'WP PROGRESS'!$A$2:$A$100,0))="","",INDEX('WP PROGRESS'!$G$2:$G$100,MATCH($A13,'WP PROGRESS'!$A$2:$A$100,0))),""))</f>
        <v/>
      </c>
      <c r="G13" s="24">
        <f>IF($A13="","",IFERROR(IF(INDEX('WP PROGRESS'!$H$2:$H$100,MATCH($A13,'WP PROGRESS'!$A$2:$A$100,0))="","",INDEX('WP PROGRESS'!$H$2:$H$100,MATCH($A13,'WP PROGRESS'!$A$2:$A$100,0))),""))</f>
        <v/>
      </c>
      <c r="H13" s="24">
        <f>IF($A13="","",IFERROR(IF(INDEX('WP PROGRESS'!$I$2:$I$100,MATCH($A13,'WP PROGRESS'!$A$2:$A$100,0))="","",INDEX('WP PROGRESS'!$I$2:$I$100,MATCH($A13,'WP PROGRESS'!$A$2:$A$100,0))),""))</f>
        <v/>
      </c>
      <c r="I13" s="24">
        <f>IF($A13="","",IFERROR(IF(INDEX('WP PROGRESS'!$K$2:$K$100,MATCH($A13,'WP PROGRESS'!$A$2:$A$100,0))="","",INDEX('WP PROGRESS'!$K$2:$K$100,MATCH($A13,'WP PROGRESS'!$A$2:$A$100,0))),""))</f>
        <v/>
      </c>
      <c r="J13" s="25" t="n"/>
      <c r="K13" s="25" t="n"/>
      <c r="L13" s="26" t="n"/>
      <c r="M13" s="25" t="n"/>
      <c r="N13" s="25" t="n"/>
      <c r="O13" s="25" t="n"/>
      <c r="P13" s="27">
        <f>IF($A13="","",IFERROR(IF(INDEX('WP PROGRESS'!$V$2:$V$100,MATCH($A13,'WP PROGRESS'!$A$2:$A$100,0))="","",INDEX('WP PROGRESS'!$V$2:$V$100,MATCH($A13,'WP PROGRESS'!$A$2:$A$100,0))),""))</f>
        <v/>
      </c>
      <c r="Q13" s="28">
        <f>IF($A13="","",IFERROR(IF(INDEX('WP PROGRESS'!$E$2:$E$100,MATCH($A13,'WP PROGRESS'!$A$2:$A$100,0))="","",INDEX('WP PROGRESS'!$E$2:$E$100,MATCH($A13,'WP PROGRESS'!$A$2:$A$100,0))),""))</f>
        <v/>
      </c>
      <c r="R13" s="29">
        <f>IF($A13="","",IFERROR(IF(INDEX('WP PROGRESS'!$Z$2:$Z$100,MATCH($A13,'WP PROGRESS'!$A$2:$A$100,0))="","",INDEX('WP PROGRESS'!$Z$2:$Z$100,MATCH($A13,'WP PROGRESS'!$A$2:$A$100,0))),""))</f>
        <v/>
      </c>
      <c r="S13" s="29">
        <f>IF($A13="","",COUNTIFS(ISSUES!$P$5:$P$200,"*"&amp;$A13&amp;"*",ISSUES!$H$5:$H$200,"&lt;&gt;Closed",ISSUES!$H$5:$H$200,"&lt;&gt;Resolved",ISSUES!$H$5:$H$200,"&lt;&gt;Cancelled",ISSUES!$H$5:$H$200,"&lt;&gt;",ISSUES!$A$5:$A$200,"&lt;&gt;"))</f>
        <v/>
      </c>
      <c r="U13" s="29">
        <f>IF($A13="","",IFERROR(IF(INDEX('WORK PACKAGES'!$G$2:$G$100,MATCH($A13,'WORK PACKAGES'!$A$2:$A$100,0))="","",INDEX('WORK PACKAGES'!$G$2:$G$100,MATCH($A13,'WORK PACKAGES'!$A$2:$A$100,0))),""))</f>
        <v/>
      </c>
    </row>
    <row r="14" ht="23.25" customHeight="1" s="130">
      <c r="A14" s="40" t="n"/>
      <c r="B14" s="41">
        <f>IF($A14="","",IFERROR(IF(INDEX('WORK PACKAGES'!$B$2:$B$100,MATCH($A14,'WORK PACKAGES'!$A$2:$A$100,0))="","",INDEX('WORK PACKAGES'!$B$2:$B$100,MATCH($A14,'WORK PACKAGES'!$A$2:$A$100,0))),""))</f>
        <v/>
      </c>
      <c r="C14" s="34">
        <f>IF($A14="","",IFERROR(IF(INDEX('WORK PACKAGES'!$E$2:$E$100,MATCH($A14,'WORK PACKAGES'!$A$2:$A$100,0))="","",INDEX('WORK PACKAGES'!$E$2:$E$100,MATCH($A14,'WORK PACKAGES'!$A$2:$A$100,0))),""))</f>
        <v/>
      </c>
      <c r="D14" s="34" t="n"/>
      <c r="E14" s="24">
        <f>IF($A14="","",IFERROR(IF(INDEX('WP PROGRESS'!$F$2:$F$100,MATCH($A14,'WP PROGRESS'!$A$2:$A$100,0))="","",INDEX('WP PROGRESS'!$F$2:$F$100,MATCH($A14,'WP PROGRESS'!$A$2:$A$100,0))),""))</f>
        <v/>
      </c>
      <c r="F14" s="24">
        <f>IF($A14="","",IFERROR(IF(INDEX('WP PROGRESS'!$G$2:$G$100,MATCH($A14,'WP PROGRESS'!$A$2:$A$100,0))="","",INDEX('WP PROGRESS'!$G$2:$G$100,MATCH($A14,'WP PROGRESS'!$A$2:$A$100,0))),""))</f>
        <v/>
      </c>
      <c r="G14" s="24">
        <f>IF($A14="","",IFERROR(IF(INDEX('WP PROGRESS'!$H$2:$H$100,MATCH($A14,'WP PROGRESS'!$A$2:$A$100,0))="","",INDEX('WP PROGRESS'!$H$2:$H$100,MATCH($A14,'WP PROGRESS'!$A$2:$A$100,0))),""))</f>
        <v/>
      </c>
      <c r="H14" s="24">
        <f>IF($A14="","",IFERROR(IF(INDEX('WP PROGRESS'!$I$2:$I$100,MATCH($A14,'WP PROGRESS'!$A$2:$A$100,0))="","",INDEX('WP PROGRESS'!$I$2:$I$100,MATCH($A14,'WP PROGRESS'!$A$2:$A$100,0))),""))</f>
        <v/>
      </c>
      <c r="I14" s="24">
        <f>IF($A14="","",IFERROR(IF(INDEX('WP PROGRESS'!$K$2:$K$100,MATCH($A14,'WP PROGRESS'!$A$2:$A$100,0))="","",INDEX('WP PROGRESS'!$K$2:$K$100,MATCH($A14,'WP PROGRESS'!$A$2:$A$100,0))),""))</f>
        <v/>
      </c>
      <c r="J14" s="25" t="n"/>
      <c r="K14" s="25" t="n"/>
      <c r="L14" s="26" t="n"/>
      <c r="M14" s="25" t="n"/>
      <c r="N14" s="25" t="n"/>
      <c r="O14" s="25" t="n"/>
      <c r="P14" s="27">
        <f>IF($A14="","",IFERROR(IF(INDEX('WP PROGRESS'!$V$2:$V$100,MATCH($A14,'WP PROGRESS'!$A$2:$A$100,0))="","",INDEX('WP PROGRESS'!$V$2:$V$100,MATCH($A14,'WP PROGRESS'!$A$2:$A$100,0))),""))</f>
        <v/>
      </c>
      <c r="Q14" s="28">
        <f>IF($A14="","",IFERROR(IF(INDEX('WP PROGRESS'!$E$2:$E$100,MATCH($A14,'WP PROGRESS'!$A$2:$A$100,0))="","",INDEX('WP PROGRESS'!$E$2:$E$100,MATCH($A14,'WP PROGRESS'!$A$2:$A$100,0))),""))</f>
        <v/>
      </c>
      <c r="R14" s="29">
        <f>IF($A14="","",IFERROR(IF(INDEX('WP PROGRESS'!$Z$2:$Z$100,MATCH($A14,'WP PROGRESS'!$A$2:$A$100,0))="","",INDEX('WP PROGRESS'!$Z$2:$Z$100,MATCH($A14,'WP PROGRESS'!$A$2:$A$100,0))),""))</f>
        <v/>
      </c>
      <c r="S14" s="29">
        <f>IF($A14="","",COUNTIFS(ISSUES!$P$5:$P$200,"*"&amp;$A14&amp;"*",ISSUES!$H$5:$H$200,"&lt;&gt;Closed",ISSUES!$H$5:$H$200,"&lt;&gt;Resolved",ISSUES!$H$5:$H$200,"&lt;&gt;Cancelled",ISSUES!$H$5:$H$200,"&lt;&gt;",ISSUES!$A$5:$A$200,"&lt;&gt;"))</f>
        <v/>
      </c>
      <c r="U14" s="29">
        <f>IF($A14="","",IFERROR(IF(INDEX('WORK PACKAGES'!$G$2:$G$100,MATCH($A14,'WORK PACKAGES'!$A$2:$A$100,0))="","",INDEX('WORK PACKAGES'!$G$2:$G$100,MATCH($A14,'WORK PACKAGES'!$A$2:$A$100,0))),""))</f>
        <v/>
      </c>
    </row>
    <row r="15" ht="23.25" customHeight="1" s="130">
      <c r="A15" s="40" t="n"/>
      <c r="B15" s="41">
        <f>IF($A15="","",IFERROR(IF(INDEX('WORK PACKAGES'!$B$2:$B$100,MATCH($A15,'WORK PACKAGES'!$A$2:$A$100,0))="","",INDEX('WORK PACKAGES'!$B$2:$B$100,MATCH($A15,'WORK PACKAGES'!$A$2:$A$100,0))),""))</f>
        <v/>
      </c>
      <c r="C15" s="34">
        <f>IF($A15="","",IFERROR(IF(INDEX('WORK PACKAGES'!$E$2:$E$100,MATCH($A15,'WORK PACKAGES'!$A$2:$A$100,0))="","",INDEX('WORK PACKAGES'!$E$2:$E$100,MATCH($A15,'WORK PACKAGES'!$A$2:$A$100,0))),""))</f>
        <v/>
      </c>
      <c r="D15" s="34" t="n"/>
      <c r="E15" s="24">
        <f>IF($A15="","",IFERROR(IF(INDEX('WP PROGRESS'!$F$2:$F$100,MATCH($A15,'WP PROGRESS'!$A$2:$A$100,0))="","",INDEX('WP PROGRESS'!$F$2:$F$100,MATCH($A15,'WP PROGRESS'!$A$2:$A$100,0))),""))</f>
        <v/>
      </c>
      <c r="F15" s="24">
        <f>IF($A15="","",IFERROR(IF(INDEX('WP PROGRESS'!$G$2:$G$100,MATCH($A15,'WP PROGRESS'!$A$2:$A$100,0))="","",INDEX('WP PROGRESS'!$G$2:$G$100,MATCH($A15,'WP PROGRESS'!$A$2:$A$100,0))),""))</f>
        <v/>
      </c>
      <c r="G15" s="24">
        <f>IF($A15="","",IFERROR(IF(INDEX('WP PROGRESS'!$H$2:$H$100,MATCH($A15,'WP PROGRESS'!$A$2:$A$100,0))="","",INDEX('WP PROGRESS'!$H$2:$H$100,MATCH($A15,'WP PROGRESS'!$A$2:$A$100,0))),""))</f>
        <v/>
      </c>
      <c r="H15" s="24">
        <f>IF($A15="","",IFERROR(IF(INDEX('WP PROGRESS'!$I$2:$I$100,MATCH($A15,'WP PROGRESS'!$A$2:$A$100,0))="","",INDEX('WP PROGRESS'!$I$2:$I$100,MATCH($A15,'WP PROGRESS'!$A$2:$A$100,0))),""))</f>
        <v/>
      </c>
      <c r="I15" s="24">
        <f>IF($A15="","",IFERROR(IF(INDEX('WP PROGRESS'!$K$2:$K$100,MATCH($A15,'WP PROGRESS'!$A$2:$A$100,0))="","",INDEX('WP PROGRESS'!$K$2:$K$100,MATCH($A15,'WP PROGRESS'!$A$2:$A$100,0))),""))</f>
        <v/>
      </c>
      <c r="J15" s="25" t="n"/>
      <c r="K15" s="25" t="n"/>
      <c r="L15" s="26" t="n"/>
      <c r="M15" s="25" t="n"/>
      <c r="N15" s="25" t="n"/>
      <c r="O15" s="25" t="n"/>
      <c r="P15" s="27">
        <f>IF($A15="","",IFERROR(IF(INDEX('WP PROGRESS'!$V$2:$V$100,MATCH($A15,'WP PROGRESS'!$A$2:$A$100,0))="","",INDEX('WP PROGRESS'!$V$2:$V$100,MATCH($A15,'WP PROGRESS'!$A$2:$A$100,0))),""))</f>
        <v/>
      </c>
      <c r="Q15" s="28">
        <f>IF($A15="","",IFERROR(IF(INDEX('WP PROGRESS'!$E$2:$E$100,MATCH($A15,'WP PROGRESS'!$A$2:$A$100,0))="","",INDEX('WP PROGRESS'!$E$2:$E$100,MATCH($A15,'WP PROGRESS'!$A$2:$A$100,0))),""))</f>
        <v/>
      </c>
      <c r="R15" s="29">
        <f>IF($A15="","",IFERROR(IF(INDEX('WP PROGRESS'!$Z$2:$Z$100,MATCH($A15,'WP PROGRESS'!$A$2:$A$100,0))="","",INDEX('WP PROGRESS'!$Z$2:$Z$100,MATCH($A15,'WP PROGRESS'!$A$2:$A$100,0))),""))</f>
        <v/>
      </c>
      <c r="S15" s="29">
        <f>IF($A15="","",COUNTIFS(ISSUES!$P$5:$P$200,"*"&amp;$A15&amp;"*",ISSUES!$H$5:$H$200,"&lt;&gt;Closed",ISSUES!$H$5:$H$200,"&lt;&gt;Resolved",ISSUES!$H$5:$H$200,"&lt;&gt;Cancelled",ISSUES!$H$5:$H$200,"&lt;&gt;",ISSUES!$A$5:$A$200,"&lt;&gt;"))</f>
        <v/>
      </c>
      <c r="U15" s="29">
        <f>IF($A15="","",IFERROR(IF(INDEX('WORK PACKAGES'!$G$2:$G$100,MATCH($A15,'WORK PACKAGES'!$A$2:$A$100,0))="","",INDEX('WORK PACKAGES'!$G$2:$G$100,MATCH($A15,'WORK PACKAGES'!$A$2:$A$100,0))),""))</f>
        <v/>
      </c>
    </row>
    <row r="16" ht="23.25" customHeight="1" s="130">
      <c r="A16" s="40" t="n"/>
      <c r="B16" s="41">
        <f>IF($A16="","",IFERROR(IF(INDEX('WORK PACKAGES'!$B$2:$B$100,MATCH($A16,'WORK PACKAGES'!$A$2:$A$100,0))="","",INDEX('WORK PACKAGES'!$B$2:$B$100,MATCH($A16,'WORK PACKAGES'!$A$2:$A$100,0))),""))</f>
        <v/>
      </c>
      <c r="C16" s="34">
        <f>IF($A16="","",IFERROR(IF(INDEX('WORK PACKAGES'!$E$2:$E$100,MATCH($A16,'WORK PACKAGES'!$A$2:$A$100,0))="","",INDEX('WORK PACKAGES'!$E$2:$E$100,MATCH($A16,'WORK PACKAGES'!$A$2:$A$100,0))),""))</f>
        <v/>
      </c>
      <c r="D16" s="34" t="n"/>
      <c r="E16" s="24">
        <f>IF($A16="","",IFERROR(IF(INDEX('WP PROGRESS'!$F$2:$F$100,MATCH($A16,'WP PROGRESS'!$A$2:$A$100,0))="","",INDEX('WP PROGRESS'!$F$2:$F$100,MATCH($A16,'WP PROGRESS'!$A$2:$A$100,0))),""))</f>
        <v/>
      </c>
      <c r="F16" s="24">
        <f>IF($A16="","",IFERROR(IF(INDEX('WP PROGRESS'!$G$2:$G$100,MATCH($A16,'WP PROGRESS'!$A$2:$A$100,0))="","",INDEX('WP PROGRESS'!$G$2:$G$100,MATCH($A16,'WP PROGRESS'!$A$2:$A$100,0))),""))</f>
        <v/>
      </c>
      <c r="G16" s="24">
        <f>IF($A16="","",IFERROR(IF(INDEX('WP PROGRESS'!$H$2:$H$100,MATCH($A16,'WP PROGRESS'!$A$2:$A$100,0))="","",INDEX('WP PROGRESS'!$H$2:$H$100,MATCH($A16,'WP PROGRESS'!$A$2:$A$100,0))),""))</f>
        <v/>
      </c>
      <c r="H16" s="24">
        <f>IF($A16="","",IFERROR(IF(INDEX('WP PROGRESS'!$I$2:$I$100,MATCH($A16,'WP PROGRESS'!$A$2:$A$100,0))="","",INDEX('WP PROGRESS'!$I$2:$I$100,MATCH($A16,'WP PROGRESS'!$A$2:$A$100,0))),""))</f>
        <v/>
      </c>
      <c r="I16" s="24">
        <f>IF($A16="","",IFERROR(IF(INDEX('WP PROGRESS'!$K$2:$K$100,MATCH($A16,'WP PROGRESS'!$A$2:$A$100,0))="","",INDEX('WP PROGRESS'!$K$2:$K$100,MATCH($A16,'WP PROGRESS'!$A$2:$A$100,0))),""))</f>
        <v/>
      </c>
      <c r="J16" s="25" t="n"/>
      <c r="K16" s="25" t="n"/>
      <c r="L16" s="26" t="n"/>
      <c r="M16" s="25" t="n"/>
      <c r="N16" s="25" t="n"/>
      <c r="O16" s="25" t="n"/>
      <c r="P16" s="27">
        <f>IF($A16="","",IFERROR(IF(INDEX('WP PROGRESS'!$V$2:$V$100,MATCH($A16,'WP PROGRESS'!$A$2:$A$100,0))="","",INDEX('WP PROGRESS'!$V$2:$V$100,MATCH($A16,'WP PROGRESS'!$A$2:$A$100,0))),""))</f>
        <v/>
      </c>
      <c r="Q16" s="28">
        <f>IF($A16="","",IFERROR(IF(INDEX('WP PROGRESS'!$E$2:$E$100,MATCH($A16,'WP PROGRESS'!$A$2:$A$100,0))="","",INDEX('WP PROGRESS'!$E$2:$E$100,MATCH($A16,'WP PROGRESS'!$A$2:$A$100,0))),""))</f>
        <v/>
      </c>
      <c r="R16" s="29">
        <f>IF($A16="","",IFERROR(IF(INDEX('WP PROGRESS'!$Z$2:$Z$100,MATCH($A16,'WP PROGRESS'!$A$2:$A$100,0))="","",INDEX('WP PROGRESS'!$Z$2:$Z$100,MATCH($A16,'WP PROGRESS'!$A$2:$A$100,0))),""))</f>
        <v/>
      </c>
      <c r="S16" s="29">
        <f>IF($A16="","",COUNTIFS(ISSUES!$P$5:$P$200,"*"&amp;$A16&amp;"*",ISSUES!$H$5:$H$200,"&lt;&gt;Closed",ISSUES!$H$5:$H$200,"&lt;&gt;Resolved",ISSUES!$H$5:$H$200,"&lt;&gt;Cancelled",ISSUES!$H$5:$H$200,"&lt;&gt;",ISSUES!$A$5:$A$200,"&lt;&gt;"))</f>
        <v/>
      </c>
      <c r="U16" s="29">
        <f>IF($A16="","",IFERROR(IF(INDEX('WORK PACKAGES'!$G$2:$G$100,MATCH($A16,'WORK PACKAGES'!$A$2:$A$100,0))="","",INDEX('WORK PACKAGES'!$G$2:$G$100,MATCH($A16,'WORK PACKAGES'!$A$2:$A$100,0))),""))</f>
        <v/>
      </c>
    </row>
    <row r="17" ht="23.25" customHeight="1" s="130">
      <c r="A17" s="40" t="n"/>
      <c r="B17" s="41">
        <f>IF($A17="","",IFERROR(IF(INDEX('WORK PACKAGES'!$B$2:$B$100,MATCH($A17,'WORK PACKAGES'!$A$2:$A$100,0))="","",INDEX('WORK PACKAGES'!$B$2:$B$100,MATCH($A17,'WORK PACKAGES'!$A$2:$A$100,0))),""))</f>
        <v/>
      </c>
      <c r="C17" s="34">
        <f>IF($A17="","",IFERROR(IF(INDEX('WORK PACKAGES'!$E$2:$E$100,MATCH($A17,'WORK PACKAGES'!$A$2:$A$100,0))="","",INDEX('WORK PACKAGES'!$E$2:$E$100,MATCH($A17,'WORK PACKAGES'!$A$2:$A$100,0))),""))</f>
        <v/>
      </c>
      <c r="D17" s="34" t="n"/>
      <c r="E17" s="24">
        <f>IF($A17="","",IFERROR(IF(INDEX('WP PROGRESS'!$F$2:$F$100,MATCH($A17,'WP PROGRESS'!$A$2:$A$100,0))="","",INDEX('WP PROGRESS'!$F$2:$F$100,MATCH($A17,'WP PROGRESS'!$A$2:$A$100,0))),""))</f>
        <v/>
      </c>
      <c r="F17" s="24">
        <f>IF($A17="","",IFERROR(IF(INDEX('WP PROGRESS'!$G$2:$G$100,MATCH($A17,'WP PROGRESS'!$A$2:$A$100,0))="","",INDEX('WP PROGRESS'!$G$2:$G$100,MATCH($A17,'WP PROGRESS'!$A$2:$A$100,0))),""))</f>
        <v/>
      </c>
      <c r="G17" s="24">
        <f>IF($A17="","",IFERROR(IF(INDEX('WP PROGRESS'!$H$2:$H$100,MATCH($A17,'WP PROGRESS'!$A$2:$A$100,0))="","",INDEX('WP PROGRESS'!$H$2:$H$100,MATCH($A17,'WP PROGRESS'!$A$2:$A$100,0))),""))</f>
        <v/>
      </c>
      <c r="H17" s="24">
        <f>IF($A17="","",IFERROR(IF(INDEX('WP PROGRESS'!$I$2:$I$100,MATCH($A17,'WP PROGRESS'!$A$2:$A$100,0))="","",INDEX('WP PROGRESS'!$I$2:$I$100,MATCH($A17,'WP PROGRESS'!$A$2:$A$100,0))),""))</f>
        <v/>
      </c>
      <c r="I17" s="24">
        <f>IF($A17="","",IFERROR(IF(INDEX('WP PROGRESS'!$K$2:$K$100,MATCH($A17,'WP PROGRESS'!$A$2:$A$100,0))="","",INDEX('WP PROGRESS'!$K$2:$K$100,MATCH($A17,'WP PROGRESS'!$A$2:$A$100,0))),""))</f>
        <v/>
      </c>
      <c r="J17" s="25" t="n"/>
      <c r="K17" s="25" t="n"/>
      <c r="L17" s="26" t="n"/>
      <c r="M17" s="25" t="n"/>
      <c r="N17" s="25" t="n"/>
      <c r="O17" s="25" t="n"/>
      <c r="P17" s="27">
        <f>IF($A17="","",IFERROR(IF(INDEX('WP PROGRESS'!$V$2:$V$100,MATCH($A17,'WP PROGRESS'!$A$2:$A$100,0))="","",INDEX('WP PROGRESS'!$V$2:$V$100,MATCH($A17,'WP PROGRESS'!$A$2:$A$100,0))),""))</f>
        <v/>
      </c>
      <c r="Q17" s="28">
        <f>IF($A17="","",IFERROR(IF(INDEX('WP PROGRESS'!$E$2:$E$100,MATCH($A17,'WP PROGRESS'!$A$2:$A$100,0))="","",INDEX('WP PROGRESS'!$E$2:$E$100,MATCH($A17,'WP PROGRESS'!$A$2:$A$100,0))),""))</f>
        <v/>
      </c>
      <c r="R17" s="29">
        <f>IF($A17="","",IFERROR(IF(INDEX('WP PROGRESS'!$Z$2:$Z$100,MATCH($A17,'WP PROGRESS'!$A$2:$A$100,0))="","",INDEX('WP PROGRESS'!$Z$2:$Z$100,MATCH($A17,'WP PROGRESS'!$A$2:$A$100,0))),""))</f>
        <v/>
      </c>
      <c r="S17" s="29">
        <f>IF($A17="","",COUNTIFS(ISSUES!$P$5:$P$200,"*"&amp;$A17&amp;"*",ISSUES!$H$5:$H$200,"&lt;&gt;Closed",ISSUES!$H$5:$H$200,"&lt;&gt;Resolved",ISSUES!$H$5:$H$200,"&lt;&gt;Cancelled",ISSUES!$H$5:$H$200,"&lt;&gt;",ISSUES!$A$5:$A$200,"&lt;&gt;"))</f>
        <v/>
      </c>
      <c r="U17" s="29">
        <f>IF($A17="","",IFERROR(IF(INDEX('WORK PACKAGES'!$G$2:$G$100,MATCH($A17,'WORK PACKAGES'!$A$2:$A$100,0))="","",INDEX('WORK PACKAGES'!$G$2:$G$100,MATCH($A17,'WORK PACKAGES'!$A$2:$A$100,0))),""))</f>
        <v/>
      </c>
    </row>
    <row r="18" ht="23.25" customHeight="1" s="130">
      <c r="A18" s="40" t="n"/>
      <c r="B18" s="41">
        <f>IF($A18="","",IFERROR(IF(INDEX('WORK PACKAGES'!$B$2:$B$100,MATCH($A18,'WORK PACKAGES'!$A$2:$A$100,0))="","",INDEX('WORK PACKAGES'!$B$2:$B$100,MATCH($A18,'WORK PACKAGES'!$A$2:$A$100,0))),""))</f>
        <v/>
      </c>
      <c r="C18" s="34">
        <f>IF($A18="","",IFERROR(IF(INDEX('WORK PACKAGES'!$E$2:$E$100,MATCH($A18,'WORK PACKAGES'!$A$2:$A$100,0))="","",INDEX('WORK PACKAGES'!$E$2:$E$100,MATCH($A18,'WORK PACKAGES'!$A$2:$A$100,0))),""))</f>
        <v/>
      </c>
      <c r="D18" s="34" t="n"/>
      <c r="E18" s="24">
        <f>IF($A18="","",IFERROR(IF(INDEX('WP PROGRESS'!$F$2:$F$100,MATCH($A18,'WP PROGRESS'!$A$2:$A$100,0))="","",INDEX('WP PROGRESS'!$F$2:$F$100,MATCH($A18,'WP PROGRESS'!$A$2:$A$100,0))),""))</f>
        <v/>
      </c>
      <c r="F18" s="24">
        <f>IF($A18="","",IFERROR(IF(INDEX('WP PROGRESS'!$G$2:$G$100,MATCH($A18,'WP PROGRESS'!$A$2:$A$100,0))="","",INDEX('WP PROGRESS'!$G$2:$G$100,MATCH($A18,'WP PROGRESS'!$A$2:$A$100,0))),""))</f>
        <v/>
      </c>
      <c r="G18" s="24">
        <f>IF($A18="","",IFERROR(IF(INDEX('WP PROGRESS'!$H$2:$H$100,MATCH($A18,'WP PROGRESS'!$A$2:$A$100,0))="","",INDEX('WP PROGRESS'!$H$2:$H$100,MATCH($A18,'WP PROGRESS'!$A$2:$A$100,0))),""))</f>
        <v/>
      </c>
      <c r="H18" s="24">
        <f>IF($A18="","",IFERROR(IF(INDEX('WP PROGRESS'!$I$2:$I$100,MATCH($A18,'WP PROGRESS'!$A$2:$A$100,0))="","",INDEX('WP PROGRESS'!$I$2:$I$100,MATCH($A18,'WP PROGRESS'!$A$2:$A$100,0))),""))</f>
        <v/>
      </c>
      <c r="I18" s="24">
        <f>IF($A18="","",IFERROR(IF(INDEX('WP PROGRESS'!$K$2:$K$100,MATCH($A18,'WP PROGRESS'!$A$2:$A$100,0))="","",INDEX('WP PROGRESS'!$K$2:$K$100,MATCH($A18,'WP PROGRESS'!$A$2:$A$100,0))),""))</f>
        <v/>
      </c>
      <c r="J18" s="25" t="n"/>
      <c r="K18" s="25" t="n"/>
      <c r="L18" s="26" t="n"/>
      <c r="M18" s="25" t="n"/>
      <c r="N18" s="25" t="n"/>
      <c r="O18" s="25" t="n"/>
      <c r="P18" s="27">
        <f>IF($A18="","",IFERROR(IF(INDEX('WP PROGRESS'!$V$2:$V$100,MATCH($A18,'WP PROGRESS'!$A$2:$A$100,0))="","",INDEX('WP PROGRESS'!$V$2:$V$100,MATCH($A18,'WP PROGRESS'!$A$2:$A$100,0))),""))</f>
        <v/>
      </c>
      <c r="Q18" s="28">
        <f>IF($A18="","",IFERROR(IF(INDEX('WP PROGRESS'!$E$2:$E$100,MATCH($A18,'WP PROGRESS'!$A$2:$A$100,0))="","",INDEX('WP PROGRESS'!$E$2:$E$100,MATCH($A18,'WP PROGRESS'!$A$2:$A$100,0))),""))</f>
        <v/>
      </c>
      <c r="R18" s="29">
        <f>IF($A18="","",IFERROR(IF(INDEX('WP PROGRESS'!$Z$2:$Z$100,MATCH($A18,'WP PROGRESS'!$A$2:$A$100,0))="","",INDEX('WP PROGRESS'!$Z$2:$Z$100,MATCH($A18,'WP PROGRESS'!$A$2:$A$100,0))),""))</f>
        <v/>
      </c>
      <c r="S18" s="29">
        <f>IF($A18="","",COUNTIFS(ISSUES!$P$5:$P$200,"*"&amp;$A18&amp;"*",ISSUES!$H$5:$H$200,"&lt;&gt;Closed",ISSUES!$H$5:$H$200,"&lt;&gt;Resolved",ISSUES!$H$5:$H$200,"&lt;&gt;Cancelled",ISSUES!$H$5:$H$200,"&lt;&gt;",ISSUES!$A$5:$A$200,"&lt;&gt;"))</f>
        <v/>
      </c>
      <c r="U18" s="29">
        <f>IF($A18="","",IFERROR(IF(INDEX('WORK PACKAGES'!$G$2:$G$100,MATCH($A18,'WORK PACKAGES'!$A$2:$A$100,0))="","",INDEX('WORK PACKAGES'!$G$2:$G$100,MATCH($A18,'WORK PACKAGES'!$A$2:$A$100,0))),""))</f>
        <v/>
      </c>
    </row>
    <row r="19" ht="23.25" customHeight="1" s="130">
      <c r="A19" s="40" t="n"/>
      <c r="B19" s="41">
        <f>IF($A19="","",IFERROR(IF(INDEX('WORK PACKAGES'!$B$2:$B$100,MATCH($A19,'WORK PACKAGES'!$A$2:$A$100,0))="","",INDEX('WORK PACKAGES'!$B$2:$B$100,MATCH($A19,'WORK PACKAGES'!$A$2:$A$100,0))),""))</f>
        <v/>
      </c>
      <c r="C19" s="34">
        <f>IF($A19="","",IFERROR(IF(INDEX('WORK PACKAGES'!$E$2:$E$100,MATCH($A19,'WORK PACKAGES'!$A$2:$A$100,0))="","",INDEX('WORK PACKAGES'!$E$2:$E$100,MATCH($A19,'WORK PACKAGES'!$A$2:$A$100,0))),""))</f>
        <v/>
      </c>
      <c r="D19" s="34" t="n"/>
      <c r="E19" s="24">
        <f>IF($A19="","",IFERROR(IF(INDEX('WP PROGRESS'!$F$2:$F$100,MATCH($A19,'WP PROGRESS'!$A$2:$A$100,0))="","",INDEX('WP PROGRESS'!$F$2:$F$100,MATCH($A19,'WP PROGRESS'!$A$2:$A$100,0))),""))</f>
        <v/>
      </c>
      <c r="F19" s="24">
        <f>IF($A19="","",IFERROR(IF(INDEX('WP PROGRESS'!$G$2:$G$100,MATCH($A19,'WP PROGRESS'!$A$2:$A$100,0))="","",INDEX('WP PROGRESS'!$G$2:$G$100,MATCH($A19,'WP PROGRESS'!$A$2:$A$100,0))),""))</f>
        <v/>
      </c>
      <c r="G19" s="24">
        <f>IF($A19="","",IFERROR(IF(INDEX('WP PROGRESS'!$H$2:$H$100,MATCH($A19,'WP PROGRESS'!$A$2:$A$100,0))="","",INDEX('WP PROGRESS'!$H$2:$H$100,MATCH($A19,'WP PROGRESS'!$A$2:$A$100,0))),""))</f>
        <v/>
      </c>
      <c r="H19" s="24">
        <f>IF($A19="","",IFERROR(IF(INDEX('WP PROGRESS'!$I$2:$I$100,MATCH($A19,'WP PROGRESS'!$A$2:$A$100,0))="","",INDEX('WP PROGRESS'!$I$2:$I$100,MATCH($A19,'WP PROGRESS'!$A$2:$A$100,0))),""))</f>
        <v/>
      </c>
      <c r="I19" s="24">
        <f>IF($A19="","",IFERROR(IF(INDEX('WP PROGRESS'!$K$2:$K$100,MATCH($A19,'WP PROGRESS'!$A$2:$A$100,0))="","",INDEX('WP PROGRESS'!$K$2:$K$100,MATCH($A19,'WP PROGRESS'!$A$2:$A$100,0))),""))</f>
        <v/>
      </c>
      <c r="J19" s="25" t="n"/>
      <c r="K19" s="25" t="n"/>
      <c r="L19" s="26" t="n"/>
      <c r="M19" s="25" t="n"/>
      <c r="N19" s="25" t="n"/>
      <c r="O19" s="25" t="n"/>
      <c r="P19" s="27">
        <f>IF($A19="","",IFERROR(IF(INDEX('WP PROGRESS'!$V$2:$V$100,MATCH($A19,'WP PROGRESS'!$A$2:$A$100,0))="","",INDEX('WP PROGRESS'!$V$2:$V$100,MATCH($A19,'WP PROGRESS'!$A$2:$A$100,0))),""))</f>
        <v/>
      </c>
      <c r="Q19" s="28">
        <f>IF($A19="","",IFERROR(IF(INDEX('WP PROGRESS'!$E$2:$E$100,MATCH($A19,'WP PROGRESS'!$A$2:$A$100,0))="","",INDEX('WP PROGRESS'!$E$2:$E$100,MATCH($A19,'WP PROGRESS'!$A$2:$A$100,0))),""))</f>
        <v/>
      </c>
      <c r="R19" s="29">
        <f>IF($A19="","",IFERROR(IF(INDEX('WP PROGRESS'!$Z$2:$Z$100,MATCH($A19,'WP PROGRESS'!$A$2:$A$100,0))="","",INDEX('WP PROGRESS'!$Z$2:$Z$100,MATCH($A19,'WP PROGRESS'!$A$2:$A$100,0))),""))</f>
        <v/>
      </c>
      <c r="S19" s="29">
        <f>IF($A19="","",COUNTIFS(ISSUES!$P$5:$P$200,"*"&amp;$A19&amp;"*",ISSUES!$H$5:$H$200,"&lt;&gt;Closed",ISSUES!$H$5:$H$200,"&lt;&gt;Resolved",ISSUES!$H$5:$H$200,"&lt;&gt;Cancelled",ISSUES!$H$5:$H$200,"&lt;&gt;",ISSUES!$A$5:$A$200,"&lt;&gt;"))</f>
        <v/>
      </c>
      <c r="U19" s="29">
        <f>IF($A19="","",IFERROR(IF(INDEX('WORK PACKAGES'!$G$2:$G$100,MATCH($A19,'WORK PACKAGES'!$A$2:$A$100,0))="","",INDEX('WORK PACKAGES'!$G$2:$G$100,MATCH($A19,'WORK PACKAGES'!$A$2:$A$100,0))),""))</f>
        <v/>
      </c>
    </row>
    <row r="20" ht="23.25" customHeight="1" s="130">
      <c r="A20" s="40" t="n"/>
      <c r="B20" s="41">
        <f>IF($A20="","",IFERROR(IF(INDEX('WORK PACKAGES'!$B$2:$B$100,MATCH($A20,'WORK PACKAGES'!$A$2:$A$100,0))="","",INDEX('WORK PACKAGES'!$B$2:$B$100,MATCH($A20,'WORK PACKAGES'!$A$2:$A$100,0))),""))</f>
        <v/>
      </c>
      <c r="C20" s="34">
        <f>IF($A20="","",IFERROR(IF(INDEX('WORK PACKAGES'!$E$2:$E$100,MATCH($A20,'WORK PACKAGES'!$A$2:$A$100,0))="","",INDEX('WORK PACKAGES'!$E$2:$E$100,MATCH($A20,'WORK PACKAGES'!$A$2:$A$100,0))),""))</f>
        <v/>
      </c>
      <c r="D20" s="34" t="n"/>
      <c r="E20" s="24">
        <f>IF($A20="","",IFERROR(IF(INDEX('WP PROGRESS'!$F$2:$F$100,MATCH($A20,'WP PROGRESS'!$A$2:$A$100,0))="","",INDEX('WP PROGRESS'!$F$2:$F$100,MATCH($A20,'WP PROGRESS'!$A$2:$A$100,0))),""))</f>
        <v/>
      </c>
      <c r="F20" s="24">
        <f>IF($A20="","",IFERROR(IF(INDEX('WP PROGRESS'!$G$2:$G$100,MATCH($A20,'WP PROGRESS'!$A$2:$A$100,0))="","",INDEX('WP PROGRESS'!$G$2:$G$100,MATCH($A20,'WP PROGRESS'!$A$2:$A$100,0))),""))</f>
        <v/>
      </c>
      <c r="G20" s="24">
        <f>IF($A20="","",IFERROR(IF(INDEX('WP PROGRESS'!$H$2:$H$100,MATCH($A20,'WP PROGRESS'!$A$2:$A$100,0))="","",INDEX('WP PROGRESS'!$H$2:$H$100,MATCH($A20,'WP PROGRESS'!$A$2:$A$100,0))),""))</f>
        <v/>
      </c>
      <c r="H20" s="24">
        <f>IF($A20="","",IFERROR(IF(INDEX('WP PROGRESS'!$I$2:$I$100,MATCH($A20,'WP PROGRESS'!$A$2:$A$100,0))="","",INDEX('WP PROGRESS'!$I$2:$I$100,MATCH($A20,'WP PROGRESS'!$A$2:$A$100,0))),""))</f>
        <v/>
      </c>
      <c r="I20" s="24">
        <f>IF($A20="","",IFERROR(IF(INDEX('WP PROGRESS'!$K$2:$K$100,MATCH($A20,'WP PROGRESS'!$A$2:$A$100,0))="","",INDEX('WP PROGRESS'!$K$2:$K$100,MATCH($A20,'WP PROGRESS'!$A$2:$A$100,0))),""))</f>
        <v/>
      </c>
      <c r="J20" s="25" t="n"/>
      <c r="K20" s="25" t="n"/>
      <c r="L20" s="26" t="n"/>
      <c r="M20" s="25" t="n"/>
      <c r="N20" s="25" t="n"/>
      <c r="O20" s="25" t="n"/>
      <c r="P20" s="27">
        <f>IF($A20="","",IFERROR(IF(INDEX('WP PROGRESS'!$V$2:$V$100,MATCH($A20,'WP PROGRESS'!$A$2:$A$100,0))="","",INDEX('WP PROGRESS'!$V$2:$V$100,MATCH($A20,'WP PROGRESS'!$A$2:$A$100,0))),""))</f>
        <v/>
      </c>
      <c r="Q20" s="28">
        <f>IF($A20="","",IFERROR(IF(INDEX('WP PROGRESS'!$E$2:$E$100,MATCH($A20,'WP PROGRESS'!$A$2:$A$100,0))="","",INDEX('WP PROGRESS'!$E$2:$E$100,MATCH($A20,'WP PROGRESS'!$A$2:$A$100,0))),""))</f>
        <v/>
      </c>
      <c r="R20" s="29">
        <f>IF($A20="","",IFERROR(IF(INDEX('WP PROGRESS'!$Z$2:$Z$100,MATCH($A20,'WP PROGRESS'!$A$2:$A$100,0))="","",INDEX('WP PROGRESS'!$Z$2:$Z$100,MATCH($A20,'WP PROGRESS'!$A$2:$A$100,0))),""))</f>
        <v/>
      </c>
      <c r="S20" s="29">
        <f>IF($A20="","",COUNTIFS(ISSUES!$P$5:$P$200,"*"&amp;$A20&amp;"*",ISSUES!$H$5:$H$200,"&lt;&gt;Closed",ISSUES!$H$5:$H$200,"&lt;&gt;Resolved",ISSUES!$H$5:$H$200,"&lt;&gt;Cancelled",ISSUES!$H$5:$H$200,"&lt;&gt;",ISSUES!$A$5:$A$200,"&lt;&gt;"))</f>
        <v/>
      </c>
      <c r="U20" s="29">
        <f>IF($A20="","",IFERROR(IF(INDEX('WORK PACKAGES'!$G$2:$G$100,MATCH($A20,'WORK PACKAGES'!$A$2:$A$100,0))="","",INDEX('WORK PACKAGES'!$G$2:$G$100,MATCH($A20,'WORK PACKAGES'!$A$2:$A$100,0))),""))</f>
        <v/>
      </c>
    </row>
    <row r="21" ht="23.25" customHeight="1" s="130">
      <c r="A21" s="40" t="n"/>
      <c r="B21" s="41">
        <f>IF($A21="","",IFERROR(IF(INDEX('WORK PACKAGES'!$B$2:$B$100,MATCH($A21,'WORK PACKAGES'!$A$2:$A$100,0))="","",INDEX('WORK PACKAGES'!$B$2:$B$100,MATCH($A21,'WORK PACKAGES'!$A$2:$A$100,0))),""))</f>
        <v/>
      </c>
      <c r="C21" s="34">
        <f>IF($A21="","",IFERROR(IF(INDEX('WORK PACKAGES'!$E$2:$E$100,MATCH($A21,'WORK PACKAGES'!$A$2:$A$100,0))="","",INDEX('WORK PACKAGES'!$E$2:$E$100,MATCH($A21,'WORK PACKAGES'!$A$2:$A$100,0))),""))</f>
        <v/>
      </c>
      <c r="D21" s="34" t="n"/>
      <c r="E21" s="24">
        <f>IF($A21="","",IFERROR(IF(INDEX('WP PROGRESS'!$F$2:$F$100,MATCH($A21,'WP PROGRESS'!$A$2:$A$100,0))="","",INDEX('WP PROGRESS'!$F$2:$F$100,MATCH($A21,'WP PROGRESS'!$A$2:$A$100,0))),""))</f>
        <v/>
      </c>
      <c r="F21" s="24">
        <f>IF($A21="","",IFERROR(IF(INDEX('WP PROGRESS'!$G$2:$G$100,MATCH($A21,'WP PROGRESS'!$A$2:$A$100,0))="","",INDEX('WP PROGRESS'!$G$2:$G$100,MATCH($A21,'WP PROGRESS'!$A$2:$A$100,0))),""))</f>
        <v/>
      </c>
      <c r="G21" s="24">
        <f>IF($A21="","",IFERROR(IF(INDEX('WP PROGRESS'!$H$2:$H$100,MATCH($A21,'WP PROGRESS'!$A$2:$A$100,0))="","",INDEX('WP PROGRESS'!$H$2:$H$100,MATCH($A21,'WP PROGRESS'!$A$2:$A$100,0))),""))</f>
        <v/>
      </c>
      <c r="H21" s="24">
        <f>IF($A21="","",IFERROR(IF(INDEX('WP PROGRESS'!$I$2:$I$100,MATCH($A21,'WP PROGRESS'!$A$2:$A$100,0))="","",INDEX('WP PROGRESS'!$I$2:$I$100,MATCH($A21,'WP PROGRESS'!$A$2:$A$100,0))),""))</f>
        <v/>
      </c>
      <c r="I21" s="24">
        <f>IF($A21="","",IFERROR(IF(INDEX('WP PROGRESS'!$K$2:$K$100,MATCH($A21,'WP PROGRESS'!$A$2:$A$100,0))="","",INDEX('WP PROGRESS'!$K$2:$K$100,MATCH($A21,'WP PROGRESS'!$A$2:$A$100,0))),""))</f>
        <v/>
      </c>
      <c r="J21" s="25" t="n"/>
      <c r="K21" s="25" t="n"/>
      <c r="L21" s="26" t="n"/>
      <c r="M21" s="25" t="n"/>
      <c r="N21" s="25" t="n"/>
      <c r="O21" s="25" t="n"/>
      <c r="P21" s="27">
        <f>IF($A21="","",IFERROR(IF(INDEX('WP PROGRESS'!$V$2:$V$100,MATCH($A21,'WP PROGRESS'!$A$2:$A$100,0))="","",INDEX('WP PROGRESS'!$V$2:$V$100,MATCH($A21,'WP PROGRESS'!$A$2:$A$100,0))),""))</f>
        <v/>
      </c>
      <c r="Q21" s="28">
        <f>IF($A21="","",IFERROR(IF(INDEX('WP PROGRESS'!$E$2:$E$100,MATCH($A21,'WP PROGRESS'!$A$2:$A$100,0))="","",INDEX('WP PROGRESS'!$E$2:$E$100,MATCH($A21,'WP PROGRESS'!$A$2:$A$100,0))),""))</f>
        <v/>
      </c>
      <c r="R21" s="29">
        <f>IF($A21="","",IFERROR(IF(INDEX('WP PROGRESS'!$Z$2:$Z$100,MATCH($A21,'WP PROGRESS'!$A$2:$A$100,0))="","",INDEX('WP PROGRESS'!$Z$2:$Z$100,MATCH($A21,'WP PROGRESS'!$A$2:$A$100,0))),""))</f>
        <v/>
      </c>
      <c r="S21" s="29">
        <f>IF($A21="","",COUNTIFS(ISSUES!$P$5:$P$200,"*"&amp;$A21&amp;"*",ISSUES!$H$5:$H$200,"&lt;&gt;Closed",ISSUES!$H$5:$H$200,"&lt;&gt;Resolved",ISSUES!$H$5:$H$200,"&lt;&gt;Cancelled",ISSUES!$H$5:$H$200,"&lt;&gt;",ISSUES!$A$5:$A$200,"&lt;&gt;"))</f>
        <v/>
      </c>
      <c r="U21" s="29">
        <f>IF($A21="","",IFERROR(IF(INDEX('WORK PACKAGES'!$G$2:$G$100,MATCH($A21,'WORK PACKAGES'!$A$2:$A$100,0))="","",INDEX('WORK PACKAGES'!$G$2:$G$100,MATCH($A21,'WORK PACKAGES'!$A$2:$A$100,0))),""))</f>
        <v/>
      </c>
    </row>
    <row r="22" ht="23.25" customHeight="1" s="130">
      <c r="A22" s="40" t="n"/>
      <c r="B22" s="41">
        <f>IF($A22="","",IFERROR(IF(INDEX('WORK PACKAGES'!$B$2:$B$100,MATCH($A22,'WORK PACKAGES'!$A$2:$A$100,0))="","",INDEX('WORK PACKAGES'!$B$2:$B$100,MATCH($A22,'WORK PACKAGES'!$A$2:$A$100,0))),""))</f>
        <v/>
      </c>
      <c r="C22" s="34">
        <f>IF($A22="","",IFERROR(IF(INDEX('WORK PACKAGES'!$E$2:$E$100,MATCH($A22,'WORK PACKAGES'!$A$2:$A$100,0))="","",INDEX('WORK PACKAGES'!$E$2:$E$100,MATCH($A22,'WORK PACKAGES'!$A$2:$A$100,0))),""))</f>
        <v/>
      </c>
      <c r="D22" s="34" t="n"/>
      <c r="E22" s="24">
        <f>IF($A22="","",IFERROR(IF(INDEX('WP PROGRESS'!$F$2:$F$100,MATCH($A22,'WP PROGRESS'!$A$2:$A$100,0))="","",INDEX('WP PROGRESS'!$F$2:$F$100,MATCH($A22,'WP PROGRESS'!$A$2:$A$100,0))),""))</f>
        <v/>
      </c>
      <c r="F22" s="24">
        <f>IF($A22="","",IFERROR(IF(INDEX('WP PROGRESS'!$G$2:$G$100,MATCH($A22,'WP PROGRESS'!$A$2:$A$100,0))="","",INDEX('WP PROGRESS'!$G$2:$G$100,MATCH($A22,'WP PROGRESS'!$A$2:$A$100,0))),""))</f>
        <v/>
      </c>
      <c r="G22" s="24">
        <f>IF($A22="","",IFERROR(IF(INDEX('WP PROGRESS'!$H$2:$H$100,MATCH($A22,'WP PROGRESS'!$A$2:$A$100,0))="","",INDEX('WP PROGRESS'!$H$2:$H$100,MATCH($A22,'WP PROGRESS'!$A$2:$A$100,0))),""))</f>
        <v/>
      </c>
      <c r="H22" s="24">
        <f>IF($A22="","",IFERROR(IF(INDEX('WP PROGRESS'!$I$2:$I$100,MATCH($A22,'WP PROGRESS'!$A$2:$A$100,0))="","",INDEX('WP PROGRESS'!$I$2:$I$100,MATCH($A22,'WP PROGRESS'!$A$2:$A$100,0))),""))</f>
        <v/>
      </c>
      <c r="I22" s="24">
        <f>IF($A22="","",IFERROR(IF(INDEX('WP PROGRESS'!$K$2:$K$100,MATCH($A22,'WP PROGRESS'!$A$2:$A$100,0))="","",INDEX('WP PROGRESS'!$K$2:$K$100,MATCH($A22,'WP PROGRESS'!$A$2:$A$100,0))),""))</f>
        <v/>
      </c>
      <c r="J22" s="42" t="n"/>
      <c r="K22" s="42" t="n"/>
      <c r="L22" s="26" t="n"/>
      <c r="M22" s="42" t="n"/>
      <c r="N22" s="42" t="n"/>
      <c r="O22" s="42" t="n"/>
      <c r="P22" s="27">
        <f>IF($A22="","",IFERROR(IF(INDEX('WP PROGRESS'!$V$2:$V$100,MATCH($A22,'WP PROGRESS'!$A$2:$A$100,0))="","",INDEX('WP PROGRESS'!$V$2:$V$100,MATCH($A22,'WP PROGRESS'!$A$2:$A$100,0))),""))</f>
        <v/>
      </c>
      <c r="Q22" s="28">
        <f>IF($A22="","",IFERROR(IF(INDEX('WP PROGRESS'!$E$2:$E$100,MATCH($A22,'WP PROGRESS'!$A$2:$A$100,0))="","",INDEX('WP PROGRESS'!$E$2:$E$100,MATCH($A22,'WP PROGRESS'!$A$2:$A$100,0))),""))</f>
        <v/>
      </c>
      <c r="R22" s="29">
        <f>IF($A22="","",IFERROR(IF(INDEX('WP PROGRESS'!$Z$2:$Z$100,MATCH($A22,'WP PROGRESS'!$A$2:$A$100,0))="","",INDEX('WP PROGRESS'!$Z$2:$Z$100,MATCH($A22,'WP PROGRESS'!$A$2:$A$100,0))),""))</f>
        <v/>
      </c>
      <c r="S22" s="29">
        <f>IF($A22="","",COUNTIFS(ISSUES!$P$5:$P$200,"*"&amp;$A22&amp;"*",ISSUES!$H$5:$H$200,"&lt;&gt;Closed",ISSUES!$H$5:$H$200,"&lt;&gt;Resolved",ISSUES!$H$5:$H$200,"&lt;&gt;Cancelled",ISSUES!$H$5:$H$200,"&lt;&gt;",ISSUES!$A$5:$A$200,"&lt;&gt;"))</f>
        <v/>
      </c>
      <c r="U22" s="29">
        <f>IF($A22="","",IFERROR(IF(INDEX('WORK PACKAGES'!$G$2:$G$100,MATCH($A22,'WORK PACKAGES'!$A$2:$A$100,0))="","",INDEX('WORK PACKAGES'!$G$2:$G$100,MATCH($A22,'WORK PACKAGES'!$A$2:$A$100,0))),""))</f>
        <v/>
      </c>
    </row>
    <row r="23" ht="23.25" customHeight="1" s="130">
      <c r="A23" s="40" t="n"/>
      <c r="B23" s="41">
        <f>IF($A23="","",IFERROR(IF(INDEX('WORK PACKAGES'!$B$2:$B$100,MATCH($A23,'WORK PACKAGES'!$A$2:$A$100,0))="","",INDEX('WORK PACKAGES'!$B$2:$B$100,MATCH($A23,'WORK PACKAGES'!$A$2:$A$100,0))),""))</f>
        <v/>
      </c>
      <c r="C23" s="34">
        <f>IF($A23="","",IFERROR(IF(INDEX('WORK PACKAGES'!$E$2:$E$100,MATCH($A23,'WORK PACKAGES'!$A$2:$A$100,0))="","",INDEX('WORK PACKAGES'!$E$2:$E$100,MATCH($A23,'WORK PACKAGES'!$A$2:$A$100,0))),""))</f>
        <v/>
      </c>
      <c r="D23" s="34" t="n"/>
      <c r="E23" s="24">
        <f>IF($A23="","",IFERROR(IF(INDEX('WP PROGRESS'!$F$2:$F$100,MATCH($A23,'WP PROGRESS'!$A$2:$A$100,0))="","",INDEX('WP PROGRESS'!$F$2:$F$100,MATCH($A23,'WP PROGRESS'!$A$2:$A$100,0))),""))</f>
        <v/>
      </c>
      <c r="F23" s="24">
        <f>IF($A23="","",IFERROR(IF(INDEX('WP PROGRESS'!$G$2:$G$100,MATCH($A23,'WP PROGRESS'!$A$2:$A$100,0))="","",INDEX('WP PROGRESS'!$G$2:$G$100,MATCH($A23,'WP PROGRESS'!$A$2:$A$100,0))),""))</f>
        <v/>
      </c>
      <c r="G23" s="24">
        <f>IF($A23="","",IFERROR(IF(INDEX('WP PROGRESS'!$H$2:$H$100,MATCH($A23,'WP PROGRESS'!$A$2:$A$100,0))="","",INDEX('WP PROGRESS'!$H$2:$H$100,MATCH($A23,'WP PROGRESS'!$A$2:$A$100,0))),""))</f>
        <v/>
      </c>
      <c r="H23" s="24">
        <f>IF($A23="","",IFERROR(IF(INDEX('WP PROGRESS'!$I$2:$I$100,MATCH($A23,'WP PROGRESS'!$A$2:$A$100,0))="","",INDEX('WP PROGRESS'!$I$2:$I$100,MATCH($A23,'WP PROGRESS'!$A$2:$A$100,0))),""))</f>
        <v/>
      </c>
      <c r="I23" s="24">
        <f>IF($A23="","",IFERROR(IF(INDEX('WP PROGRESS'!$K$2:$K$100,MATCH($A23,'WP PROGRESS'!$A$2:$A$100,0))="","",INDEX('WP PROGRESS'!$K$2:$K$100,MATCH($A23,'WP PROGRESS'!$A$2:$A$100,0))),""))</f>
        <v/>
      </c>
      <c r="J23" s="42" t="n"/>
      <c r="K23" s="42" t="n"/>
      <c r="L23" s="26" t="n"/>
      <c r="M23" s="42" t="n"/>
      <c r="N23" s="42" t="n"/>
      <c r="O23" s="42" t="n"/>
      <c r="P23" s="27">
        <f>IF($A23="","",IFERROR(IF(INDEX('WP PROGRESS'!$V$2:$V$100,MATCH($A23,'WP PROGRESS'!$A$2:$A$100,0))="","",INDEX('WP PROGRESS'!$V$2:$V$100,MATCH($A23,'WP PROGRESS'!$A$2:$A$100,0))),""))</f>
        <v/>
      </c>
      <c r="Q23" s="28">
        <f>IF($A23="","",IFERROR(IF(INDEX('WP PROGRESS'!$E$2:$E$100,MATCH($A23,'WP PROGRESS'!$A$2:$A$100,0))="","",INDEX('WP PROGRESS'!$E$2:$E$100,MATCH($A23,'WP PROGRESS'!$A$2:$A$100,0))),""))</f>
        <v/>
      </c>
      <c r="R23" s="29">
        <f>IF($A23="","",IFERROR(IF(INDEX('WP PROGRESS'!$Z$2:$Z$100,MATCH($A23,'WP PROGRESS'!$A$2:$A$100,0))="","",INDEX('WP PROGRESS'!$Z$2:$Z$100,MATCH($A23,'WP PROGRESS'!$A$2:$A$100,0))),""))</f>
        <v/>
      </c>
      <c r="S23" s="29">
        <f>IF($A23="","",COUNTIFS(ISSUES!$P$5:$P$200,"*"&amp;$A23&amp;"*",ISSUES!$H$5:$H$200,"&lt;&gt;Closed",ISSUES!$H$5:$H$200,"&lt;&gt;Resolved",ISSUES!$H$5:$H$200,"&lt;&gt;Cancelled",ISSUES!$H$5:$H$200,"&lt;&gt;",ISSUES!$A$5:$A$200,"&lt;&gt;"))</f>
        <v/>
      </c>
      <c r="U23" s="29">
        <f>IF($A23="","",IFERROR(IF(INDEX('WORK PACKAGES'!$G$2:$G$100,MATCH($A23,'WORK PACKAGES'!$A$2:$A$100,0))="","",INDEX('WORK PACKAGES'!$G$2:$G$100,MATCH($A23,'WORK PACKAGES'!$A$2:$A$100,0))),""))</f>
        <v/>
      </c>
    </row>
    <row r="24" ht="23.25" customHeight="1" s="130">
      <c r="A24" s="40" t="n"/>
      <c r="B24" s="41">
        <f>IF($A24="","",IFERROR(IF(INDEX('WORK PACKAGES'!$B$2:$B$100,MATCH($A24,'WORK PACKAGES'!$A$2:$A$100,0))="","",INDEX('WORK PACKAGES'!$B$2:$B$100,MATCH($A24,'WORK PACKAGES'!$A$2:$A$100,0))),""))</f>
        <v/>
      </c>
      <c r="C24" s="34">
        <f>IF($A24="","",IFERROR(IF(INDEX('WORK PACKAGES'!$E$2:$E$100,MATCH($A24,'WORK PACKAGES'!$A$2:$A$100,0))="","",INDEX('WORK PACKAGES'!$E$2:$E$100,MATCH($A24,'WORK PACKAGES'!$A$2:$A$100,0))),""))</f>
        <v/>
      </c>
      <c r="D24" s="34" t="n"/>
      <c r="E24" s="24">
        <f>IF($A24="","",IFERROR(IF(INDEX('WP PROGRESS'!$F$2:$F$100,MATCH($A24,'WP PROGRESS'!$A$2:$A$100,0))="","",INDEX('WP PROGRESS'!$F$2:$F$100,MATCH($A24,'WP PROGRESS'!$A$2:$A$100,0))),""))</f>
        <v/>
      </c>
      <c r="F24" s="24">
        <f>IF($A24="","",IFERROR(IF(INDEX('WP PROGRESS'!$G$2:$G$100,MATCH($A24,'WP PROGRESS'!$A$2:$A$100,0))="","",INDEX('WP PROGRESS'!$G$2:$G$100,MATCH($A24,'WP PROGRESS'!$A$2:$A$100,0))),""))</f>
        <v/>
      </c>
      <c r="G24" s="24">
        <f>IF($A24="","",IFERROR(IF(INDEX('WP PROGRESS'!$H$2:$H$100,MATCH($A24,'WP PROGRESS'!$A$2:$A$100,0))="","",INDEX('WP PROGRESS'!$H$2:$H$100,MATCH($A24,'WP PROGRESS'!$A$2:$A$100,0))),""))</f>
        <v/>
      </c>
      <c r="H24" s="24">
        <f>IF($A24="","",IFERROR(IF(INDEX('WP PROGRESS'!$I$2:$I$100,MATCH($A24,'WP PROGRESS'!$A$2:$A$100,0))="","",INDEX('WP PROGRESS'!$I$2:$I$100,MATCH($A24,'WP PROGRESS'!$A$2:$A$100,0))),""))</f>
        <v/>
      </c>
      <c r="I24" s="24">
        <f>IF($A24="","",IFERROR(IF(INDEX('WP PROGRESS'!$K$2:$K$100,MATCH($A24,'WP PROGRESS'!$A$2:$A$100,0))="","",INDEX('WP PROGRESS'!$K$2:$K$100,MATCH($A24,'WP PROGRESS'!$A$2:$A$100,0))),""))</f>
        <v/>
      </c>
      <c r="J24" s="42" t="n"/>
      <c r="K24" s="42" t="n"/>
      <c r="L24" s="26" t="n"/>
      <c r="M24" s="42" t="n"/>
      <c r="N24" s="42" t="n"/>
      <c r="O24" s="42" t="n"/>
      <c r="P24" s="27">
        <f>IF($A24="","",IFERROR(IF(INDEX('WP PROGRESS'!$V$2:$V$100,MATCH($A24,'WP PROGRESS'!$A$2:$A$100,0))="","",INDEX('WP PROGRESS'!$V$2:$V$100,MATCH($A24,'WP PROGRESS'!$A$2:$A$100,0))),""))</f>
        <v/>
      </c>
      <c r="Q24" s="28">
        <f>IF($A24="","",IFERROR(IF(INDEX('WP PROGRESS'!$E$2:$E$100,MATCH($A24,'WP PROGRESS'!$A$2:$A$100,0))="","",INDEX('WP PROGRESS'!$E$2:$E$100,MATCH($A24,'WP PROGRESS'!$A$2:$A$100,0))),""))</f>
        <v/>
      </c>
      <c r="R24" s="29">
        <f>IF($A24="","",IFERROR(IF(INDEX('WP PROGRESS'!$Z$2:$Z$100,MATCH($A24,'WP PROGRESS'!$A$2:$A$100,0))="","",INDEX('WP PROGRESS'!$Z$2:$Z$100,MATCH($A24,'WP PROGRESS'!$A$2:$A$100,0))),""))</f>
        <v/>
      </c>
      <c r="S24" s="29">
        <f>IF($A24="","",COUNTIFS(ISSUES!$P$5:$P$200,"*"&amp;$A24&amp;"*",ISSUES!$H$5:$H$200,"&lt;&gt;Closed",ISSUES!$H$5:$H$200,"&lt;&gt;Resolved",ISSUES!$H$5:$H$200,"&lt;&gt;Cancelled",ISSUES!$H$5:$H$200,"&lt;&gt;",ISSUES!$A$5:$A$200,"&lt;&gt;"))</f>
        <v/>
      </c>
      <c r="T24" s="30" t="n"/>
      <c r="U24" s="29">
        <f>IF($A24="","",IFERROR(IF(INDEX('WORK PACKAGES'!$G$2:$G$100,MATCH($A24,'WORK PACKAGES'!$A$2:$A$100,0))="","",INDEX('WORK PACKAGES'!$G$2:$G$100,MATCH($A24,'WORK PACKAGES'!$A$2:$A$100,0))),""))</f>
        <v/>
      </c>
    </row>
    <row r="25" ht="23.25" customHeight="1" s="130">
      <c r="A25" s="40" t="n"/>
      <c r="B25" s="41">
        <f>IF($A25="","",IFERROR(IF(INDEX('WORK PACKAGES'!$B$2:$B$100,MATCH($A25,'WORK PACKAGES'!$A$2:$A$100,0))="","",INDEX('WORK PACKAGES'!$B$2:$B$100,MATCH($A25,'WORK PACKAGES'!$A$2:$A$100,0))),""))</f>
        <v/>
      </c>
      <c r="C25" s="34">
        <f>IF($A25="","",IFERROR(IF(INDEX('WORK PACKAGES'!$E$2:$E$100,MATCH($A25,'WORK PACKAGES'!$A$2:$A$100,0))="","",INDEX('WORK PACKAGES'!$E$2:$E$100,MATCH($A25,'WORK PACKAGES'!$A$2:$A$100,0))),""))</f>
        <v/>
      </c>
      <c r="D25" s="34" t="n"/>
      <c r="E25" s="24">
        <f>IF($A25="","",IFERROR(IF(INDEX('WP PROGRESS'!$F$2:$F$100,MATCH($A25,'WP PROGRESS'!$A$2:$A$100,0))="","",INDEX('WP PROGRESS'!$F$2:$F$100,MATCH($A25,'WP PROGRESS'!$A$2:$A$100,0))),""))</f>
        <v/>
      </c>
      <c r="F25" s="24">
        <f>IF($A25="","",IFERROR(IF(INDEX('WP PROGRESS'!$G$2:$G$100,MATCH($A25,'WP PROGRESS'!$A$2:$A$100,0))="","",INDEX('WP PROGRESS'!$G$2:$G$100,MATCH($A25,'WP PROGRESS'!$A$2:$A$100,0))),""))</f>
        <v/>
      </c>
      <c r="G25" s="24">
        <f>IF($A25="","",IFERROR(IF(INDEX('WP PROGRESS'!$H$2:$H$100,MATCH($A25,'WP PROGRESS'!$A$2:$A$100,0))="","",INDEX('WP PROGRESS'!$H$2:$H$100,MATCH($A25,'WP PROGRESS'!$A$2:$A$100,0))),""))</f>
        <v/>
      </c>
      <c r="H25" s="24">
        <f>IF($A25="","",IFERROR(IF(INDEX('WP PROGRESS'!$I$2:$I$100,MATCH($A25,'WP PROGRESS'!$A$2:$A$100,0))="","",INDEX('WP PROGRESS'!$I$2:$I$100,MATCH($A25,'WP PROGRESS'!$A$2:$A$100,0))),""))</f>
        <v/>
      </c>
      <c r="I25" s="24">
        <f>IF($A25="","",IFERROR(IF(INDEX('WP PROGRESS'!$K$2:$K$100,MATCH($A25,'WP PROGRESS'!$A$2:$A$100,0))="","",INDEX('WP PROGRESS'!$K$2:$K$100,MATCH($A25,'WP PROGRESS'!$A$2:$A$100,0))),""))</f>
        <v/>
      </c>
      <c r="J25" s="42" t="n"/>
      <c r="K25" s="42" t="n"/>
      <c r="L25" s="26" t="n"/>
      <c r="M25" s="42" t="n"/>
      <c r="N25" s="42" t="n"/>
      <c r="O25" s="42" t="n"/>
      <c r="P25" s="27">
        <f>IF($A25="","",IFERROR(IF(INDEX('WP PROGRESS'!$V$2:$V$100,MATCH($A25,'WP PROGRESS'!$A$2:$A$100,0))="","",INDEX('WP PROGRESS'!$V$2:$V$100,MATCH($A25,'WP PROGRESS'!$A$2:$A$100,0))),""))</f>
        <v/>
      </c>
      <c r="Q25" s="28">
        <f>IF($A25="","",IFERROR(IF(INDEX('WP PROGRESS'!$E$2:$E$100,MATCH($A25,'WP PROGRESS'!$A$2:$A$100,0))="","",INDEX('WP PROGRESS'!$E$2:$E$100,MATCH($A25,'WP PROGRESS'!$A$2:$A$100,0))),""))</f>
        <v/>
      </c>
      <c r="R25" s="29">
        <f>IF($A25="","",IFERROR(IF(INDEX('WP PROGRESS'!$Z$2:$Z$100,MATCH($A25,'WP PROGRESS'!$A$2:$A$100,0))="","",INDEX('WP PROGRESS'!$Z$2:$Z$100,MATCH($A25,'WP PROGRESS'!$A$2:$A$100,0))),""))</f>
        <v/>
      </c>
      <c r="S25" s="29">
        <f>IF($A25="","",COUNTIFS(ISSUES!$P$5:$P$200,"*"&amp;$A25&amp;"*",ISSUES!$H$5:$H$200,"&lt;&gt;Closed",ISSUES!$H$5:$H$200,"&lt;&gt;Resolved",ISSUES!$H$5:$H$200,"&lt;&gt;Cancelled",ISSUES!$H$5:$H$200,"&lt;&gt;",ISSUES!$A$5:$A$200,"&lt;&gt;"))</f>
        <v/>
      </c>
      <c r="U25" s="29">
        <f>IF($A25="","",IFERROR(IF(INDEX('WORK PACKAGES'!$G$2:$G$100,MATCH($A25,'WORK PACKAGES'!$A$2:$A$100,0))="","",INDEX('WORK PACKAGES'!$G$2:$G$100,MATCH($A25,'WORK PACKAGES'!$A$2:$A$100,0))),""))</f>
        <v/>
      </c>
    </row>
    <row r="26" ht="23.25" customHeight="1" s="130">
      <c r="A26" s="40" t="n"/>
      <c r="B26" s="41">
        <f>IF($A26="","",IFERROR(IF(INDEX('WORK PACKAGES'!$B$2:$B$100,MATCH($A26,'WORK PACKAGES'!$A$2:$A$100,0))="","",INDEX('WORK PACKAGES'!$B$2:$B$100,MATCH($A26,'WORK PACKAGES'!$A$2:$A$100,0))),""))</f>
        <v/>
      </c>
      <c r="C26" s="34">
        <f>IF($A26="","",IFERROR(IF(INDEX('WORK PACKAGES'!$E$2:$E$100,MATCH($A26,'WORK PACKAGES'!$A$2:$A$100,0))="","",INDEX('WORK PACKAGES'!$E$2:$E$100,MATCH($A26,'WORK PACKAGES'!$A$2:$A$100,0))),""))</f>
        <v/>
      </c>
      <c r="D26" s="34" t="n"/>
      <c r="E26" s="24">
        <f>IF($A26="","",IFERROR(IF(INDEX('WP PROGRESS'!$F$2:$F$100,MATCH($A26,'WP PROGRESS'!$A$2:$A$100,0))="","",INDEX('WP PROGRESS'!$F$2:$F$100,MATCH($A26,'WP PROGRESS'!$A$2:$A$100,0))),""))</f>
        <v/>
      </c>
      <c r="F26" s="24">
        <f>IF($A26="","",IFERROR(IF(INDEX('WP PROGRESS'!$G$2:$G$100,MATCH($A26,'WP PROGRESS'!$A$2:$A$100,0))="","",INDEX('WP PROGRESS'!$G$2:$G$100,MATCH($A26,'WP PROGRESS'!$A$2:$A$100,0))),""))</f>
        <v/>
      </c>
      <c r="G26" s="24">
        <f>IF($A26="","",IFERROR(IF(INDEX('WP PROGRESS'!$H$2:$H$100,MATCH($A26,'WP PROGRESS'!$A$2:$A$100,0))="","",INDEX('WP PROGRESS'!$H$2:$H$100,MATCH($A26,'WP PROGRESS'!$A$2:$A$100,0))),""))</f>
        <v/>
      </c>
      <c r="H26" s="24">
        <f>IF($A26="","",IFERROR(IF(INDEX('WP PROGRESS'!$I$2:$I$100,MATCH($A26,'WP PROGRESS'!$A$2:$A$100,0))="","",INDEX('WP PROGRESS'!$I$2:$I$100,MATCH($A26,'WP PROGRESS'!$A$2:$A$100,0))),""))</f>
        <v/>
      </c>
      <c r="I26" s="24">
        <f>IF($A26="","",IFERROR(IF(INDEX('WP PROGRESS'!$K$2:$K$100,MATCH($A26,'WP PROGRESS'!$A$2:$A$100,0))="","",INDEX('WP PROGRESS'!$K$2:$K$100,MATCH($A26,'WP PROGRESS'!$A$2:$A$100,0))),""))</f>
        <v/>
      </c>
      <c r="J26" s="42" t="n"/>
      <c r="K26" s="42" t="n"/>
      <c r="L26" s="26" t="n"/>
      <c r="M26" s="42" t="n"/>
      <c r="N26" s="42" t="n"/>
      <c r="O26" s="42" t="n"/>
      <c r="P26" s="27">
        <f>IF($A26="","",IFERROR(IF(INDEX('WP PROGRESS'!$V$2:$V$100,MATCH($A26,'WP PROGRESS'!$A$2:$A$100,0))="","",INDEX('WP PROGRESS'!$V$2:$V$100,MATCH($A26,'WP PROGRESS'!$A$2:$A$100,0))),""))</f>
        <v/>
      </c>
      <c r="Q26" s="28">
        <f>IF($A26="","",IFERROR(IF(INDEX('WP PROGRESS'!$E$2:$E$100,MATCH($A26,'WP PROGRESS'!$A$2:$A$100,0))="","",INDEX('WP PROGRESS'!$E$2:$E$100,MATCH($A26,'WP PROGRESS'!$A$2:$A$100,0))),""))</f>
        <v/>
      </c>
      <c r="R26" s="29">
        <f>IF($A26="","",IFERROR(IF(INDEX('WP PROGRESS'!$Z$2:$Z$100,MATCH($A26,'WP PROGRESS'!$A$2:$A$100,0))="","",INDEX('WP PROGRESS'!$Z$2:$Z$100,MATCH($A26,'WP PROGRESS'!$A$2:$A$100,0))),""))</f>
        <v/>
      </c>
      <c r="S26" s="29">
        <f>IF($A26="","",COUNTIFS(ISSUES!$P$5:$P$200,"*"&amp;$A26&amp;"*",ISSUES!$H$5:$H$200,"&lt;&gt;Closed",ISSUES!$H$5:$H$200,"&lt;&gt;Resolved",ISSUES!$H$5:$H$200,"&lt;&gt;Cancelled",ISSUES!$H$5:$H$200,"&lt;&gt;",ISSUES!$A$5:$A$200,"&lt;&gt;"))</f>
        <v/>
      </c>
      <c r="U26" s="29">
        <f>IF($A26="","",IFERROR(IF(INDEX('WORK PACKAGES'!$G$2:$G$100,MATCH($A26,'WORK PACKAGES'!$A$2:$A$100,0))="","",INDEX('WORK PACKAGES'!$G$2:$G$100,MATCH($A26,'WORK PACKAGES'!$A$2:$A$100,0))),""))</f>
        <v/>
      </c>
    </row>
    <row r="27" ht="23.25" customHeight="1" s="130">
      <c r="A27" s="40" t="n"/>
      <c r="B27" s="41">
        <f>IF($A27="","",IFERROR(IF(INDEX('WORK PACKAGES'!$B$2:$B$100,MATCH($A27,'WORK PACKAGES'!$A$2:$A$100,0))="","",INDEX('WORK PACKAGES'!$B$2:$B$100,MATCH($A27,'WORK PACKAGES'!$A$2:$A$100,0))),""))</f>
        <v/>
      </c>
      <c r="C27" s="34">
        <f>IF($A27="","",IFERROR(IF(INDEX('WORK PACKAGES'!$E$2:$E$100,MATCH($A27,'WORK PACKAGES'!$A$2:$A$100,0))="","",INDEX('WORK PACKAGES'!$E$2:$E$100,MATCH($A27,'WORK PACKAGES'!$A$2:$A$100,0))),""))</f>
        <v/>
      </c>
      <c r="D27" s="34" t="n"/>
      <c r="E27" s="24">
        <f>IF($A27="","",IFERROR(IF(INDEX('WP PROGRESS'!$F$2:$F$100,MATCH($A27,'WP PROGRESS'!$A$2:$A$100,0))="","",INDEX('WP PROGRESS'!$F$2:$F$100,MATCH($A27,'WP PROGRESS'!$A$2:$A$100,0))),""))</f>
        <v/>
      </c>
      <c r="F27" s="24">
        <f>IF($A27="","",IFERROR(IF(INDEX('WP PROGRESS'!$G$2:$G$100,MATCH($A27,'WP PROGRESS'!$A$2:$A$100,0))="","",INDEX('WP PROGRESS'!$G$2:$G$100,MATCH($A27,'WP PROGRESS'!$A$2:$A$100,0))),""))</f>
        <v/>
      </c>
      <c r="G27" s="24">
        <f>IF($A27="","",IFERROR(IF(INDEX('WP PROGRESS'!$H$2:$H$100,MATCH($A27,'WP PROGRESS'!$A$2:$A$100,0))="","",INDEX('WP PROGRESS'!$H$2:$H$100,MATCH($A27,'WP PROGRESS'!$A$2:$A$100,0))),""))</f>
        <v/>
      </c>
      <c r="H27" s="24">
        <f>IF($A27="","",IFERROR(IF(INDEX('WP PROGRESS'!$I$2:$I$100,MATCH($A27,'WP PROGRESS'!$A$2:$A$100,0))="","",INDEX('WP PROGRESS'!$I$2:$I$100,MATCH($A27,'WP PROGRESS'!$A$2:$A$100,0))),""))</f>
        <v/>
      </c>
      <c r="I27" s="24">
        <f>IF($A27="","",IFERROR(IF(INDEX('WP PROGRESS'!$K$2:$K$100,MATCH($A27,'WP PROGRESS'!$A$2:$A$100,0))="","",INDEX('WP PROGRESS'!$K$2:$K$100,MATCH($A27,'WP PROGRESS'!$A$2:$A$100,0))),""))</f>
        <v/>
      </c>
      <c r="J27" s="42" t="n"/>
      <c r="K27" s="42" t="n"/>
      <c r="L27" s="26" t="n"/>
      <c r="M27" s="42" t="n"/>
      <c r="N27" s="42" t="n"/>
      <c r="O27" s="42" t="n"/>
      <c r="P27" s="27">
        <f>IF($A27="","",IFERROR(IF(INDEX('WP PROGRESS'!$V$2:$V$100,MATCH($A27,'WP PROGRESS'!$A$2:$A$100,0))="","",INDEX('WP PROGRESS'!$V$2:$V$100,MATCH($A27,'WP PROGRESS'!$A$2:$A$100,0))),""))</f>
        <v/>
      </c>
      <c r="Q27" s="28">
        <f>IF($A27="","",IFERROR(IF(INDEX('WP PROGRESS'!$E$2:$E$100,MATCH($A27,'WP PROGRESS'!$A$2:$A$100,0))="","",INDEX('WP PROGRESS'!$E$2:$E$100,MATCH($A27,'WP PROGRESS'!$A$2:$A$100,0))),""))</f>
        <v/>
      </c>
      <c r="R27" s="29">
        <f>IF($A27="","",IFERROR(IF(INDEX('WP PROGRESS'!$Z$2:$Z$100,MATCH($A27,'WP PROGRESS'!$A$2:$A$100,0))="","",INDEX('WP PROGRESS'!$Z$2:$Z$100,MATCH($A27,'WP PROGRESS'!$A$2:$A$100,0))),""))</f>
        <v/>
      </c>
      <c r="S27" s="29">
        <f>IF($A27="","",COUNTIFS(ISSUES!$P$5:$P$200,"*"&amp;$A27&amp;"*",ISSUES!$H$5:$H$200,"&lt;&gt;Closed",ISSUES!$H$5:$H$200,"&lt;&gt;Resolved",ISSUES!$H$5:$H$200,"&lt;&gt;Cancelled",ISSUES!$H$5:$H$200,"&lt;&gt;",ISSUES!$A$5:$A$200,"&lt;&gt;"))</f>
        <v/>
      </c>
      <c r="U27" s="29">
        <f>IF($A27="","",IFERROR(IF(INDEX('WORK PACKAGES'!$G$2:$G$100,MATCH($A27,'WORK PACKAGES'!$A$2:$A$100,0))="","",INDEX('WORK PACKAGES'!$G$2:$G$100,MATCH($A27,'WORK PACKAGES'!$A$2:$A$100,0))),""))</f>
        <v/>
      </c>
    </row>
    <row r="28" ht="23.25" customHeight="1" s="130">
      <c r="A28" s="40" t="n"/>
      <c r="B28" s="41">
        <f>IF($A28="","",IFERROR(IF(INDEX('WORK PACKAGES'!$B$2:$B$100,MATCH($A28,'WORK PACKAGES'!$A$2:$A$100,0))="","",INDEX('WORK PACKAGES'!$B$2:$B$100,MATCH($A28,'WORK PACKAGES'!$A$2:$A$100,0))),""))</f>
        <v/>
      </c>
      <c r="C28" s="34">
        <f>IF($A28="","",IFERROR(IF(INDEX('WORK PACKAGES'!$E$2:$E$100,MATCH($A28,'WORK PACKAGES'!$A$2:$A$100,0))="","",INDEX('WORK PACKAGES'!$E$2:$E$100,MATCH($A28,'WORK PACKAGES'!$A$2:$A$100,0))),""))</f>
        <v/>
      </c>
      <c r="D28" s="34" t="n"/>
      <c r="E28" s="24">
        <f>IF($A28="","",IFERROR(IF(INDEX('WP PROGRESS'!$F$2:$F$100,MATCH($A28,'WP PROGRESS'!$A$2:$A$100,0))="","",INDEX('WP PROGRESS'!$F$2:$F$100,MATCH($A28,'WP PROGRESS'!$A$2:$A$100,0))),""))</f>
        <v/>
      </c>
      <c r="F28" s="24">
        <f>IF($A28="","",IFERROR(IF(INDEX('WP PROGRESS'!$G$2:$G$100,MATCH($A28,'WP PROGRESS'!$A$2:$A$100,0))="","",INDEX('WP PROGRESS'!$G$2:$G$100,MATCH($A28,'WP PROGRESS'!$A$2:$A$100,0))),""))</f>
        <v/>
      </c>
      <c r="G28" s="24">
        <f>IF($A28="","",IFERROR(IF(INDEX('WP PROGRESS'!$H$2:$H$100,MATCH($A28,'WP PROGRESS'!$A$2:$A$100,0))="","",INDEX('WP PROGRESS'!$H$2:$H$100,MATCH($A28,'WP PROGRESS'!$A$2:$A$100,0))),""))</f>
        <v/>
      </c>
      <c r="H28" s="24">
        <f>IF($A28="","",IFERROR(IF(INDEX('WP PROGRESS'!$I$2:$I$100,MATCH($A28,'WP PROGRESS'!$A$2:$A$100,0))="","",INDEX('WP PROGRESS'!$I$2:$I$100,MATCH($A28,'WP PROGRESS'!$A$2:$A$100,0))),""))</f>
        <v/>
      </c>
      <c r="I28" s="24">
        <f>IF($A28="","",IFERROR(IF(INDEX('WP PROGRESS'!$K$2:$K$100,MATCH($A28,'WP PROGRESS'!$A$2:$A$100,0))="","",INDEX('WP PROGRESS'!$K$2:$K$100,MATCH($A28,'WP PROGRESS'!$A$2:$A$100,0))),""))</f>
        <v/>
      </c>
      <c r="J28" s="42" t="n"/>
      <c r="K28" s="42" t="n"/>
      <c r="L28" s="26" t="n"/>
      <c r="M28" s="42" t="n"/>
      <c r="N28" s="42" t="n"/>
      <c r="O28" s="42" t="n"/>
      <c r="P28" s="27">
        <f>IF($A28="","",IFERROR(IF(INDEX('WP PROGRESS'!$V$2:$V$100,MATCH($A28,'WP PROGRESS'!$A$2:$A$100,0))="","",INDEX('WP PROGRESS'!$V$2:$V$100,MATCH($A28,'WP PROGRESS'!$A$2:$A$100,0))),""))</f>
        <v/>
      </c>
      <c r="Q28" s="28">
        <f>IF($A28="","",IFERROR(IF(INDEX('WP PROGRESS'!$E$2:$E$100,MATCH($A28,'WP PROGRESS'!$A$2:$A$100,0))="","",INDEX('WP PROGRESS'!$E$2:$E$100,MATCH($A28,'WP PROGRESS'!$A$2:$A$100,0))),""))</f>
        <v/>
      </c>
      <c r="R28" s="29">
        <f>IF($A28="","",IFERROR(IF(INDEX('WP PROGRESS'!$Z$2:$Z$100,MATCH($A28,'WP PROGRESS'!$A$2:$A$100,0))="","",INDEX('WP PROGRESS'!$Z$2:$Z$100,MATCH($A28,'WP PROGRESS'!$A$2:$A$100,0))),""))</f>
        <v/>
      </c>
      <c r="S28" s="29">
        <f>IF($A28="","",COUNTIFS(ISSUES!$P$5:$P$200,"*"&amp;$A28&amp;"*",ISSUES!$H$5:$H$200,"&lt;&gt;Closed",ISSUES!$H$5:$H$200,"&lt;&gt;Resolved",ISSUES!$H$5:$H$200,"&lt;&gt;Cancelled",ISSUES!$H$5:$H$200,"&lt;&gt;",ISSUES!$A$5:$A$200,"&lt;&gt;"))</f>
        <v/>
      </c>
      <c r="U28" s="29">
        <f>IF($A28="","",IFERROR(IF(INDEX('WORK PACKAGES'!$G$2:$G$100,MATCH($A28,'WORK PACKAGES'!$A$2:$A$100,0))="","",INDEX('WORK PACKAGES'!$G$2:$G$100,MATCH($A28,'WORK PACKAGES'!$A$2:$A$100,0))),""))</f>
        <v/>
      </c>
    </row>
    <row r="29" ht="23.25" customHeight="1" s="130">
      <c r="A29" s="40" t="n"/>
      <c r="B29" s="41">
        <f>IF($A29="","",IFERROR(IF(INDEX('WORK PACKAGES'!$B$2:$B$100,MATCH($A29,'WORK PACKAGES'!$A$2:$A$100,0))="","",INDEX('WORK PACKAGES'!$B$2:$B$100,MATCH($A29,'WORK PACKAGES'!$A$2:$A$100,0))),""))</f>
        <v/>
      </c>
      <c r="C29" s="34">
        <f>IF($A29="","",IFERROR(IF(INDEX('WORK PACKAGES'!$E$2:$E$100,MATCH($A29,'WORK PACKAGES'!$A$2:$A$100,0))="","",INDEX('WORK PACKAGES'!$E$2:$E$100,MATCH($A29,'WORK PACKAGES'!$A$2:$A$100,0))),""))</f>
        <v/>
      </c>
      <c r="D29" s="34" t="n"/>
      <c r="E29" s="24">
        <f>IF($A29="","",IFERROR(IF(INDEX('WP PROGRESS'!$F$2:$F$100,MATCH($A29,'WP PROGRESS'!$A$2:$A$100,0))="","",INDEX('WP PROGRESS'!$F$2:$F$100,MATCH($A29,'WP PROGRESS'!$A$2:$A$100,0))),""))</f>
        <v/>
      </c>
      <c r="F29" s="24">
        <f>IF($A29="","",IFERROR(IF(INDEX('WP PROGRESS'!$G$2:$G$100,MATCH($A29,'WP PROGRESS'!$A$2:$A$100,0))="","",INDEX('WP PROGRESS'!$G$2:$G$100,MATCH($A29,'WP PROGRESS'!$A$2:$A$100,0))),""))</f>
        <v/>
      </c>
      <c r="G29" s="24">
        <f>IF($A29="","",IFERROR(IF(INDEX('WP PROGRESS'!$H$2:$H$100,MATCH($A29,'WP PROGRESS'!$A$2:$A$100,0))="","",INDEX('WP PROGRESS'!$H$2:$H$100,MATCH($A29,'WP PROGRESS'!$A$2:$A$100,0))),""))</f>
        <v/>
      </c>
      <c r="H29" s="24">
        <f>IF($A29="","",IFERROR(IF(INDEX('WP PROGRESS'!$I$2:$I$100,MATCH($A29,'WP PROGRESS'!$A$2:$A$100,0))="","",INDEX('WP PROGRESS'!$I$2:$I$100,MATCH($A29,'WP PROGRESS'!$A$2:$A$100,0))),""))</f>
        <v/>
      </c>
      <c r="I29" s="24">
        <f>IF($A29="","",IFERROR(IF(INDEX('WP PROGRESS'!$K$2:$K$100,MATCH($A29,'WP PROGRESS'!$A$2:$A$100,0))="","",INDEX('WP PROGRESS'!$K$2:$K$100,MATCH($A29,'WP PROGRESS'!$A$2:$A$100,0))),""))</f>
        <v/>
      </c>
      <c r="J29" s="42" t="n"/>
      <c r="K29" s="42" t="n"/>
      <c r="L29" s="26" t="n"/>
      <c r="M29" s="42" t="n"/>
      <c r="N29" s="42" t="n"/>
      <c r="O29" s="42" t="n"/>
      <c r="P29" s="27">
        <f>IF($A29="","",IFERROR(IF(INDEX('WP PROGRESS'!$V$2:$V$100,MATCH($A29,'WP PROGRESS'!$A$2:$A$100,0))="","",INDEX('WP PROGRESS'!$V$2:$V$100,MATCH($A29,'WP PROGRESS'!$A$2:$A$100,0))),""))</f>
        <v/>
      </c>
      <c r="Q29" s="28">
        <f>IF($A29="","",IFERROR(IF(INDEX('WP PROGRESS'!$E$2:$E$100,MATCH($A29,'WP PROGRESS'!$A$2:$A$100,0))="","",INDEX('WP PROGRESS'!$E$2:$E$100,MATCH($A29,'WP PROGRESS'!$A$2:$A$100,0))),""))</f>
        <v/>
      </c>
      <c r="R29" s="29">
        <f>IF($A29="","",IFERROR(IF(INDEX('WP PROGRESS'!$Z$2:$Z$100,MATCH($A29,'WP PROGRESS'!$A$2:$A$100,0))="","",INDEX('WP PROGRESS'!$Z$2:$Z$100,MATCH($A29,'WP PROGRESS'!$A$2:$A$100,0))),""))</f>
        <v/>
      </c>
      <c r="S29" s="29">
        <f>IF($A29="","",COUNTIFS(ISSUES!$P$5:$P$200,"*"&amp;$A29&amp;"*",ISSUES!$H$5:$H$200,"&lt;&gt;Closed",ISSUES!$H$5:$H$200,"&lt;&gt;Resolved",ISSUES!$H$5:$H$200,"&lt;&gt;Cancelled",ISSUES!$H$5:$H$200,"&lt;&gt;",ISSUES!$A$5:$A$200,"&lt;&gt;"))</f>
        <v/>
      </c>
      <c r="U29" s="29">
        <f>IF($A29="","",IFERROR(IF(INDEX('WORK PACKAGES'!$G$2:$G$100,MATCH($A29,'WORK PACKAGES'!$A$2:$A$100,0))="","",INDEX('WORK PACKAGES'!$G$2:$G$100,MATCH($A29,'WORK PACKAGES'!$A$2:$A$100,0))),""))</f>
        <v/>
      </c>
    </row>
    <row r="30" ht="23.25" customHeight="1" s="130">
      <c r="A30" s="40" t="n"/>
      <c r="B30" s="41">
        <f>IF($A30="","",IFERROR(IF(INDEX('WORK PACKAGES'!$B$2:$B$100,MATCH($A30,'WORK PACKAGES'!$A$2:$A$100,0))="","",INDEX('WORK PACKAGES'!$B$2:$B$100,MATCH($A30,'WORK PACKAGES'!$A$2:$A$100,0))),""))</f>
        <v/>
      </c>
      <c r="C30" s="34">
        <f>IF($A30="","",IFERROR(IF(INDEX('WORK PACKAGES'!$E$2:$E$100,MATCH($A30,'WORK PACKAGES'!$A$2:$A$100,0))="","",INDEX('WORK PACKAGES'!$E$2:$E$100,MATCH($A30,'WORK PACKAGES'!$A$2:$A$100,0))),""))</f>
        <v/>
      </c>
      <c r="D30" s="34" t="n"/>
      <c r="E30" s="24">
        <f>IF($A30="","",IFERROR(IF(INDEX('WP PROGRESS'!$F$2:$F$100,MATCH($A30,'WP PROGRESS'!$A$2:$A$100,0))="","",INDEX('WP PROGRESS'!$F$2:$F$100,MATCH($A30,'WP PROGRESS'!$A$2:$A$100,0))),""))</f>
        <v/>
      </c>
      <c r="F30" s="24">
        <f>IF($A30="","",IFERROR(IF(INDEX('WP PROGRESS'!$G$2:$G$100,MATCH($A30,'WP PROGRESS'!$A$2:$A$100,0))="","",INDEX('WP PROGRESS'!$G$2:$G$100,MATCH($A30,'WP PROGRESS'!$A$2:$A$100,0))),""))</f>
        <v/>
      </c>
      <c r="G30" s="24">
        <f>IF($A30="","",IFERROR(IF(INDEX('WP PROGRESS'!$H$2:$H$100,MATCH($A30,'WP PROGRESS'!$A$2:$A$100,0))="","",INDEX('WP PROGRESS'!$H$2:$H$100,MATCH($A30,'WP PROGRESS'!$A$2:$A$100,0))),""))</f>
        <v/>
      </c>
      <c r="H30" s="24">
        <f>IF($A30="","",IFERROR(IF(INDEX('WP PROGRESS'!$I$2:$I$100,MATCH($A30,'WP PROGRESS'!$A$2:$A$100,0))="","",INDEX('WP PROGRESS'!$I$2:$I$100,MATCH($A30,'WP PROGRESS'!$A$2:$A$100,0))),""))</f>
        <v/>
      </c>
      <c r="I30" s="24">
        <f>IF($A30="","",IFERROR(IF(INDEX('WP PROGRESS'!$K$2:$K$100,MATCH($A30,'WP PROGRESS'!$A$2:$A$100,0))="","",INDEX('WP PROGRESS'!$K$2:$K$100,MATCH($A30,'WP PROGRESS'!$A$2:$A$100,0))),""))</f>
        <v/>
      </c>
      <c r="J30" s="42" t="n"/>
      <c r="K30" s="42" t="n"/>
      <c r="L30" s="26" t="n"/>
      <c r="M30" s="42" t="n"/>
      <c r="N30" s="42" t="n"/>
      <c r="O30" s="42" t="n"/>
      <c r="P30" s="27">
        <f>IF($A30="","",IFERROR(IF(INDEX('WP PROGRESS'!$V$2:$V$100,MATCH($A30,'WP PROGRESS'!$A$2:$A$100,0))="","",INDEX('WP PROGRESS'!$V$2:$V$100,MATCH($A30,'WP PROGRESS'!$A$2:$A$100,0))),""))</f>
        <v/>
      </c>
      <c r="Q30" s="28">
        <f>IF($A30="","",IFERROR(IF(INDEX('WP PROGRESS'!$E$2:$E$100,MATCH($A30,'WP PROGRESS'!$A$2:$A$100,0))="","",INDEX('WP PROGRESS'!$E$2:$E$100,MATCH($A30,'WP PROGRESS'!$A$2:$A$100,0))),""))</f>
        <v/>
      </c>
      <c r="R30" s="29">
        <f>IF($A30="","",IFERROR(IF(INDEX('WP PROGRESS'!$Z$2:$Z$100,MATCH($A30,'WP PROGRESS'!$A$2:$A$100,0))="","",INDEX('WP PROGRESS'!$Z$2:$Z$100,MATCH($A30,'WP PROGRESS'!$A$2:$A$100,0))),""))</f>
        <v/>
      </c>
      <c r="S30" s="29">
        <f>IF($A30="","",COUNTIFS(ISSUES!$P$5:$P$200,"*"&amp;$A30&amp;"*",ISSUES!$H$5:$H$200,"&lt;&gt;Closed",ISSUES!$H$5:$H$200,"&lt;&gt;Resolved",ISSUES!$H$5:$H$200,"&lt;&gt;Cancelled",ISSUES!$H$5:$H$200,"&lt;&gt;",ISSUES!$A$5:$A$200,"&lt;&gt;"))</f>
        <v/>
      </c>
      <c r="U30" s="29">
        <f>IF($A30="","",IFERROR(IF(INDEX('WORK PACKAGES'!$G$2:$G$100,MATCH($A30,'WORK PACKAGES'!$A$2:$A$100,0))="","",INDEX('WORK PACKAGES'!$G$2:$G$100,MATCH($A30,'WORK PACKAGES'!$A$2:$A$100,0))),""))</f>
        <v/>
      </c>
    </row>
    <row r="31" ht="23.25" customHeight="1" s="130">
      <c r="A31" s="40" t="n"/>
      <c r="B31" s="41">
        <f>IF($A31="","",IFERROR(IF(INDEX('WORK PACKAGES'!$B$2:$B$100,MATCH($A31,'WORK PACKAGES'!$A$2:$A$100,0))="","",INDEX('WORK PACKAGES'!$B$2:$B$100,MATCH($A31,'WORK PACKAGES'!$A$2:$A$100,0))),""))</f>
        <v/>
      </c>
      <c r="C31" s="34">
        <f>IF($A31="","",IFERROR(IF(INDEX('WORK PACKAGES'!$E$2:$E$100,MATCH($A31,'WORK PACKAGES'!$A$2:$A$100,0))="","",INDEX('WORK PACKAGES'!$E$2:$E$100,MATCH($A31,'WORK PACKAGES'!$A$2:$A$100,0))),""))</f>
        <v/>
      </c>
      <c r="D31" s="34" t="n"/>
      <c r="E31" s="24">
        <f>IF($A31="","",IFERROR(IF(INDEX('WP PROGRESS'!$F$2:$F$100,MATCH($A31,'WP PROGRESS'!$A$2:$A$100,0))="","",INDEX('WP PROGRESS'!$F$2:$F$100,MATCH($A31,'WP PROGRESS'!$A$2:$A$100,0))),""))</f>
        <v/>
      </c>
      <c r="F31" s="24">
        <f>IF($A31="","",IFERROR(IF(INDEX('WP PROGRESS'!$G$2:$G$100,MATCH($A31,'WP PROGRESS'!$A$2:$A$100,0))="","",INDEX('WP PROGRESS'!$G$2:$G$100,MATCH($A31,'WP PROGRESS'!$A$2:$A$100,0))),""))</f>
        <v/>
      </c>
      <c r="G31" s="24">
        <f>IF($A31="","",IFERROR(IF(INDEX('WP PROGRESS'!$H$2:$H$100,MATCH($A31,'WP PROGRESS'!$A$2:$A$100,0))="","",INDEX('WP PROGRESS'!$H$2:$H$100,MATCH($A31,'WP PROGRESS'!$A$2:$A$100,0))),""))</f>
        <v/>
      </c>
      <c r="H31" s="24">
        <f>IF($A31="","",IFERROR(IF(INDEX('WP PROGRESS'!$I$2:$I$100,MATCH($A31,'WP PROGRESS'!$A$2:$A$100,0))="","",INDEX('WP PROGRESS'!$I$2:$I$100,MATCH($A31,'WP PROGRESS'!$A$2:$A$100,0))),""))</f>
        <v/>
      </c>
      <c r="I31" s="24">
        <f>IF($A31="","",IFERROR(IF(INDEX('WP PROGRESS'!$K$2:$K$100,MATCH($A31,'WP PROGRESS'!$A$2:$A$100,0))="","",INDEX('WP PROGRESS'!$K$2:$K$100,MATCH($A31,'WP PROGRESS'!$A$2:$A$100,0))),""))</f>
        <v/>
      </c>
      <c r="J31" s="42" t="n"/>
      <c r="K31" s="42" t="n"/>
      <c r="L31" s="26" t="n"/>
      <c r="M31" s="42" t="n"/>
      <c r="N31" s="42" t="n"/>
      <c r="O31" s="42" t="n"/>
      <c r="P31" s="27">
        <f>IF($A31="","",IFERROR(IF(INDEX('WP PROGRESS'!$V$2:$V$100,MATCH($A31,'WP PROGRESS'!$A$2:$A$100,0))="","",INDEX('WP PROGRESS'!$V$2:$V$100,MATCH($A31,'WP PROGRESS'!$A$2:$A$100,0))),""))</f>
        <v/>
      </c>
      <c r="Q31" s="28">
        <f>IF($A31="","",IFERROR(IF(INDEX('WP PROGRESS'!$E$2:$E$100,MATCH($A31,'WP PROGRESS'!$A$2:$A$100,0))="","",INDEX('WP PROGRESS'!$E$2:$E$100,MATCH($A31,'WP PROGRESS'!$A$2:$A$100,0))),""))</f>
        <v/>
      </c>
      <c r="R31" s="29">
        <f>IF($A31="","",IFERROR(IF(INDEX('WP PROGRESS'!$Z$2:$Z$100,MATCH($A31,'WP PROGRESS'!$A$2:$A$100,0))="","",INDEX('WP PROGRESS'!$Z$2:$Z$100,MATCH($A31,'WP PROGRESS'!$A$2:$A$100,0))),""))</f>
        <v/>
      </c>
      <c r="S31" s="29">
        <f>IF($A31="","",COUNTIFS(ISSUES!$P$5:$P$200,"*"&amp;$A31&amp;"*",ISSUES!$H$5:$H$200,"&lt;&gt;Closed",ISSUES!$H$5:$H$200,"&lt;&gt;Resolved",ISSUES!$H$5:$H$200,"&lt;&gt;Cancelled",ISSUES!$H$5:$H$200,"&lt;&gt;",ISSUES!$A$5:$A$200,"&lt;&gt;"))</f>
        <v/>
      </c>
      <c r="U31" s="29">
        <f>IF($A31="","",IFERROR(IF(INDEX('WORK PACKAGES'!$G$2:$G$100,MATCH($A31,'WORK PACKAGES'!$A$2:$A$100,0))="","",INDEX('WORK PACKAGES'!$G$2:$G$100,MATCH($A31,'WORK PACKAGES'!$A$2:$A$100,0))),""))</f>
        <v/>
      </c>
    </row>
    <row r="32" ht="23.25" customHeight="1" s="130">
      <c r="A32" s="40" t="n"/>
      <c r="B32" s="41">
        <f>IF($A32="","",IFERROR(IF(INDEX('WORK PACKAGES'!$B$2:$B$100,MATCH($A32,'WORK PACKAGES'!$A$2:$A$100,0))="","",INDEX('WORK PACKAGES'!$B$2:$B$100,MATCH($A32,'WORK PACKAGES'!$A$2:$A$100,0))),""))</f>
        <v/>
      </c>
      <c r="C32" s="34">
        <f>IF($A32="","",IFERROR(IF(INDEX('WORK PACKAGES'!$E$2:$E$100,MATCH($A32,'WORK PACKAGES'!$A$2:$A$100,0))="","",INDEX('WORK PACKAGES'!$E$2:$E$100,MATCH($A32,'WORK PACKAGES'!$A$2:$A$100,0))),""))</f>
        <v/>
      </c>
      <c r="D32" s="34" t="n"/>
      <c r="E32" s="24">
        <f>IF($A32="","",IFERROR(IF(INDEX('WP PROGRESS'!$F$2:$F$100,MATCH($A32,'WP PROGRESS'!$A$2:$A$100,0))="","",INDEX('WP PROGRESS'!$F$2:$F$100,MATCH($A32,'WP PROGRESS'!$A$2:$A$100,0))),""))</f>
        <v/>
      </c>
      <c r="F32" s="24">
        <f>IF($A32="","",IFERROR(IF(INDEX('WP PROGRESS'!$G$2:$G$100,MATCH($A32,'WP PROGRESS'!$A$2:$A$100,0))="","",INDEX('WP PROGRESS'!$G$2:$G$100,MATCH($A32,'WP PROGRESS'!$A$2:$A$100,0))),""))</f>
        <v/>
      </c>
      <c r="G32" s="24">
        <f>IF($A32="","",IFERROR(IF(INDEX('WP PROGRESS'!$H$2:$H$100,MATCH($A32,'WP PROGRESS'!$A$2:$A$100,0))="","",INDEX('WP PROGRESS'!$H$2:$H$100,MATCH($A32,'WP PROGRESS'!$A$2:$A$100,0))),""))</f>
        <v/>
      </c>
      <c r="H32" s="24">
        <f>IF($A32="","",IFERROR(IF(INDEX('WP PROGRESS'!$I$2:$I$100,MATCH($A32,'WP PROGRESS'!$A$2:$A$100,0))="","",INDEX('WP PROGRESS'!$I$2:$I$100,MATCH($A32,'WP PROGRESS'!$A$2:$A$100,0))),""))</f>
        <v/>
      </c>
      <c r="I32" s="24">
        <f>IF($A32="","",IFERROR(IF(INDEX('WP PROGRESS'!$K$2:$K$100,MATCH($A32,'WP PROGRESS'!$A$2:$A$100,0))="","",INDEX('WP PROGRESS'!$K$2:$K$100,MATCH($A32,'WP PROGRESS'!$A$2:$A$100,0))),""))</f>
        <v/>
      </c>
      <c r="J32" s="42" t="n"/>
      <c r="K32" s="42" t="n"/>
      <c r="L32" s="26" t="n"/>
      <c r="M32" s="42" t="n"/>
      <c r="N32" s="42" t="n"/>
      <c r="O32" s="42" t="n"/>
      <c r="P32" s="27">
        <f>IF($A32="","",IFERROR(IF(INDEX('WP PROGRESS'!$V$2:$V$100,MATCH($A32,'WP PROGRESS'!$A$2:$A$100,0))="","",INDEX('WP PROGRESS'!$V$2:$V$100,MATCH($A32,'WP PROGRESS'!$A$2:$A$100,0))),""))</f>
        <v/>
      </c>
      <c r="Q32" s="28">
        <f>IF($A32="","",IFERROR(IF(INDEX('WP PROGRESS'!$E$2:$E$100,MATCH($A32,'WP PROGRESS'!$A$2:$A$100,0))="","",INDEX('WP PROGRESS'!$E$2:$E$100,MATCH($A32,'WP PROGRESS'!$A$2:$A$100,0))),""))</f>
        <v/>
      </c>
      <c r="R32" s="29">
        <f>IF($A32="","",IFERROR(IF(INDEX('WP PROGRESS'!$Z$2:$Z$100,MATCH($A32,'WP PROGRESS'!$A$2:$A$100,0))="","",INDEX('WP PROGRESS'!$Z$2:$Z$100,MATCH($A32,'WP PROGRESS'!$A$2:$A$100,0))),""))</f>
        <v/>
      </c>
      <c r="S32" s="29">
        <f>IF($A32="","",COUNTIFS(ISSUES!$P$5:$P$200,"*"&amp;$A32&amp;"*",ISSUES!$H$5:$H$200,"&lt;&gt;Closed",ISSUES!$H$5:$H$200,"&lt;&gt;Resolved",ISSUES!$H$5:$H$200,"&lt;&gt;Cancelled",ISSUES!$H$5:$H$200,"&lt;&gt;",ISSUES!$A$5:$A$200,"&lt;&gt;"))</f>
        <v/>
      </c>
      <c r="U32" s="29">
        <f>IF($A32="","",IFERROR(IF(INDEX('WORK PACKAGES'!$G$2:$G$100,MATCH($A32,'WORK PACKAGES'!$A$2:$A$100,0))="","",INDEX('WORK PACKAGES'!$G$2:$G$100,MATCH($A32,'WORK PACKAGES'!$A$2:$A$100,0))),""))</f>
        <v/>
      </c>
    </row>
    <row r="33" ht="23.25" customHeight="1" s="130">
      <c r="A33" s="40" t="n"/>
      <c r="B33" s="41">
        <f>IF($A33="","",IFERROR(IF(INDEX('WORK PACKAGES'!$B$2:$B$100,MATCH($A33,'WORK PACKAGES'!$A$2:$A$100,0))="","",INDEX('WORK PACKAGES'!$B$2:$B$100,MATCH($A33,'WORK PACKAGES'!$A$2:$A$100,0))),""))</f>
        <v/>
      </c>
      <c r="C33" s="34">
        <f>IF($A33="","",IFERROR(IF(INDEX('WORK PACKAGES'!$E$2:$E$100,MATCH($A33,'WORK PACKAGES'!$A$2:$A$100,0))="","",INDEX('WORK PACKAGES'!$E$2:$E$100,MATCH($A33,'WORK PACKAGES'!$A$2:$A$100,0))),""))</f>
        <v/>
      </c>
      <c r="D33" s="34" t="n"/>
      <c r="E33" s="24">
        <f>IF($A33="","",IFERROR(IF(INDEX('WP PROGRESS'!$F$2:$F$100,MATCH($A33,'WP PROGRESS'!$A$2:$A$100,0))="","",INDEX('WP PROGRESS'!$F$2:$F$100,MATCH($A33,'WP PROGRESS'!$A$2:$A$100,0))),""))</f>
        <v/>
      </c>
      <c r="F33" s="24">
        <f>IF($A33="","",IFERROR(IF(INDEX('WP PROGRESS'!$G$2:$G$100,MATCH($A33,'WP PROGRESS'!$A$2:$A$100,0))="","",INDEX('WP PROGRESS'!$G$2:$G$100,MATCH($A33,'WP PROGRESS'!$A$2:$A$100,0))),""))</f>
        <v/>
      </c>
      <c r="G33" s="24">
        <f>IF($A33="","",IFERROR(IF(INDEX('WP PROGRESS'!$H$2:$H$100,MATCH($A33,'WP PROGRESS'!$A$2:$A$100,0))="","",INDEX('WP PROGRESS'!$H$2:$H$100,MATCH($A33,'WP PROGRESS'!$A$2:$A$100,0))),""))</f>
        <v/>
      </c>
      <c r="H33" s="24">
        <f>IF($A33="","",IFERROR(IF(INDEX('WP PROGRESS'!$I$2:$I$100,MATCH($A33,'WP PROGRESS'!$A$2:$A$100,0))="","",INDEX('WP PROGRESS'!$I$2:$I$100,MATCH($A33,'WP PROGRESS'!$A$2:$A$100,0))),""))</f>
        <v/>
      </c>
      <c r="I33" s="24">
        <f>IF($A33="","",IFERROR(IF(INDEX('WP PROGRESS'!$K$2:$K$100,MATCH($A33,'WP PROGRESS'!$A$2:$A$100,0))="","",INDEX('WP PROGRESS'!$K$2:$K$100,MATCH($A33,'WP PROGRESS'!$A$2:$A$100,0))),""))</f>
        <v/>
      </c>
      <c r="J33" s="42" t="n"/>
      <c r="K33" s="42" t="n"/>
      <c r="L33" s="26" t="n"/>
      <c r="M33" s="42" t="n"/>
      <c r="N33" s="42" t="n"/>
      <c r="O33" s="42" t="n"/>
      <c r="P33" s="27">
        <f>IF($A33="","",IFERROR(IF(INDEX('WP PROGRESS'!$V$2:$V$100,MATCH($A33,'WP PROGRESS'!$A$2:$A$100,0))="","",INDEX('WP PROGRESS'!$V$2:$V$100,MATCH($A33,'WP PROGRESS'!$A$2:$A$100,0))),""))</f>
        <v/>
      </c>
      <c r="Q33" s="28">
        <f>IF($A33="","",IFERROR(IF(INDEX('WP PROGRESS'!$E$2:$E$100,MATCH($A33,'WP PROGRESS'!$A$2:$A$100,0))="","",INDEX('WP PROGRESS'!$E$2:$E$100,MATCH($A33,'WP PROGRESS'!$A$2:$A$100,0))),""))</f>
        <v/>
      </c>
      <c r="R33" s="29">
        <f>IF($A33="","",IFERROR(IF(INDEX('WP PROGRESS'!$Z$2:$Z$100,MATCH($A33,'WP PROGRESS'!$A$2:$A$100,0))="","",INDEX('WP PROGRESS'!$Z$2:$Z$100,MATCH($A33,'WP PROGRESS'!$A$2:$A$100,0))),""))</f>
        <v/>
      </c>
      <c r="S33" s="29">
        <f>IF($A33="","",COUNTIFS(ISSUES!$P$5:$P$200,"*"&amp;$A33&amp;"*",ISSUES!$H$5:$H$200,"&lt;&gt;Closed",ISSUES!$H$5:$H$200,"&lt;&gt;Resolved",ISSUES!$H$5:$H$200,"&lt;&gt;Cancelled",ISSUES!$H$5:$H$200,"&lt;&gt;",ISSUES!$A$5:$A$200,"&lt;&gt;"))</f>
        <v/>
      </c>
      <c r="U33" s="29">
        <f>IF($A33="","",IFERROR(IF(INDEX('WORK PACKAGES'!$G$2:$G$100,MATCH($A33,'WORK PACKAGES'!$A$2:$A$100,0))="","",INDEX('WORK PACKAGES'!$G$2:$G$100,MATCH($A33,'WORK PACKAGES'!$A$2:$A$100,0))),""))</f>
        <v/>
      </c>
    </row>
    <row r="34" ht="23.25" customHeight="1" s="130">
      <c r="A34" s="40" t="n"/>
      <c r="B34" s="43">
        <f>IF($A34="","",IFERROR(IF(INDEX('WORK PACKAGES'!$B$2:$B$100,MATCH($A34,'WORK PACKAGES'!$A$2:$A$100,0))="","",INDEX('WORK PACKAGES'!$B$2:$B$100,MATCH($A34,'WORK PACKAGES'!$A$2:$A$100,0))),""))</f>
        <v/>
      </c>
      <c r="C34" s="44">
        <f>IF($A34="","",IFERROR(IF(INDEX('WORK PACKAGES'!$E$2:$E$100,MATCH($A34,'WORK PACKAGES'!$A$2:$A$100,0))="","",INDEX('WORK PACKAGES'!$E$2:$E$100,MATCH($A34,'WORK PACKAGES'!$A$2:$A$100,0))),""))</f>
        <v/>
      </c>
      <c r="D34" s="44" t="n"/>
      <c r="E34" s="24">
        <f>IF($A34="","",IFERROR(IF(INDEX('WP PROGRESS'!$F$2:$F$100,MATCH($A34,'WP PROGRESS'!$A$2:$A$100,0))="","",INDEX('WP PROGRESS'!$F$2:$F$100,MATCH($A34,'WP PROGRESS'!$A$2:$A$100,0))),""))</f>
        <v/>
      </c>
      <c r="F34" s="24">
        <f>IF($A34="","",IFERROR(IF(INDEX('WP PROGRESS'!$G$2:$G$100,MATCH($A34,'WP PROGRESS'!$A$2:$A$100,0))="","",INDEX('WP PROGRESS'!$G$2:$G$100,MATCH($A34,'WP PROGRESS'!$A$2:$A$100,0))),""))</f>
        <v/>
      </c>
      <c r="G34" s="24">
        <f>IF($A34="","",IFERROR(IF(INDEX('WP PROGRESS'!$H$2:$H$100,MATCH($A34,'WP PROGRESS'!$A$2:$A$100,0))="","",INDEX('WP PROGRESS'!$H$2:$H$100,MATCH($A34,'WP PROGRESS'!$A$2:$A$100,0))),""))</f>
        <v/>
      </c>
      <c r="H34" s="24">
        <f>IF($A34="","",IFERROR(IF(INDEX('WP PROGRESS'!$I$2:$I$100,MATCH($A34,'WP PROGRESS'!$A$2:$A$100,0))="","",INDEX('WP PROGRESS'!$I$2:$I$100,MATCH($A34,'WP PROGRESS'!$A$2:$A$100,0))),""))</f>
        <v/>
      </c>
      <c r="I34" s="24">
        <f>IF($A34="","",IFERROR(IF(INDEX('WP PROGRESS'!$K$2:$K$100,MATCH($A34,'WP PROGRESS'!$A$2:$A$100,0))="","",INDEX('WP PROGRESS'!$K$2:$K$100,MATCH($A34,'WP PROGRESS'!$A$2:$A$100,0))),""))</f>
        <v/>
      </c>
      <c r="J34" s="42" t="n"/>
      <c r="K34" s="42" t="n"/>
      <c r="L34" s="26" t="n"/>
      <c r="M34" s="42" t="n"/>
      <c r="N34" s="42" t="n"/>
      <c r="O34" s="42" t="n"/>
      <c r="P34" s="27">
        <f>IF($A34="","",IFERROR(IF(INDEX('WP PROGRESS'!$V$2:$V$100,MATCH($A34,'WP PROGRESS'!$A$2:$A$100,0))="","",INDEX('WP PROGRESS'!$V$2:$V$100,MATCH($A34,'WP PROGRESS'!$A$2:$A$100,0))),""))</f>
        <v/>
      </c>
      <c r="Q34" s="28">
        <f>IF($A34="","",IFERROR(IF(INDEX('WP PROGRESS'!$E$2:$E$100,MATCH($A34,'WP PROGRESS'!$A$2:$A$100,0))="","",INDEX('WP PROGRESS'!$E$2:$E$100,MATCH($A34,'WP PROGRESS'!$A$2:$A$100,0))),""))</f>
        <v/>
      </c>
      <c r="R34" s="29">
        <f>IF($A34="","",IFERROR(IF(INDEX('WP PROGRESS'!$Z$2:$Z$100,MATCH($A34,'WP PROGRESS'!$A$2:$A$100,0))="","",INDEX('WP PROGRESS'!$Z$2:$Z$100,MATCH($A34,'WP PROGRESS'!$A$2:$A$100,0))),""))</f>
        <v/>
      </c>
      <c r="S34" s="29">
        <f>IF($A34="","",COUNTIFS(ISSUES!$P$5:$P$200,"*"&amp;$A34&amp;"*",ISSUES!$H$5:$H$200,"&lt;&gt;Closed",ISSUES!$H$5:$H$200,"&lt;&gt;Resolved",ISSUES!$H$5:$H$200,"&lt;&gt;Cancelled",ISSUES!$H$5:$H$200,"&lt;&gt;",ISSUES!$A$5:$A$200,"&lt;&gt;"))</f>
        <v/>
      </c>
      <c r="U34" s="29">
        <f>IF($A34="","",IFERROR(IF(INDEX('WORK PACKAGES'!$G$2:$G$100,MATCH($A34,'WORK PACKAGES'!$A$2:$A$100,0))="","",INDEX('WORK PACKAGES'!$G$2:$G$100,MATCH($A34,'WORK PACKAGES'!$A$2:$A$100,0))),""))</f>
        <v/>
      </c>
    </row>
    <row r="35" ht="23.25" customHeight="1" s="130">
      <c r="A35" s="40" t="n"/>
      <c r="B35" s="43">
        <f>IF($A35="","",IFERROR(IF(INDEX('WORK PACKAGES'!$B$2:$B$100,MATCH($A35,'WORK PACKAGES'!$A$2:$A$100,0))="","",INDEX('WORK PACKAGES'!$B$2:$B$100,MATCH($A35,'WORK PACKAGES'!$A$2:$A$100,0))),""))</f>
        <v/>
      </c>
      <c r="C35" s="44">
        <f>IF($A35="","",IFERROR(IF(INDEX('WORK PACKAGES'!$E$2:$E$100,MATCH($A35,'WORK PACKAGES'!$A$2:$A$100,0))="","",INDEX('WORK PACKAGES'!$E$2:$E$100,MATCH($A35,'WORK PACKAGES'!$A$2:$A$100,0))),""))</f>
        <v/>
      </c>
      <c r="D35" s="44" t="n"/>
      <c r="E35" s="24">
        <f>IF($A35="","",IFERROR(IF(INDEX('WP PROGRESS'!$F$2:$F$100,MATCH($A35,'WP PROGRESS'!$A$2:$A$100,0))="","",INDEX('WP PROGRESS'!$F$2:$F$100,MATCH($A35,'WP PROGRESS'!$A$2:$A$100,0))),""))</f>
        <v/>
      </c>
      <c r="F35" s="24">
        <f>IF($A35="","",IFERROR(IF(INDEX('WP PROGRESS'!$G$2:$G$100,MATCH($A35,'WP PROGRESS'!$A$2:$A$100,0))="","",INDEX('WP PROGRESS'!$G$2:$G$100,MATCH($A35,'WP PROGRESS'!$A$2:$A$100,0))),""))</f>
        <v/>
      </c>
      <c r="G35" s="24">
        <f>IF($A35="","",IFERROR(IF(INDEX('WP PROGRESS'!$H$2:$H$100,MATCH($A35,'WP PROGRESS'!$A$2:$A$100,0))="","",INDEX('WP PROGRESS'!$H$2:$H$100,MATCH($A35,'WP PROGRESS'!$A$2:$A$100,0))),""))</f>
        <v/>
      </c>
      <c r="H35" s="24">
        <f>IF($A35="","",IFERROR(IF(INDEX('WP PROGRESS'!$I$2:$I$100,MATCH($A35,'WP PROGRESS'!$A$2:$A$100,0))="","",INDEX('WP PROGRESS'!$I$2:$I$100,MATCH($A35,'WP PROGRESS'!$A$2:$A$100,0))),""))</f>
        <v/>
      </c>
      <c r="I35" s="24">
        <f>IF($A35="","",IFERROR(IF(INDEX('WP PROGRESS'!$K$2:$K$100,MATCH($A35,'WP PROGRESS'!$A$2:$A$100,0))="","",INDEX('WP PROGRESS'!$K$2:$K$100,MATCH($A35,'WP PROGRESS'!$A$2:$A$100,0))),""))</f>
        <v/>
      </c>
      <c r="J35" s="42" t="n"/>
      <c r="K35" s="42" t="n"/>
      <c r="L35" s="26" t="n"/>
      <c r="M35" s="42" t="n"/>
      <c r="N35" s="42" t="n"/>
      <c r="O35" s="42" t="n"/>
      <c r="P35" s="27">
        <f>IF($A35="","",IFERROR(IF(INDEX('WP PROGRESS'!$V$2:$V$100,MATCH($A35,'WP PROGRESS'!$A$2:$A$100,0))="","",INDEX('WP PROGRESS'!$V$2:$V$100,MATCH($A35,'WP PROGRESS'!$A$2:$A$100,0))),""))</f>
        <v/>
      </c>
      <c r="Q35" s="28">
        <f>IF($A35="","",IFERROR(IF(INDEX('WP PROGRESS'!$E$2:$E$100,MATCH($A35,'WP PROGRESS'!$A$2:$A$100,0))="","",INDEX('WP PROGRESS'!$E$2:$E$100,MATCH($A35,'WP PROGRESS'!$A$2:$A$100,0))),""))</f>
        <v/>
      </c>
      <c r="R35" s="29">
        <f>IF($A35="","",IFERROR(IF(INDEX('WP PROGRESS'!$Z$2:$Z$100,MATCH($A35,'WP PROGRESS'!$A$2:$A$100,0))="","",INDEX('WP PROGRESS'!$Z$2:$Z$100,MATCH($A35,'WP PROGRESS'!$A$2:$A$100,0))),""))</f>
        <v/>
      </c>
      <c r="S35" s="29">
        <f>IF($A35="","",COUNTIFS(ISSUES!$P$5:$P$200,"*"&amp;$A35&amp;"*",ISSUES!$H$5:$H$200,"&lt;&gt;Closed",ISSUES!$H$5:$H$200,"&lt;&gt;Resolved",ISSUES!$H$5:$H$200,"&lt;&gt;Cancelled",ISSUES!$H$5:$H$200,"&lt;&gt;",ISSUES!$A$5:$A$200,"&lt;&gt;"))</f>
        <v/>
      </c>
      <c r="U35" s="29">
        <f>IF($A35="","",IFERROR(IF(INDEX('WORK PACKAGES'!$G$2:$G$100,MATCH($A35,'WORK PACKAGES'!$A$2:$A$100,0))="","",INDEX('WORK PACKAGES'!$G$2:$G$100,MATCH($A35,'WORK PACKAGES'!$A$2:$A$100,0))),""))</f>
        <v/>
      </c>
    </row>
    <row r="36" ht="23.25" customHeight="1" s="130">
      <c r="A36" s="40" t="n"/>
      <c r="B36" s="43">
        <f>IF($A36="","",IFERROR(IF(INDEX('WORK PACKAGES'!$B$2:$B$100,MATCH($A36,'WORK PACKAGES'!$A$2:$A$100,0))="","",INDEX('WORK PACKAGES'!$B$2:$B$100,MATCH($A36,'WORK PACKAGES'!$A$2:$A$100,0))),""))</f>
        <v/>
      </c>
      <c r="C36" s="44">
        <f>IF($A36="","",IFERROR(IF(INDEX('WORK PACKAGES'!$E$2:$E$100,MATCH($A36,'WORK PACKAGES'!$A$2:$A$100,0))="","",INDEX('WORK PACKAGES'!$E$2:$E$100,MATCH($A36,'WORK PACKAGES'!$A$2:$A$100,0))),""))</f>
        <v/>
      </c>
      <c r="D36" s="44" t="n"/>
      <c r="E36" s="24">
        <f>IF($A36="","",IFERROR(IF(INDEX('WP PROGRESS'!$F$2:$F$100,MATCH($A36,'WP PROGRESS'!$A$2:$A$100,0))="","",INDEX('WP PROGRESS'!$F$2:$F$100,MATCH($A36,'WP PROGRESS'!$A$2:$A$100,0))),""))</f>
        <v/>
      </c>
      <c r="F36" s="24">
        <f>IF($A36="","",IFERROR(IF(INDEX('WP PROGRESS'!$G$2:$G$100,MATCH($A36,'WP PROGRESS'!$A$2:$A$100,0))="","",INDEX('WP PROGRESS'!$G$2:$G$100,MATCH($A36,'WP PROGRESS'!$A$2:$A$100,0))),""))</f>
        <v/>
      </c>
      <c r="G36" s="24">
        <f>IF($A36="","",IFERROR(IF(INDEX('WP PROGRESS'!$H$2:$H$100,MATCH($A36,'WP PROGRESS'!$A$2:$A$100,0))="","",INDEX('WP PROGRESS'!$H$2:$H$100,MATCH($A36,'WP PROGRESS'!$A$2:$A$100,0))),""))</f>
        <v/>
      </c>
      <c r="H36" s="24">
        <f>IF($A36="","",IFERROR(IF(INDEX('WP PROGRESS'!$I$2:$I$100,MATCH($A36,'WP PROGRESS'!$A$2:$A$100,0))="","",INDEX('WP PROGRESS'!$I$2:$I$100,MATCH($A36,'WP PROGRESS'!$A$2:$A$100,0))),""))</f>
        <v/>
      </c>
      <c r="I36" s="24">
        <f>IF($A36="","",IFERROR(IF(INDEX('WP PROGRESS'!$K$2:$K$100,MATCH($A36,'WP PROGRESS'!$A$2:$A$100,0))="","",INDEX('WP PROGRESS'!$K$2:$K$100,MATCH($A36,'WP PROGRESS'!$A$2:$A$100,0))),""))</f>
        <v/>
      </c>
      <c r="J36" s="42" t="n"/>
      <c r="K36" s="42" t="n"/>
      <c r="L36" s="26" t="n"/>
      <c r="M36" s="42" t="n"/>
      <c r="N36" s="42" t="n"/>
      <c r="O36" s="42" t="n"/>
      <c r="P36" s="27">
        <f>IF($A36="","",IFERROR(IF(INDEX('WP PROGRESS'!$V$2:$V$100,MATCH($A36,'WP PROGRESS'!$A$2:$A$100,0))="","",INDEX('WP PROGRESS'!$V$2:$V$100,MATCH($A36,'WP PROGRESS'!$A$2:$A$100,0))),""))</f>
        <v/>
      </c>
      <c r="Q36" s="28">
        <f>IF($A36="","",IFERROR(IF(INDEX('WP PROGRESS'!$E$2:$E$100,MATCH($A36,'WP PROGRESS'!$A$2:$A$100,0))="","",INDEX('WP PROGRESS'!$E$2:$E$100,MATCH($A36,'WP PROGRESS'!$A$2:$A$100,0))),""))</f>
        <v/>
      </c>
      <c r="R36" s="29">
        <f>IF($A36="","",IFERROR(IF(INDEX('WP PROGRESS'!$Z$2:$Z$100,MATCH($A36,'WP PROGRESS'!$A$2:$A$100,0))="","",INDEX('WP PROGRESS'!$Z$2:$Z$100,MATCH($A36,'WP PROGRESS'!$A$2:$A$100,0))),""))</f>
        <v/>
      </c>
      <c r="S36" s="29">
        <f>IF($A36="","",COUNTIFS(ISSUES!$P$5:$P$200,"*"&amp;$A36&amp;"*",ISSUES!$H$5:$H$200,"&lt;&gt;Closed",ISSUES!$H$5:$H$200,"&lt;&gt;Resolved",ISSUES!$H$5:$H$200,"&lt;&gt;Cancelled",ISSUES!$H$5:$H$200,"&lt;&gt;",ISSUES!$A$5:$A$200,"&lt;&gt;"))</f>
        <v/>
      </c>
      <c r="U36" s="29">
        <f>IF($A36="","",IFERROR(IF(INDEX('WORK PACKAGES'!$G$2:$G$100,MATCH($A36,'WORK PACKAGES'!$A$2:$A$100,0))="","",INDEX('WORK PACKAGES'!$G$2:$G$100,MATCH($A36,'WORK PACKAGES'!$A$2:$A$100,0))),""))</f>
        <v/>
      </c>
    </row>
    <row r="37" ht="23.25" customHeight="1" s="130">
      <c r="A37" s="40" t="n"/>
      <c r="B37" s="43">
        <f>IF($A37="","",IFERROR(IF(INDEX('WORK PACKAGES'!$B$2:$B$100,MATCH($A37,'WORK PACKAGES'!$A$2:$A$100,0))="","",INDEX('WORK PACKAGES'!$B$2:$B$100,MATCH($A37,'WORK PACKAGES'!$A$2:$A$100,0))),""))</f>
        <v/>
      </c>
      <c r="C37" s="44">
        <f>IF($A37="","",IFERROR(IF(INDEX('WORK PACKAGES'!$E$2:$E$100,MATCH($A37,'WORK PACKAGES'!$A$2:$A$100,0))="","",INDEX('WORK PACKAGES'!$E$2:$E$100,MATCH($A37,'WORK PACKAGES'!$A$2:$A$100,0))),""))</f>
        <v/>
      </c>
      <c r="D37" s="44" t="n"/>
      <c r="E37" s="24">
        <f>IF($A37="","",IFERROR(IF(INDEX('WP PROGRESS'!$F$2:$F$100,MATCH($A37,'WP PROGRESS'!$A$2:$A$100,0))="","",INDEX('WP PROGRESS'!$F$2:$F$100,MATCH($A37,'WP PROGRESS'!$A$2:$A$100,0))),""))</f>
        <v/>
      </c>
      <c r="F37" s="24">
        <f>IF($A37="","",IFERROR(IF(INDEX('WP PROGRESS'!$G$2:$G$100,MATCH($A37,'WP PROGRESS'!$A$2:$A$100,0))="","",INDEX('WP PROGRESS'!$G$2:$G$100,MATCH($A37,'WP PROGRESS'!$A$2:$A$100,0))),""))</f>
        <v/>
      </c>
      <c r="G37" s="24">
        <f>IF($A37="","",IFERROR(IF(INDEX('WP PROGRESS'!$H$2:$H$100,MATCH($A37,'WP PROGRESS'!$A$2:$A$100,0))="","",INDEX('WP PROGRESS'!$H$2:$H$100,MATCH($A37,'WP PROGRESS'!$A$2:$A$100,0))),""))</f>
        <v/>
      </c>
      <c r="H37" s="24">
        <f>IF($A37="","",IFERROR(IF(INDEX('WP PROGRESS'!$I$2:$I$100,MATCH($A37,'WP PROGRESS'!$A$2:$A$100,0))="","",INDEX('WP PROGRESS'!$I$2:$I$100,MATCH($A37,'WP PROGRESS'!$A$2:$A$100,0))),""))</f>
        <v/>
      </c>
      <c r="I37" s="24">
        <f>IF($A37="","",IFERROR(IF(INDEX('WP PROGRESS'!$K$2:$K$100,MATCH($A37,'WP PROGRESS'!$A$2:$A$100,0))="","",INDEX('WP PROGRESS'!$K$2:$K$100,MATCH($A37,'WP PROGRESS'!$A$2:$A$100,0))),""))</f>
        <v/>
      </c>
      <c r="J37" s="42" t="n"/>
      <c r="K37" s="42" t="n"/>
      <c r="L37" s="26" t="n"/>
      <c r="M37" s="42" t="n"/>
      <c r="N37" s="42" t="n"/>
      <c r="O37" s="42" t="n"/>
      <c r="P37" s="27">
        <f>IF($A37="","",IFERROR(IF(INDEX('WP PROGRESS'!$V$2:$V$100,MATCH($A37,'WP PROGRESS'!$A$2:$A$100,0))="","",INDEX('WP PROGRESS'!$V$2:$V$100,MATCH($A37,'WP PROGRESS'!$A$2:$A$100,0))),""))</f>
        <v/>
      </c>
      <c r="Q37" s="28">
        <f>IF($A37="","",IFERROR(IF(INDEX('WP PROGRESS'!$E$2:$E$100,MATCH($A37,'WP PROGRESS'!$A$2:$A$100,0))="","",INDEX('WP PROGRESS'!$E$2:$E$100,MATCH($A37,'WP PROGRESS'!$A$2:$A$100,0))),""))</f>
        <v/>
      </c>
      <c r="R37" s="29">
        <f>IF($A37="","",IFERROR(IF(INDEX('WP PROGRESS'!$Z$2:$Z$100,MATCH($A37,'WP PROGRESS'!$A$2:$A$100,0))="","",INDEX('WP PROGRESS'!$Z$2:$Z$100,MATCH($A37,'WP PROGRESS'!$A$2:$A$100,0))),""))</f>
        <v/>
      </c>
      <c r="S37" s="29">
        <f>IF($A37="","",COUNTIFS(ISSUES!$P$5:$P$200,"*"&amp;$A37&amp;"*",ISSUES!$H$5:$H$200,"&lt;&gt;Closed",ISSUES!$H$5:$H$200,"&lt;&gt;Resolved",ISSUES!$H$5:$H$200,"&lt;&gt;Cancelled",ISSUES!$H$5:$H$200,"&lt;&gt;",ISSUES!$A$5:$A$200,"&lt;&gt;"))</f>
        <v/>
      </c>
      <c r="U37" s="29">
        <f>IF($A37="","",IFERROR(IF(INDEX('WORK PACKAGES'!$G$2:$G$100,MATCH($A37,'WORK PACKAGES'!$A$2:$A$100,0))="","",INDEX('WORK PACKAGES'!$G$2:$G$100,MATCH($A37,'WORK PACKAGES'!$A$2:$A$100,0))),""))</f>
        <v/>
      </c>
    </row>
    <row r="38" ht="23.25" customHeight="1" s="130">
      <c r="A38" s="40" t="n"/>
      <c r="B38" s="43">
        <f>IF($A38="","",IFERROR(IF(INDEX('WORK PACKAGES'!$B$2:$B$100,MATCH($A38,'WORK PACKAGES'!$A$2:$A$100,0))="","",INDEX('WORK PACKAGES'!$B$2:$B$100,MATCH($A38,'WORK PACKAGES'!$A$2:$A$100,0))),""))</f>
        <v/>
      </c>
      <c r="C38" s="44">
        <f>IF($A38="","",IFERROR(IF(INDEX('WORK PACKAGES'!$E$2:$E$100,MATCH($A38,'WORK PACKAGES'!$A$2:$A$100,0))="","",INDEX('WORK PACKAGES'!$E$2:$E$100,MATCH($A38,'WORK PACKAGES'!$A$2:$A$100,0))),""))</f>
        <v/>
      </c>
      <c r="D38" s="44" t="n"/>
      <c r="E38" s="24">
        <f>IF($A38="","",IFERROR(IF(INDEX('WP PROGRESS'!$F$2:$F$100,MATCH($A38,'WP PROGRESS'!$A$2:$A$100,0))="","",INDEX('WP PROGRESS'!$F$2:$F$100,MATCH($A38,'WP PROGRESS'!$A$2:$A$100,0))),""))</f>
        <v/>
      </c>
      <c r="F38" s="24">
        <f>IF($A38="","",IFERROR(IF(INDEX('WP PROGRESS'!$G$2:$G$100,MATCH($A38,'WP PROGRESS'!$A$2:$A$100,0))="","",INDEX('WP PROGRESS'!$G$2:$G$100,MATCH($A38,'WP PROGRESS'!$A$2:$A$100,0))),""))</f>
        <v/>
      </c>
      <c r="G38" s="24">
        <f>IF($A38="","",IFERROR(IF(INDEX('WP PROGRESS'!$H$2:$H$100,MATCH($A38,'WP PROGRESS'!$A$2:$A$100,0))="","",INDEX('WP PROGRESS'!$H$2:$H$100,MATCH($A38,'WP PROGRESS'!$A$2:$A$100,0))),""))</f>
        <v/>
      </c>
      <c r="H38" s="24">
        <f>IF($A38="","",IFERROR(IF(INDEX('WP PROGRESS'!$I$2:$I$100,MATCH($A38,'WP PROGRESS'!$A$2:$A$100,0))="","",INDEX('WP PROGRESS'!$I$2:$I$100,MATCH($A38,'WP PROGRESS'!$A$2:$A$100,0))),""))</f>
        <v/>
      </c>
      <c r="I38" s="24">
        <f>IF($A38="","",IFERROR(IF(INDEX('WP PROGRESS'!$K$2:$K$100,MATCH($A38,'WP PROGRESS'!$A$2:$A$100,0))="","",INDEX('WP PROGRESS'!$K$2:$K$100,MATCH($A38,'WP PROGRESS'!$A$2:$A$100,0))),""))</f>
        <v/>
      </c>
      <c r="J38" s="42" t="n"/>
      <c r="K38" s="42" t="n"/>
      <c r="L38" s="26" t="n"/>
      <c r="M38" s="42" t="n"/>
      <c r="N38" s="42" t="n"/>
      <c r="O38" s="42" t="n"/>
      <c r="P38" s="27">
        <f>IF($A38="","",IFERROR(IF(INDEX('WP PROGRESS'!$V$2:$V$100,MATCH($A38,'WP PROGRESS'!$A$2:$A$100,0))="","",INDEX('WP PROGRESS'!$V$2:$V$100,MATCH($A38,'WP PROGRESS'!$A$2:$A$100,0))),""))</f>
        <v/>
      </c>
      <c r="Q38" s="28">
        <f>IF($A38="","",IFERROR(IF(INDEX('WP PROGRESS'!$E$2:$E$100,MATCH($A38,'WP PROGRESS'!$A$2:$A$100,0))="","",INDEX('WP PROGRESS'!$E$2:$E$100,MATCH($A38,'WP PROGRESS'!$A$2:$A$100,0))),""))</f>
        <v/>
      </c>
      <c r="R38" s="29">
        <f>IF($A38="","",IFERROR(IF(INDEX('WP PROGRESS'!$Z$2:$Z$100,MATCH($A38,'WP PROGRESS'!$A$2:$A$100,0))="","",INDEX('WP PROGRESS'!$Z$2:$Z$100,MATCH($A38,'WP PROGRESS'!$A$2:$A$100,0))),""))</f>
        <v/>
      </c>
      <c r="S38" s="29">
        <f>IF($A38="","",COUNTIFS(ISSUES!$P$5:$P$200,"*"&amp;$A38&amp;"*",ISSUES!$H$5:$H$200,"&lt;&gt;Closed",ISSUES!$H$5:$H$200,"&lt;&gt;Resolved",ISSUES!$H$5:$H$200,"&lt;&gt;Cancelled",ISSUES!$H$5:$H$200,"&lt;&gt;",ISSUES!$A$5:$A$200,"&lt;&gt;"))</f>
        <v/>
      </c>
      <c r="U38" s="29">
        <f>IF($A38="","",IFERROR(IF(INDEX('WORK PACKAGES'!$G$2:$G$100,MATCH($A38,'WORK PACKAGES'!$A$2:$A$100,0))="","",INDEX('WORK PACKAGES'!$G$2:$G$100,MATCH($A38,'WORK PACKAGES'!$A$2:$A$100,0))),""))</f>
        <v/>
      </c>
    </row>
    <row r="39" ht="23.25" customHeight="1" s="130">
      <c r="A39" s="40" t="n"/>
      <c r="B39" s="43">
        <f>IF($A39="","",IFERROR(IF(INDEX('WORK PACKAGES'!$B$2:$B$100,MATCH($A39,'WORK PACKAGES'!$A$2:$A$100,0))="","",INDEX('WORK PACKAGES'!$B$2:$B$100,MATCH($A39,'WORK PACKAGES'!$A$2:$A$100,0))),""))</f>
        <v/>
      </c>
      <c r="C39" s="44">
        <f>IF($A39="","",IFERROR(IF(INDEX('WORK PACKAGES'!$E$2:$E$100,MATCH($A39,'WORK PACKAGES'!$A$2:$A$100,0))="","",INDEX('WORK PACKAGES'!$E$2:$E$100,MATCH($A39,'WORK PACKAGES'!$A$2:$A$100,0))),""))</f>
        <v/>
      </c>
      <c r="D39" s="44" t="n"/>
      <c r="E39" s="45">
        <f>IF($A39="","",IFERROR(IF(INDEX('WP PROGRESS'!$F$2:$F$100,MATCH($A39,'WP PROGRESS'!$A$2:$A$100,0))="","",INDEX('WP PROGRESS'!$F$2:$F$100,MATCH($A39,'WP PROGRESS'!$A$2:$A$100,0))),""))</f>
        <v/>
      </c>
      <c r="F39" s="45">
        <f>IF($A39="","",IFERROR(IF(INDEX('WP PROGRESS'!$G$2:$G$100,MATCH($A39,'WP PROGRESS'!$A$2:$A$100,0))="","",INDEX('WP PROGRESS'!$G$2:$G$100,MATCH($A39,'WP PROGRESS'!$A$2:$A$100,0))),""))</f>
        <v/>
      </c>
      <c r="G39" s="46">
        <f>IF($A39="","",IFERROR(IF(INDEX('WP PROGRESS'!$H$2:$H$100,MATCH($A39,'WP PROGRESS'!$A$2:$A$100,0))="","",INDEX('WP PROGRESS'!$H$2:$H$100,MATCH($A39,'WP PROGRESS'!$A$2:$A$100,0))),""))</f>
        <v/>
      </c>
      <c r="H39" s="45">
        <f>IF($A39="","",IFERROR(IF(INDEX('WP PROGRESS'!$I$2:$I$100,MATCH($A39,'WP PROGRESS'!$A$2:$A$100,0))="","",INDEX('WP PROGRESS'!$I$2:$I$100,MATCH($A39,'WP PROGRESS'!$A$2:$A$100,0))),""))</f>
        <v/>
      </c>
      <c r="I39" s="45">
        <f>IF($A39="","",IFERROR(IF(INDEX('WP PROGRESS'!$K$2:$K$100,MATCH($A39,'WP PROGRESS'!$A$2:$A$100,0))="","",INDEX('WP PROGRESS'!$K$2:$K$100,MATCH($A39,'WP PROGRESS'!$A$2:$A$100,0))),""))</f>
        <v/>
      </c>
      <c r="J39" s="42" t="n"/>
      <c r="K39" s="42" t="n"/>
      <c r="L39" s="26" t="n"/>
      <c r="M39" s="42" t="n"/>
      <c r="N39" s="42" t="n"/>
      <c r="O39" s="42" t="n"/>
      <c r="P39" s="47">
        <f>IF($A39="","",IFERROR(IF(INDEX('WP PROGRESS'!$V$2:$V$100,MATCH($A39,'WP PROGRESS'!$A$2:$A$100,0))="","",INDEX('WP PROGRESS'!$V$2:$V$100,MATCH($A39,'WP PROGRESS'!$A$2:$A$100,0))),""))</f>
        <v/>
      </c>
      <c r="Q39" s="34">
        <f>IF($A39="","",IFERROR(IF(INDEX('WP PROGRESS'!$E$2:$E$100,MATCH($A39,'WP PROGRESS'!$A$2:$A$100,0))="","",INDEX('WP PROGRESS'!$E$2:$E$100,MATCH($A39,'WP PROGRESS'!$A$2:$A$100,0))),""))</f>
        <v/>
      </c>
      <c r="R39" s="48">
        <f>IF($A39="","",IFERROR(IF(INDEX('WP PROGRESS'!$Z$2:$Z$100,MATCH($A39,'WP PROGRESS'!$A$2:$A$100,0))="","",INDEX('WP PROGRESS'!$Z$2:$Z$100,MATCH($A39,'WP PROGRESS'!$A$2:$A$100,0))),""))</f>
        <v/>
      </c>
      <c r="S39" s="48">
        <f>IF($A39="","",COUNTIFS(ISSUES!$P$5:$P$200,"*"&amp;$A39&amp;"*",ISSUES!$H$5:$H$200,"&lt;&gt;Closed",ISSUES!$H$5:$H$200,"&lt;&gt;Resolved",ISSUES!$H$5:$H$200,"&lt;&gt;Cancelled",ISSUES!$H$5:$H$200,"&lt;&gt;",ISSUES!$A$5:$A$200,"&lt;&gt;"))</f>
        <v/>
      </c>
      <c r="U39" s="48">
        <f>IF($A39="","",IFERROR(IF(INDEX('WORK PACKAGES'!$G$2:$G$100,MATCH($A39,'WORK PACKAGES'!$A$2:$A$100,0))="","",INDEX('WORK PACKAGES'!$G$2:$G$100,MATCH($A39,'WORK PACKAGES'!$A$2:$A$100,0))),""))</f>
        <v/>
      </c>
    </row>
    <row r="40" ht="23.25" customHeight="1" s="130">
      <c r="A40" s="49" t="n"/>
      <c r="B40" s="43">
        <f>IF($A40="","",IFERROR(IF(INDEX('WORK PACKAGES'!$B$2:$B$100,MATCH($A40,'WORK PACKAGES'!$A$2:$A$100,0))="","",INDEX('WORK PACKAGES'!$B$2:$B$100,MATCH($A40,'WORK PACKAGES'!$A$2:$A$100,0))),""))</f>
        <v/>
      </c>
      <c r="C40" s="44">
        <f>IF($A40="","",IFERROR(IF(INDEX('WORK PACKAGES'!$E$2:$E$100,MATCH($A40,'WORK PACKAGES'!$A$2:$A$100,0))="","",INDEX('WORK PACKAGES'!$E$2:$E$100,MATCH($A40,'WORK PACKAGES'!$A$2:$A$100,0))),""))</f>
        <v/>
      </c>
      <c r="D40" s="44" t="n"/>
      <c r="E40" s="45">
        <f>IF($A40="","",IFERROR(IF(INDEX('WP PROGRESS'!$F$2:$F$100,MATCH($A40,'WP PROGRESS'!$A$2:$A$100,0))="","",INDEX('WP PROGRESS'!$F$2:$F$100,MATCH($A40,'WP PROGRESS'!$A$2:$A$100,0))),""))</f>
        <v/>
      </c>
      <c r="F40" s="45">
        <f>IF($A40="","",IFERROR(IF(INDEX('WP PROGRESS'!$G$2:$G$100,MATCH($A40,'WP PROGRESS'!$A$2:$A$100,0))="","",INDEX('WP PROGRESS'!$G$2:$G$100,MATCH($A40,'WP PROGRESS'!$A$2:$A$100,0))),""))</f>
        <v/>
      </c>
      <c r="G40" s="46">
        <f>IF($A40="","",IFERROR(IF(INDEX('WP PROGRESS'!$H$2:$H$100,MATCH($A40,'WP PROGRESS'!$A$2:$A$100,0))="","",INDEX('WP PROGRESS'!$H$2:$H$100,MATCH($A40,'WP PROGRESS'!$A$2:$A$100,0))),""))</f>
        <v/>
      </c>
      <c r="H40" s="45">
        <f>IF($A40="","",IFERROR(IF(INDEX('WP PROGRESS'!$I$2:$I$100,MATCH($A40,'WP PROGRESS'!$A$2:$A$100,0))="","",INDEX('WP PROGRESS'!$I$2:$I$100,MATCH($A40,'WP PROGRESS'!$A$2:$A$100,0))),""))</f>
        <v/>
      </c>
      <c r="I40" s="45">
        <f>IF($A40="","",IFERROR(IF(INDEX('WP PROGRESS'!$K$2:$K$100,MATCH($A40,'WP PROGRESS'!$A$2:$A$100,0))="","",INDEX('WP PROGRESS'!$K$2:$K$100,MATCH($A40,'WP PROGRESS'!$A$2:$A$100,0))),""))</f>
        <v/>
      </c>
      <c r="J40" s="42" t="n"/>
      <c r="K40" s="42" t="n"/>
      <c r="L40" s="26" t="n"/>
      <c r="M40" s="42" t="n"/>
      <c r="N40" s="42" t="n"/>
      <c r="O40" s="42" t="n"/>
      <c r="P40" s="47">
        <f>IF($A40="","",IFERROR(IF(INDEX('WP PROGRESS'!$V$2:$V$100,MATCH($A40,'WP PROGRESS'!$A$2:$A$100,0))="","",INDEX('WP PROGRESS'!$V$2:$V$100,MATCH($A40,'WP PROGRESS'!$A$2:$A$100,0))),""))</f>
        <v/>
      </c>
      <c r="Q40" s="34">
        <f>IF($A40="","",IFERROR(IF(INDEX('WP PROGRESS'!$E$2:$E$100,MATCH($A40,'WP PROGRESS'!$A$2:$A$100,0))="","",INDEX('WP PROGRESS'!$E$2:$E$100,MATCH($A40,'WP PROGRESS'!$A$2:$A$100,0))),""))</f>
        <v/>
      </c>
      <c r="R40" s="48">
        <f>IF($A40="","",IFERROR(IF(INDEX('WP PROGRESS'!$Z$2:$Z$100,MATCH($A40,'WP PROGRESS'!$A$2:$A$100,0))="","",INDEX('WP PROGRESS'!$Z$2:$Z$100,MATCH($A40,'WP PROGRESS'!$A$2:$A$100,0))),""))</f>
        <v/>
      </c>
      <c r="S40" s="48">
        <f>IF($A40="","",COUNTIFS(ISSUES!$P$5:$P$200,"*"&amp;$A40&amp;"*",ISSUES!$H$5:$H$200,"&lt;&gt;Closed",ISSUES!$H$5:$H$200,"&lt;&gt;Resolved",ISSUES!$H$5:$H$200,"&lt;&gt;Cancelled",ISSUES!$H$5:$H$200,"&lt;&gt;",ISSUES!$A$5:$A$200,"&lt;&gt;"))</f>
        <v/>
      </c>
      <c r="U40" s="48">
        <f>IF($A40="","",IFERROR(IF(INDEX('WORK PACKAGES'!$G$2:$G$100,MATCH($A40,'WORK PACKAGES'!$A$2:$A$100,0))="","",INDEX('WORK PACKAGES'!$G$2:$G$100,MATCH($A40,'WORK PACKAGES'!$A$2:$A$100,0))),""))</f>
        <v/>
      </c>
    </row>
    <row r="41" ht="23.25" customHeight="1" s="130">
      <c r="A41" s="49" t="n"/>
      <c r="B41" s="43">
        <f>IF($A41="","",IFERROR(IF(INDEX('WORK PACKAGES'!$B$2:$B$100,MATCH($A41,'WORK PACKAGES'!$A$2:$A$100,0))="","",INDEX('WORK PACKAGES'!$B$2:$B$100,MATCH($A41,'WORK PACKAGES'!$A$2:$A$100,0))),""))</f>
        <v/>
      </c>
      <c r="C41" s="44">
        <f>IF($A41="","",IFERROR(IF(INDEX('WORK PACKAGES'!$E$2:$E$100,MATCH($A41,'WORK PACKAGES'!$A$2:$A$100,0))="","",INDEX('WORK PACKAGES'!$E$2:$E$100,MATCH($A41,'WORK PACKAGES'!$A$2:$A$100,0))),""))</f>
        <v/>
      </c>
      <c r="D41" s="44" t="n"/>
      <c r="E41" s="45">
        <f>IF($A41="","",IFERROR(IF(INDEX('WP PROGRESS'!$F$2:$F$100,MATCH($A41,'WP PROGRESS'!$A$2:$A$100,0))="","",INDEX('WP PROGRESS'!$F$2:$F$100,MATCH($A41,'WP PROGRESS'!$A$2:$A$100,0))),""))</f>
        <v/>
      </c>
      <c r="F41" s="45">
        <f>IF($A41="","",IFERROR(IF(INDEX('WP PROGRESS'!$G$2:$G$100,MATCH($A41,'WP PROGRESS'!$A$2:$A$100,0))="","",INDEX('WP PROGRESS'!$G$2:$G$100,MATCH($A41,'WP PROGRESS'!$A$2:$A$100,0))),""))</f>
        <v/>
      </c>
      <c r="G41" s="46">
        <f>IF($A41="","",IFERROR(IF(INDEX('WP PROGRESS'!$H$2:$H$100,MATCH($A41,'WP PROGRESS'!$A$2:$A$100,0))="","",INDEX('WP PROGRESS'!$H$2:$H$100,MATCH($A41,'WP PROGRESS'!$A$2:$A$100,0))),""))</f>
        <v/>
      </c>
      <c r="H41" s="45">
        <f>IF($A41="","",IFERROR(IF(INDEX('WP PROGRESS'!$I$2:$I$100,MATCH($A41,'WP PROGRESS'!$A$2:$A$100,0))="","",INDEX('WP PROGRESS'!$I$2:$I$100,MATCH($A41,'WP PROGRESS'!$A$2:$A$100,0))),""))</f>
        <v/>
      </c>
      <c r="I41" s="45">
        <f>IF($A41="","",IFERROR(IF(INDEX('WP PROGRESS'!$K$2:$K$100,MATCH($A41,'WP PROGRESS'!$A$2:$A$100,0))="","",INDEX('WP PROGRESS'!$K$2:$K$100,MATCH($A41,'WP PROGRESS'!$A$2:$A$100,0))),""))</f>
        <v/>
      </c>
      <c r="J41" s="42" t="n"/>
      <c r="K41" s="42" t="n"/>
      <c r="L41" s="26" t="n"/>
      <c r="M41" s="42" t="n"/>
      <c r="N41" s="42" t="n"/>
      <c r="O41" s="42" t="n"/>
      <c r="P41" s="47">
        <f>IF($A41="","",IFERROR(IF(INDEX('WP PROGRESS'!$V$2:$V$100,MATCH($A41,'WP PROGRESS'!$A$2:$A$100,0))="","",INDEX('WP PROGRESS'!$V$2:$V$100,MATCH($A41,'WP PROGRESS'!$A$2:$A$100,0))),""))</f>
        <v/>
      </c>
      <c r="Q41" s="34">
        <f>IF($A41="","",IFERROR(IF(INDEX('WP PROGRESS'!$E$2:$E$100,MATCH($A41,'WP PROGRESS'!$A$2:$A$100,0))="","",INDEX('WP PROGRESS'!$E$2:$E$100,MATCH($A41,'WP PROGRESS'!$A$2:$A$100,0))),""))</f>
        <v/>
      </c>
      <c r="R41" s="48">
        <f>IF($A41="","",IFERROR(IF(INDEX('WP PROGRESS'!$Z$2:$Z$100,MATCH($A41,'WP PROGRESS'!$A$2:$A$100,0))="","",INDEX('WP PROGRESS'!$Z$2:$Z$100,MATCH($A41,'WP PROGRESS'!$A$2:$A$100,0))),""))</f>
        <v/>
      </c>
      <c r="S41" s="48">
        <f>IF($A41="","",COUNTIFS(ISSUES!$P$5:$P$200,"*"&amp;$A41&amp;"*",ISSUES!$H$5:$H$200,"&lt;&gt;Closed",ISSUES!$H$5:$H$200,"&lt;&gt;Resolved",ISSUES!$H$5:$H$200,"&lt;&gt;Cancelled",ISSUES!$H$5:$H$200,"&lt;&gt;",ISSUES!$A$5:$A$200,"&lt;&gt;"))</f>
        <v/>
      </c>
      <c r="U41" s="48">
        <f>IF($A41="","",IFERROR(IF(INDEX('WORK PACKAGES'!$G$2:$G$100,MATCH($A41,'WORK PACKAGES'!$A$2:$A$100,0))="","",INDEX('WORK PACKAGES'!$G$2:$G$100,MATCH($A41,'WORK PACKAGES'!$A$2:$A$100,0))),""))</f>
        <v/>
      </c>
    </row>
    <row r="42" ht="23.25" customHeight="1" s="130">
      <c r="A42" s="49" t="n"/>
      <c r="B42" s="43">
        <f>IF($A42="","",IFERROR(IF(INDEX('WORK PACKAGES'!$B$2:$B$100,MATCH($A42,'WORK PACKAGES'!$A$2:$A$100,0))="","",INDEX('WORK PACKAGES'!$B$2:$B$100,MATCH($A42,'WORK PACKAGES'!$A$2:$A$100,0))),""))</f>
        <v/>
      </c>
      <c r="C42" s="44">
        <f>IF($A42="","",IFERROR(IF(INDEX('WORK PACKAGES'!$E$2:$E$100,MATCH($A42,'WORK PACKAGES'!$A$2:$A$100,0))="","",INDEX('WORK PACKAGES'!$E$2:$E$100,MATCH($A42,'WORK PACKAGES'!$A$2:$A$100,0))),""))</f>
        <v/>
      </c>
      <c r="D42" s="44" t="n"/>
      <c r="E42" s="45">
        <f>IF($A42="","",IFERROR(IF(INDEX('WP PROGRESS'!$F$2:$F$100,MATCH($A42,'WP PROGRESS'!$A$2:$A$100,0))="","",INDEX('WP PROGRESS'!$F$2:$F$100,MATCH($A42,'WP PROGRESS'!$A$2:$A$100,0))),""))</f>
        <v/>
      </c>
      <c r="F42" s="45">
        <f>IF($A42="","",IFERROR(IF(INDEX('WP PROGRESS'!$G$2:$G$100,MATCH($A42,'WP PROGRESS'!$A$2:$A$100,0))="","",INDEX('WP PROGRESS'!$G$2:$G$100,MATCH($A42,'WP PROGRESS'!$A$2:$A$100,0))),""))</f>
        <v/>
      </c>
      <c r="G42" s="46">
        <f>IF($A42="","",IFERROR(IF(INDEX('WP PROGRESS'!$H$2:$H$100,MATCH($A42,'WP PROGRESS'!$A$2:$A$100,0))="","",INDEX('WP PROGRESS'!$H$2:$H$100,MATCH($A42,'WP PROGRESS'!$A$2:$A$100,0))),""))</f>
        <v/>
      </c>
      <c r="H42" s="45">
        <f>IF($A42="","",IFERROR(IF(INDEX('WP PROGRESS'!$I$2:$I$100,MATCH($A42,'WP PROGRESS'!$A$2:$A$100,0))="","",INDEX('WP PROGRESS'!$I$2:$I$100,MATCH($A42,'WP PROGRESS'!$A$2:$A$100,0))),""))</f>
        <v/>
      </c>
      <c r="I42" s="45">
        <f>IF($A42="","",IFERROR(IF(INDEX('WP PROGRESS'!$K$2:$K$100,MATCH($A42,'WP PROGRESS'!$A$2:$A$100,0))="","",INDEX('WP PROGRESS'!$K$2:$K$100,MATCH($A42,'WP PROGRESS'!$A$2:$A$100,0))),""))</f>
        <v/>
      </c>
      <c r="J42" s="42" t="n"/>
      <c r="K42" s="42" t="n"/>
      <c r="L42" s="26" t="n"/>
      <c r="M42" s="42" t="n"/>
      <c r="N42" s="42" t="n"/>
      <c r="O42" s="42" t="n"/>
      <c r="P42" s="47">
        <f>IF($A42="","",IFERROR(IF(INDEX('WP PROGRESS'!$V$2:$V$100,MATCH($A42,'WP PROGRESS'!$A$2:$A$100,0))="","",INDEX('WP PROGRESS'!$V$2:$V$100,MATCH($A42,'WP PROGRESS'!$A$2:$A$100,0))),""))</f>
        <v/>
      </c>
      <c r="Q42" s="34">
        <f>IF($A42="","",IFERROR(IF(INDEX('WP PROGRESS'!$E$2:$E$100,MATCH($A42,'WP PROGRESS'!$A$2:$A$100,0))="","",INDEX('WP PROGRESS'!$E$2:$E$100,MATCH($A42,'WP PROGRESS'!$A$2:$A$100,0))),""))</f>
        <v/>
      </c>
      <c r="R42" s="48">
        <f>IF($A42="","",IFERROR(IF(INDEX('WP PROGRESS'!$Z$2:$Z$100,MATCH($A42,'WP PROGRESS'!$A$2:$A$100,0))="","",INDEX('WP PROGRESS'!$Z$2:$Z$100,MATCH($A42,'WP PROGRESS'!$A$2:$A$100,0))),""))</f>
        <v/>
      </c>
      <c r="S42" s="48">
        <f>IF($A42="","",COUNTIFS(ISSUES!$P$5:$P$200,"*"&amp;$A42&amp;"*",ISSUES!$H$5:$H$200,"&lt;&gt;Closed",ISSUES!$H$5:$H$200,"&lt;&gt;Resolved",ISSUES!$H$5:$H$200,"&lt;&gt;Cancelled",ISSUES!$H$5:$H$200,"&lt;&gt;",ISSUES!$A$5:$A$200,"&lt;&gt;"))</f>
        <v/>
      </c>
      <c r="U42" s="48">
        <f>IF($A42="","",IFERROR(IF(INDEX('WORK PACKAGES'!$G$2:$G$100,MATCH($A42,'WORK PACKAGES'!$A$2:$A$100,0))="","",INDEX('WORK PACKAGES'!$G$2:$G$100,MATCH($A42,'WORK PACKAGES'!$A$2:$A$100,0))),""))</f>
        <v/>
      </c>
    </row>
    <row r="43" ht="23.25" customHeight="1" s="130">
      <c r="A43" s="49" t="n"/>
      <c r="B43" s="43">
        <f>IF($A43="","",IFERROR(IF(INDEX('WORK PACKAGES'!$B$2:$B$100,MATCH($A43,'WORK PACKAGES'!$A$2:$A$100,0))="","",INDEX('WORK PACKAGES'!$B$2:$B$100,MATCH($A43,'WORK PACKAGES'!$A$2:$A$100,0))),""))</f>
        <v/>
      </c>
      <c r="C43" s="44">
        <f>IF($A43="","",IFERROR(IF(INDEX('WORK PACKAGES'!$E$2:$E$100,MATCH($A43,'WORK PACKAGES'!$A$2:$A$100,0))="","",INDEX('WORK PACKAGES'!$E$2:$E$100,MATCH($A43,'WORK PACKAGES'!$A$2:$A$100,0))),""))</f>
        <v/>
      </c>
      <c r="D43" s="44" t="n"/>
      <c r="E43" s="45">
        <f>IF($A43="","",IFERROR(IF(INDEX('WP PROGRESS'!$F$2:$F$100,MATCH($A43,'WP PROGRESS'!$A$2:$A$100,0))="","",INDEX('WP PROGRESS'!$F$2:$F$100,MATCH($A43,'WP PROGRESS'!$A$2:$A$100,0))),""))</f>
        <v/>
      </c>
      <c r="F43" s="45">
        <f>IF($A43="","",IFERROR(IF(INDEX('WP PROGRESS'!$G$2:$G$100,MATCH($A43,'WP PROGRESS'!$A$2:$A$100,0))="","",INDEX('WP PROGRESS'!$G$2:$G$100,MATCH($A43,'WP PROGRESS'!$A$2:$A$100,0))),""))</f>
        <v/>
      </c>
      <c r="G43" s="46">
        <f>IF($A43="","",IFERROR(IF(INDEX('WP PROGRESS'!$H$2:$H$100,MATCH($A43,'WP PROGRESS'!$A$2:$A$100,0))="","",INDEX('WP PROGRESS'!$H$2:$H$100,MATCH($A43,'WP PROGRESS'!$A$2:$A$100,0))),""))</f>
        <v/>
      </c>
      <c r="H43" s="45">
        <f>IF($A43="","",IFERROR(IF(INDEX('WP PROGRESS'!$I$2:$I$100,MATCH($A43,'WP PROGRESS'!$A$2:$A$100,0))="","",INDEX('WP PROGRESS'!$I$2:$I$100,MATCH($A43,'WP PROGRESS'!$A$2:$A$100,0))),""))</f>
        <v/>
      </c>
      <c r="I43" s="45">
        <f>IF($A43="","",IFERROR(IF(INDEX('WP PROGRESS'!$K$2:$K$100,MATCH($A43,'WP PROGRESS'!$A$2:$A$100,0))="","",INDEX('WP PROGRESS'!$K$2:$K$100,MATCH($A43,'WP PROGRESS'!$A$2:$A$100,0))),""))</f>
        <v/>
      </c>
      <c r="J43" s="42" t="n"/>
      <c r="K43" s="42" t="n"/>
      <c r="L43" s="26" t="n"/>
      <c r="M43" s="42" t="n"/>
      <c r="N43" s="42" t="n"/>
      <c r="O43" s="42" t="n"/>
      <c r="P43" s="47">
        <f>IF($A43="","",IFERROR(IF(INDEX('WP PROGRESS'!$V$2:$V$100,MATCH($A43,'WP PROGRESS'!$A$2:$A$100,0))="","",INDEX('WP PROGRESS'!$V$2:$V$100,MATCH($A43,'WP PROGRESS'!$A$2:$A$100,0))),""))</f>
        <v/>
      </c>
      <c r="Q43" s="34">
        <f>IF($A43="","",IFERROR(IF(INDEX('WP PROGRESS'!$E$2:$E$100,MATCH($A43,'WP PROGRESS'!$A$2:$A$100,0))="","",INDEX('WP PROGRESS'!$E$2:$E$100,MATCH($A43,'WP PROGRESS'!$A$2:$A$100,0))),""))</f>
        <v/>
      </c>
      <c r="R43" s="48">
        <f>IF($A43="","",IFERROR(IF(INDEX('WP PROGRESS'!$Z$2:$Z$100,MATCH($A43,'WP PROGRESS'!$A$2:$A$100,0))="","",INDEX('WP PROGRESS'!$Z$2:$Z$100,MATCH($A43,'WP PROGRESS'!$A$2:$A$100,0))),""))</f>
        <v/>
      </c>
      <c r="S43" s="48">
        <f>IF($A43="","",COUNTIFS(ISSUES!$P$5:$P$200,"*"&amp;$A43&amp;"*",ISSUES!$H$5:$H$200,"&lt;&gt;Closed",ISSUES!$H$5:$H$200,"&lt;&gt;Resolved",ISSUES!$H$5:$H$200,"&lt;&gt;Cancelled",ISSUES!$H$5:$H$200,"&lt;&gt;",ISSUES!$A$5:$A$200,"&lt;&gt;"))</f>
        <v/>
      </c>
      <c r="U43" s="48">
        <f>IF($A43="","",IFERROR(IF(INDEX('WORK PACKAGES'!$G$2:$G$100,MATCH($A43,'WORK PACKAGES'!$A$2:$A$100,0))="","",INDEX('WORK PACKAGES'!$G$2:$G$100,MATCH($A43,'WORK PACKAGES'!$A$2:$A$100,0))),""))</f>
        <v/>
      </c>
    </row>
    <row r="44" ht="23.25" customHeight="1" s="130">
      <c r="A44" s="49" t="n"/>
      <c r="B44" s="43">
        <f>IF($A44="","",IFERROR(IF(INDEX('WORK PACKAGES'!$B$2:$B$100,MATCH($A44,'WORK PACKAGES'!$A$2:$A$100,0))="","",INDEX('WORK PACKAGES'!$B$2:$B$100,MATCH($A44,'WORK PACKAGES'!$A$2:$A$100,0))),""))</f>
        <v/>
      </c>
      <c r="C44" s="44">
        <f>IF($A44="","",IFERROR(IF(INDEX('WORK PACKAGES'!$E$2:$E$100,MATCH($A44,'WORK PACKAGES'!$A$2:$A$100,0))="","",INDEX('WORK PACKAGES'!$E$2:$E$100,MATCH($A44,'WORK PACKAGES'!$A$2:$A$100,0))),""))</f>
        <v/>
      </c>
      <c r="D44" s="44" t="n"/>
      <c r="E44" s="45">
        <f>IF($A44="","",IFERROR(IF(INDEX('WP PROGRESS'!$F$2:$F$100,MATCH($A44,'WP PROGRESS'!$A$2:$A$100,0))="","",INDEX('WP PROGRESS'!$F$2:$F$100,MATCH($A44,'WP PROGRESS'!$A$2:$A$100,0))),""))</f>
        <v/>
      </c>
      <c r="F44" s="45">
        <f>IF($A44="","",IFERROR(IF(INDEX('WP PROGRESS'!$G$2:$G$100,MATCH($A44,'WP PROGRESS'!$A$2:$A$100,0))="","",INDEX('WP PROGRESS'!$G$2:$G$100,MATCH($A44,'WP PROGRESS'!$A$2:$A$100,0))),""))</f>
        <v/>
      </c>
      <c r="G44" s="46">
        <f>IF($A44="","",IFERROR(IF(INDEX('WP PROGRESS'!$H$2:$H$100,MATCH($A44,'WP PROGRESS'!$A$2:$A$100,0))="","",INDEX('WP PROGRESS'!$H$2:$H$100,MATCH($A44,'WP PROGRESS'!$A$2:$A$100,0))),""))</f>
        <v/>
      </c>
      <c r="H44" s="45">
        <f>IF($A44="","",IFERROR(IF(INDEX('WP PROGRESS'!$I$2:$I$100,MATCH($A44,'WP PROGRESS'!$A$2:$A$100,0))="","",INDEX('WP PROGRESS'!$I$2:$I$100,MATCH($A44,'WP PROGRESS'!$A$2:$A$100,0))),""))</f>
        <v/>
      </c>
      <c r="I44" s="45">
        <f>IF($A44="","",IFERROR(IF(INDEX('WP PROGRESS'!$K$2:$K$100,MATCH($A44,'WP PROGRESS'!$A$2:$A$100,0))="","",INDEX('WP PROGRESS'!$K$2:$K$100,MATCH($A44,'WP PROGRESS'!$A$2:$A$100,0))),""))</f>
        <v/>
      </c>
      <c r="J44" s="42" t="n"/>
      <c r="K44" s="42" t="n"/>
      <c r="L44" s="26" t="n"/>
      <c r="M44" s="42" t="n"/>
      <c r="N44" s="42" t="n"/>
      <c r="O44" s="42" t="n"/>
      <c r="P44" s="47">
        <f>IF($A44="","",IFERROR(IF(INDEX('WP PROGRESS'!$V$2:$V$100,MATCH($A44,'WP PROGRESS'!$A$2:$A$100,0))="","",INDEX('WP PROGRESS'!$V$2:$V$100,MATCH($A44,'WP PROGRESS'!$A$2:$A$100,0))),""))</f>
        <v/>
      </c>
      <c r="Q44" s="34">
        <f>IF($A44="","",IFERROR(IF(INDEX('WP PROGRESS'!$E$2:$E$100,MATCH($A44,'WP PROGRESS'!$A$2:$A$100,0))="","",INDEX('WP PROGRESS'!$E$2:$E$100,MATCH($A44,'WP PROGRESS'!$A$2:$A$100,0))),""))</f>
        <v/>
      </c>
      <c r="R44" s="48">
        <f>IF($A44="","",IFERROR(IF(INDEX('WP PROGRESS'!$Z$2:$Z$100,MATCH($A44,'WP PROGRESS'!$A$2:$A$100,0))="","",INDEX('WP PROGRESS'!$Z$2:$Z$100,MATCH($A44,'WP PROGRESS'!$A$2:$A$100,0))),""))</f>
        <v/>
      </c>
      <c r="S44" s="48">
        <f>IF($A44="","",COUNTIFS(ISSUES!$P$5:$P$200,"*"&amp;$A44&amp;"*",ISSUES!$H$5:$H$200,"&lt;&gt;Closed",ISSUES!$H$5:$H$200,"&lt;&gt;Resolved",ISSUES!$H$5:$H$200,"&lt;&gt;Cancelled",ISSUES!$H$5:$H$200,"&lt;&gt;",ISSUES!$A$5:$A$200,"&lt;&gt;"))</f>
        <v/>
      </c>
      <c r="U44" s="48">
        <f>IF($A44="","",IFERROR(IF(INDEX('WORK PACKAGES'!$G$2:$G$100,MATCH($A44,'WORK PACKAGES'!$A$2:$A$100,0))="","",INDEX('WORK PACKAGES'!$G$2:$G$100,MATCH($A44,'WORK PACKAGES'!$A$2:$A$100,0))),""))</f>
        <v/>
      </c>
    </row>
    <row r="45" ht="23.25" customHeight="1" s="130">
      <c r="A45" s="49" t="n"/>
      <c r="B45" s="43">
        <f>IF($A45="","",IFERROR(IF(INDEX('WORK PACKAGES'!$B$2:$B$100,MATCH($A45,'WORK PACKAGES'!$A$2:$A$100,0))="","",INDEX('WORK PACKAGES'!$B$2:$B$100,MATCH($A45,'WORK PACKAGES'!$A$2:$A$100,0))),""))</f>
        <v/>
      </c>
      <c r="C45" s="44">
        <f>IF($A45="","",IFERROR(IF(INDEX('WORK PACKAGES'!$E$2:$E$100,MATCH($A45,'WORK PACKAGES'!$A$2:$A$100,0))="","",INDEX('WORK PACKAGES'!$E$2:$E$100,MATCH($A45,'WORK PACKAGES'!$A$2:$A$100,0))),""))</f>
        <v/>
      </c>
      <c r="D45" s="44" t="n"/>
      <c r="E45" s="45">
        <f>IF($A45="","",IFERROR(IF(INDEX('WP PROGRESS'!$F$2:$F$100,MATCH($A45,'WP PROGRESS'!$A$2:$A$100,0))="","",INDEX('WP PROGRESS'!$F$2:$F$100,MATCH($A45,'WP PROGRESS'!$A$2:$A$100,0))),""))</f>
        <v/>
      </c>
      <c r="F45" s="45">
        <f>IF($A45="","",IFERROR(IF(INDEX('WP PROGRESS'!$G$2:$G$100,MATCH($A45,'WP PROGRESS'!$A$2:$A$100,0))="","",INDEX('WP PROGRESS'!$G$2:$G$100,MATCH($A45,'WP PROGRESS'!$A$2:$A$100,0))),""))</f>
        <v/>
      </c>
      <c r="G45" s="46">
        <f>IF($A45="","",IFERROR(IF(INDEX('WP PROGRESS'!$H$2:$H$100,MATCH($A45,'WP PROGRESS'!$A$2:$A$100,0))="","",INDEX('WP PROGRESS'!$H$2:$H$100,MATCH($A45,'WP PROGRESS'!$A$2:$A$100,0))),""))</f>
        <v/>
      </c>
      <c r="H45" s="45">
        <f>IF($A45="","",IFERROR(IF(INDEX('WP PROGRESS'!$I$2:$I$100,MATCH($A45,'WP PROGRESS'!$A$2:$A$100,0))="","",INDEX('WP PROGRESS'!$I$2:$I$100,MATCH($A45,'WP PROGRESS'!$A$2:$A$100,0))),""))</f>
        <v/>
      </c>
      <c r="I45" s="45">
        <f>IF($A45="","",IFERROR(IF(INDEX('WP PROGRESS'!$K$2:$K$100,MATCH($A45,'WP PROGRESS'!$A$2:$A$100,0))="","",INDEX('WP PROGRESS'!$K$2:$K$100,MATCH($A45,'WP PROGRESS'!$A$2:$A$100,0))),""))</f>
        <v/>
      </c>
      <c r="J45" s="42" t="n"/>
      <c r="K45" s="42" t="n"/>
      <c r="L45" s="26" t="n"/>
      <c r="M45" s="42" t="n"/>
      <c r="N45" s="42" t="n"/>
      <c r="O45" s="42" t="n"/>
      <c r="P45" s="47">
        <f>IF($A45="","",IFERROR(IF(INDEX('WP PROGRESS'!$V$2:$V$100,MATCH($A45,'WP PROGRESS'!$A$2:$A$100,0))="","",INDEX('WP PROGRESS'!$V$2:$V$100,MATCH($A45,'WP PROGRESS'!$A$2:$A$100,0))),""))</f>
        <v/>
      </c>
      <c r="Q45" s="34">
        <f>IF($A45="","",IFERROR(IF(INDEX('WP PROGRESS'!$E$2:$E$100,MATCH($A45,'WP PROGRESS'!$A$2:$A$100,0))="","",INDEX('WP PROGRESS'!$E$2:$E$100,MATCH($A45,'WP PROGRESS'!$A$2:$A$100,0))),""))</f>
        <v/>
      </c>
      <c r="R45" s="48">
        <f>IF($A45="","",IFERROR(IF(INDEX('WP PROGRESS'!$Z$2:$Z$100,MATCH($A45,'WP PROGRESS'!$A$2:$A$100,0))="","",INDEX('WP PROGRESS'!$Z$2:$Z$100,MATCH($A45,'WP PROGRESS'!$A$2:$A$100,0))),""))</f>
        <v/>
      </c>
      <c r="S45" s="48">
        <f>IF($A45="","",COUNTIFS(ISSUES!$P$5:$P$200,"*"&amp;$A45&amp;"*",ISSUES!$H$5:$H$200,"&lt;&gt;Closed",ISSUES!$H$5:$H$200,"&lt;&gt;Resolved",ISSUES!$H$5:$H$200,"&lt;&gt;Cancelled",ISSUES!$H$5:$H$200,"&lt;&gt;",ISSUES!$A$5:$A$200,"&lt;&gt;"))</f>
        <v/>
      </c>
      <c r="U45" s="48">
        <f>IF($A45="","",IFERROR(IF(INDEX('WORK PACKAGES'!$G$2:$G$100,MATCH($A45,'WORK PACKAGES'!$A$2:$A$100,0))="","",INDEX('WORK PACKAGES'!$G$2:$G$100,MATCH($A45,'WORK PACKAGES'!$A$2:$A$100,0))),""))</f>
        <v/>
      </c>
    </row>
    <row r="46" ht="23.25" customHeight="1" s="130">
      <c r="A46" s="49" t="n"/>
      <c r="B46" s="43">
        <f>IF($A46="","",IFERROR(IF(INDEX('WORK PACKAGES'!$B$2:$B$100,MATCH($A46,'WORK PACKAGES'!$A$2:$A$100,0))="","",INDEX('WORK PACKAGES'!$B$2:$B$100,MATCH($A46,'WORK PACKAGES'!$A$2:$A$100,0))),""))</f>
        <v/>
      </c>
      <c r="C46" s="44">
        <f>IF($A46="","",IFERROR(IF(INDEX('WORK PACKAGES'!$E$2:$E$100,MATCH($A46,'WORK PACKAGES'!$A$2:$A$100,0))="","",INDEX('WORK PACKAGES'!$E$2:$E$100,MATCH($A46,'WORK PACKAGES'!$A$2:$A$100,0))),""))</f>
        <v/>
      </c>
      <c r="D46" s="44" t="n"/>
      <c r="E46" s="45">
        <f>IF($A46="","",IFERROR(IF(INDEX('WP PROGRESS'!$F$2:$F$100,MATCH($A46,'WP PROGRESS'!$A$2:$A$100,0))="","",INDEX('WP PROGRESS'!$F$2:$F$100,MATCH($A46,'WP PROGRESS'!$A$2:$A$100,0))),""))</f>
        <v/>
      </c>
      <c r="F46" s="45">
        <f>IF($A46="","",IFERROR(IF(INDEX('WP PROGRESS'!$G$2:$G$100,MATCH($A46,'WP PROGRESS'!$A$2:$A$100,0))="","",INDEX('WP PROGRESS'!$G$2:$G$100,MATCH($A46,'WP PROGRESS'!$A$2:$A$100,0))),""))</f>
        <v/>
      </c>
      <c r="G46" s="46">
        <f>IF($A46="","",IFERROR(IF(INDEX('WP PROGRESS'!$H$2:$H$100,MATCH($A46,'WP PROGRESS'!$A$2:$A$100,0))="","",INDEX('WP PROGRESS'!$H$2:$H$100,MATCH($A46,'WP PROGRESS'!$A$2:$A$100,0))),""))</f>
        <v/>
      </c>
      <c r="H46" s="45">
        <f>IF($A46="","",IFERROR(IF(INDEX('WP PROGRESS'!$I$2:$I$100,MATCH($A46,'WP PROGRESS'!$A$2:$A$100,0))="","",INDEX('WP PROGRESS'!$I$2:$I$100,MATCH($A46,'WP PROGRESS'!$A$2:$A$100,0))),""))</f>
        <v/>
      </c>
      <c r="I46" s="45">
        <f>IF($A46="","",IFERROR(IF(INDEX('WP PROGRESS'!$K$2:$K$100,MATCH($A46,'WP PROGRESS'!$A$2:$A$100,0))="","",INDEX('WP PROGRESS'!$K$2:$K$100,MATCH($A46,'WP PROGRESS'!$A$2:$A$100,0))),""))</f>
        <v/>
      </c>
      <c r="J46" s="42" t="n"/>
      <c r="K46" s="42" t="n"/>
      <c r="L46" s="26" t="n"/>
      <c r="M46" s="42" t="n"/>
      <c r="N46" s="42" t="n"/>
      <c r="O46" s="42" t="n"/>
      <c r="P46" s="47">
        <f>IF($A46="","",IFERROR(IF(INDEX('WP PROGRESS'!$V$2:$V$100,MATCH($A46,'WP PROGRESS'!$A$2:$A$100,0))="","",INDEX('WP PROGRESS'!$V$2:$V$100,MATCH($A46,'WP PROGRESS'!$A$2:$A$100,0))),""))</f>
        <v/>
      </c>
      <c r="Q46" s="34">
        <f>IF($A46="","",IFERROR(IF(INDEX('WP PROGRESS'!$E$2:$E$100,MATCH($A46,'WP PROGRESS'!$A$2:$A$100,0))="","",INDEX('WP PROGRESS'!$E$2:$E$100,MATCH($A46,'WP PROGRESS'!$A$2:$A$100,0))),""))</f>
        <v/>
      </c>
      <c r="R46" s="48">
        <f>IF($A46="","",IFERROR(IF(INDEX('WP PROGRESS'!$Z$2:$Z$100,MATCH($A46,'WP PROGRESS'!$A$2:$A$100,0))="","",INDEX('WP PROGRESS'!$Z$2:$Z$100,MATCH($A46,'WP PROGRESS'!$A$2:$A$100,0))),""))</f>
        <v/>
      </c>
      <c r="S46" s="48">
        <f>IF($A46="","",COUNTIFS(ISSUES!$P$5:$P$200,"*"&amp;$A46&amp;"*",ISSUES!$H$5:$H$200,"&lt;&gt;Closed",ISSUES!$H$5:$H$200,"&lt;&gt;Resolved",ISSUES!$H$5:$H$200,"&lt;&gt;Cancelled",ISSUES!$H$5:$H$200,"&lt;&gt;",ISSUES!$A$5:$A$200,"&lt;&gt;"))</f>
        <v/>
      </c>
      <c r="U46" s="48">
        <f>IF($A46="","",IFERROR(IF(INDEX('WORK PACKAGES'!$G$2:$G$100,MATCH($A46,'WORK PACKAGES'!$A$2:$A$100,0))="","",INDEX('WORK PACKAGES'!$G$2:$G$100,MATCH($A46,'WORK PACKAGES'!$A$2:$A$100,0))),""))</f>
        <v/>
      </c>
    </row>
    <row r="47" ht="23.25" customHeight="1" s="130">
      <c r="A47" s="49" t="n"/>
      <c r="B47" s="43">
        <f>IF($A47="","",IFERROR(IF(INDEX('WORK PACKAGES'!$B$2:$B$100,MATCH($A47,'WORK PACKAGES'!$A$2:$A$100,0))="","",INDEX('WORK PACKAGES'!$B$2:$B$100,MATCH($A47,'WORK PACKAGES'!$A$2:$A$100,0))),""))</f>
        <v/>
      </c>
      <c r="C47" s="44">
        <f>IF($A47="","",IFERROR(IF(INDEX('WORK PACKAGES'!$E$2:$E$100,MATCH($A47,'WORK PACKAGES'!$A$2:$A$100,0))="","",INDEX('WORK PACKAGES'!$E$2:$E$100,MATCH($A47,'WORK PACKAGES'!$A$2:$A$100,0))),""))</f>
        <v/>
      </c>
      <c r="D47" s="44" t="n"/>
      <c r="E47" s="45">
        <f>IF($A47="","",IFERROR(IF(INDEX('WP PROGRESS'!$F$2:$F$100,MATCH($A47,'WP PROGRESS'!$A$2:$A$100,0))="","",INDEX('WP PROGRESS'!$F$2:$F$100,MATCH($A47,'WP PROGRESS'!$A$2:$A$100,0))),""))</f>
        <v/>
      </c>
      <c r="F47" s="45">
        <f>IF($A47="","",IFERROR(IF(INDEX('WP PROGRESS'!$G$2:$G$100,MATCH($A47,'WP PROGRESS'!$A$2:$A$100,0))="","",INDEX('WP PROGRESS'!$G$2:$G$100,MATCH($A47,'WP PROGRESS'!$A$2:$A$100,0))),""))</f>
        <v/>
      </c>
      <c r="G47" s="46">
        <f>IF($A47="","",IFERROR(IF(INDEX('WP PROGRESS'!$H$2:$H$100,MATCH($A47,'WP PROGRESS'!$A$2:$A$100,0))="","",INDEX('WP PROGRESS'!$H$2:$H$100,MATCH($A47,'WP PROGRESS'!$A$2:$A$100,0))),""))</f>
        <v/>
      </c>
      <c r="H47" s="45">
        <f>IF($A47="","",IFERROR(IF(INDEX('WP PROGRESS'!$I$2:$I$100,MATCH($A47,'WP PROGRESS'!$A$2:$A$100,0))="","",INDEX('WP PROGRESS'!$I$2:$I$100,MATCH($A47,'WP PROGRESS'!$A$2:$A$100,0))),""))</f>
        <v/>
      </c>
      <c r="I47" s="45">
        <f>IF($A47="","",IFERROR(IF(INDEX('WP PROGRESS'!$K$2:$K$100,MATCH($A47,'WP PROGRESS'!$A$2:$A$100,0))="","",INDEX('WP PROGRESS'!$K$2:$K$100,MATCH($A47,'WP PROGRESS'!$A$2:$A$100,0))),""))</f>
        <v/>
      </c>
      <c r="J47" s="42" t="n"/>
      <c r="K47" s="42" t="n"/>
      <c r="L47" s="26" t="n"/>
      <c r="M47" s="42" t="n"/>
      <c r="N47" s="42" t="n"/>
      <c r="O47" s="42" t="n"/>
      <c r="P47" s="47">
        <f>IF($A47="","",IFERROR(IF(INDEX('WP PROGRESS'!$V$2:$V$100,MATCH($A47,'WP PROGRESS'!$A$2:$A$100,0))="","",INDEX('WP PROGRESS'!$V$2:$V$100,MATCH($A47,'WP PROGRESS'!$A$2:$A$100,0))),""))</f>
        <v/>
      </c>
      <c r="Q47" s="34">
        <f>IF($A47="","",IFERROR(IF(INDEX('WP PROGRESS'!$E$2:$E$100,MATCH($A47,'WP PROGRESS'!$A$2:$A$100,0))="","",INDEX('WP PROGRESS'!$E$2:$E$100,MATCH($A47,'WP PROGRESS'!$A$2:$A$100,0))),""))</f>
        <v/>
      </c>
      <c r="R47" s="48">
        <f>IF($A47="","",IFERROR(IF(INDEX('WP PROGRESS'!$Z$2:$Z$100,MATCH($A47,'WP PROGRESS'!$A$2:$A$100,0))="","",INDEX('WP PROGRESS'!$Z$2:$Z$100,MATCH($A47,'WP PROGRESS'!$A$2:$A$100,0))),""))</f>
        <v/>
      </c>
      <c r="S47" s="48">
        <f>IF($A47="","",COUNTIFS(ISSUES!$P$5:$P$200,"*"&amp;$A47&amp;"*",ISSUES!$H$5:$H$200,"&lt;&gt;Closed",ISSUES!$H$5:$H$200,"&lt;&gt;Resolved",ISSUES!$H$5:$H$200,"&lt;&gt;Cancelled",ISSUES!$H$5:$H$200,"&lt;&gt;",ISSUES!$A$5:$A$200,"&lt;&gt;"))</f>
        <v/>
      </c>
      <c r="U47" s="48">
        <f>IF($A47="","",IFERROR(IF(INDEX('WORK PACKAGES'!$G$2:$G$100,MATCH($A47,'WORK PACKAGES'!$A$2:$A$100,0))="","",INDEX('WORK PACKAGES'!$G$2:$G$100,MATCH($A47,'WORK PACKAGES'!$A$2:$A$100,0))),""))</f>
        <v/>
      </c>
    </row>
    <row r="48" ht="23.25" customHeight="1" s="130">
      <c r="A48" s="49" t="n"/>
      <c r="B48" s="43">
        <f>IF($A48="","",IFERROR(IF(INDEX('WORK PACKAGES'!$B$2:$B$100,MATCH($A48,'WORK PACKAGES'!$A$2:$A$100,0))="","",INDEX('WORK PACKAGES'!$B$2:$B$100,MATCH($A48,'WORK PACKAGES'!$A$2:$A$100,0))),""))</f>
        <v/>
      </c>
      <c r="C48" s="44">
        <f>IF($A48="","",IFERROR(IF(INDEX('WORK PACKAGES'!$E$2:$E$100,MATCH($A48,'WORK PACKAGES'!$A$2:$A$100,0))="","",INDEX('WORK PACKAGES'!$E$2:$E$100,MATCH($A48,'WORK PACKAGES'!$A$2:$A$100,0))),""))</f>
        <v/>
      </c>
      <c r="D48" s="44" t="n"/>
      <c r="E48" s="45">
        <f>IF($A48="","",IFERROR(IF(INDEX('WP PROGRESS'!$F$2:$F$100,MATCH($A48,'WP PROGRESS'!$A$2:$A$100,0))="","",INDEX('WP PROGRESS'!$F$2:$F$100,MATCH($A48,'WP PROGRESS'!$A$2:$A$100,0))),""))</f>
        <v/>
      </c>
      <c r="F48" s="45">
        <f>IF($A48="","",IFERROR(IF(INDEX('WP PROGRESS'!$G$2:$G$100,MATCH($A48,'WP PROGRESS'!$A$2:$A$100,0))="","",INDEX('WP PROGRESS'!$G$2:$G$100,MATCH($A48,'WP PROGRESS'!$A$2:$A$100,0))),""))</f>
        <v/>
      </c>
      <c r="G48" s="46">
        <f>IF($A48="","",IFERROR(IF(INDEX('WP PROGRESS'!$H$2:$H$100,MATCH($A48,'WP PROGRESS'!$A$2:$A$100,0))="","",INDEX('WP PROGRESS'!$H$2:$H$100,MATCH($A48,'WP PROGRESS'!$A$2:$A$100,0))),""))</f>
        <v/>
      </c>
      <c r="H48" s="45">
        <f>IF($A48="","",IFERROR(IF(INDEX('WP PROGRESS'!$I$2:$I$100,MATCH($A48,'WP PROGRESS'!$A$2:$A$100,0))="","",INDEX('WP PROGRESS'!$I$2:$I$100,MATCH($A48,'WP PROGRESS'!$A$2:$A$100,0))),""))</f>
        <v/>
      </c>
      <c r="I48" s="45">
        <f>IF($A48="","",IFERROR(IF(INDEX('WP PROGRESS'!$K$2:$K$100,MATCH($A48,'WP PROGRESS'!$A$2:$A$100,0))="","",INDEX('WP PROGRESS'!$K$2:$K$100,MATCH($A48,'WP PROGRESS'!$A$2:$A$100,0))),""))</f>
        <v/>
      </c>
      <c r="J48" s="42" t="n"/>
      <c r="K48" s="42" t="n"/>
      <c r="L48" s="26" t="n"/>
      <c r="M48" s="42" t="n"/>
      <c r="N48" s="42" t="n"/>
      <c r="O48" s="42" t="n"/>
      <c r="P48" s="47">
        <f>IF($A48="","",IFERROR(IF(INDEX('WP PROGRESS'!$V$2:$V$100,MATCH($A48,'WP PROGRESS'!$A$2:$A$100,0))="","",INDEX('WP PROGRESS'!$V$2:$V$100,MATCH($A48,'WP PROGRESS'!$A$2:$A$100,0))),""))</f>
        <v/>
      </c>
      <c r="Q48" s="34">
        <f>IF($A48="","",IFERROR(IF(INDEX('WP PROGRESS'!$E$2:$E$100,MATCH($A48,'WP PROGRESS'!$A$2:$A$100,0))="","",INDEX('WP PROGRESS'!$E$2:$E$100,MATCH($A48,'WP PROGRESS'!$A$2:$A$100,0))),""))</f>
        <v/>
      </c>
      <c r="R48" s="48">
        <f>IF($A48="","",IFERROR(IF(INDEX('WP PROGRESS'!$Z$2:$Z$100,MATCH($A48,'WP PROGRESS'!$A$2:$A$100,0))="","",INDEX('WP PROGRESS'!$Z$2:$Z$100,MATCH($A48,'WP PROGRESS'!$A$2:$A$100,0))),""))</f>
        <v/>
      </c>
      <c r="S48" s="48">
        <f>IF($A48="","",COUNTIFS(ISSUES!$P$5:$P$200,"*"&amp;$A48&amp;"*",ISSUES!$H$5:$H$200,"&lt;&gt;Closed",ISSUES!$H$5:$H$200,"&lt;&gt;Resolved",ISSUES!$H$5:$H$200,"&lt;&gt;Cancelled",ISSUES!$H$5:$H$200,"&lt;&gt;",ISSUES!$A$5:$A$200,"&lt;&gt;"))</f>
        <v/>
      </c>
      <c r="U48" s="48">
        <f>IF($A48="","",IFERROR(IF(INDEX('WORK PACKAGES'!$G$2:$G$100,MATCH($A48,'WORK PACKAGES'!$A$2:$A$100,0))="","",INDEX('WORK PACKAGES'!$G$2:$G$100,MATCH($A48,'WORK PACKAGES'!$A$2:$A$100,0))),""))</f>
        <v/>
      </c>
    </row>
    <row r="49" ht="23.25" customHeight="1" s="130">
      <c r="A49" s="49" t="n"/>
      <c r="B49" s="43">
        <f>IF($A49="","",IFERROR(IF(INDEX('WORK PACKAGES'!$B$2:$B$100,MATCH($A49,'WORK PACKAGES'!$A$2:$A$100,0))="","",INDEX('WORK PACKAGES'!$B$2:$B$100,MATCH($A49,'WORK PACKAGES'!$A$2:$A$100,0))),""))</f>
        <v/>
      </c>
      <c r="C49" s="44">
        <f>IF($A49="","",IFERROR(IF(INDEX('WORK PACKAGES'!$E$2:$E$100,MATCH($A49,'WORK PACKAGES'!$A$2:$A$100,0))="","",INDEX('WORK PACKAGES'!$E$2:$E$100,MATCH($A49,'WORK PACKAGES'!$A$2:$A$100,0))),""))</f>
        <v/>
      </c>
      <c r="D49" s="44" t="n"/>
      <c r="E49" s="45">
        <f>IF($A49="","",IFERROR(IF(INDEX('WP PROGRESS'!$F$2:$F$100,MATCH($A49,'WP PROGRESS'!$A$2:$A$100,0))="","",INDEX('WP PROGRESS'!$F$2:$F$100,MATCH($A49,'WP PROGRESS'!$A$2:$A$100,0))),""))</f>
        <v/>
      </c>
      <c r="F49" s="45">
        <f>IF($A49="","",IFERROR(IF(INDEX('WP PROGRESS'!$G$2:$G$100,MATCH($A49,'WP PROGRESS'!$A$2:$A$100,0))="","",INDEX('WP PROGRESS'!$G$2:$G$100,MATCH($A49,'WP PROGRESS'!$A$2:$A$100,0))),""))</f>
        <v/>
      </c>
      <c r="G49" s="46">
        <f>IF($A49="","",IFERROR(IF(INDEX('WP PROGRESS'!$H$2:$H$100,MATCH($A49,'WP PROGRESS'!$A$2:$A$100,0))="","",INDEX('WP PROGRESS'!$H$2:$H$100,MATCH($A49,'WP PROGRESS'!$A$2:$A$100,0))),""))</f>
        <v/>
      </c>
      <c r="H49" s="45">
        <f>IF($A49="","",IFERROR(IF(INDEX('WP PROGRESS'!$I$2:$I$100,MATCH($A49,'WP PROGRESS'!$A$2:$A$100,0))="","",INDEX('WP PROGRESS'!$I$2:$I$100,MATCH($A49,'WP PROGRESS'!$A$2:$A$100,0))),""))</f>
        <v/>
      </c>
      <c r="I49" s="45">
        <f>IF($A49="","",IFERROR(IF(INDEX('WP PROGRESS'!$K$2:$K$100,MATCH($A49,'WP PROGRESS'!$A$2:$A$100,0))="","",INDEX('WP PROGRESS'!$K$2:$K$100,MATCH($A49,'WP PROGRESS'!$A$2:$A$100,0))),""))</f>
        <v/>
      </c>
      <c r="J49" s="42" t="n"/>
      <c r="K49" s="42" t="n"/>
      <c r="L49" s="26" t="n"/>
      <c r="M49" s="42" t="n"/>
      <c r="N49" s="42" t="n"/>
      <c r="O49" s="42" t="n"/>
      <c r="P49" s="47">
        <f>IF($A49="","",IFERROR(IF(INDEX('WP PROGRESS'!$V$2:$V$100,MATCH($A49,'WP PROGRESS'!$A$2:$A$100,0))="","",INDEX('WP PROGRESS'!$V$2:$V$100,MATCH($A49,'WP PROGRESS'!$A$2:$A$100,0))),""))</f>
        <v/>
      </c>
      <c r="Q49" s="8">
        <f>IF($A49="","",IFERROR(IF(INDEX('WP PROGRESS'!$E$2:$E$100,MATCH($A49,'WP PROGRESS'!$A$2:$A$100,0))="","",INDEX('WP PROGRESS'!$E$2:$E$100,MATCH($A49,'WP PROGRESS'!$A$2:$A$100,0))),""))</f>
        <v/>
      </c>
      <c r="R49" s="9">
        <f>IF($A49="","",IFERROR(IF(INDEX('WP PROGRESS'!$Z$2:$Z$100,MATCH($A49,'WP PROGRESS'!$A$2:$A$100,0))="","",INDEX('WP PROGRESS'!$Z$2:$Z$100,MATCH($A49,'WP PROGRESS'!$A$2:$A$100,0))),""))</f>
        <v/>
      </c>
      <c r="S49" s="9">
        <f>IF($A49="","",COUNTIFS(ISSUES!$P$5:$P$200,"*"&amp;$A49&amp;"*",ISSUES!$H$5:$H$200,"&lt;&gt;Closed",ISSUES!$H$5:$H$200,"&lt;&gt;Resolved",ISSUES!$H$5:$H$200,"&lt;&gt;Cancelled",ISSUES!$H$5:$H$200,"&lt;&gt;",ISSUES!$A$5:$A$200,"&lt;&gt;"))</f>
        <v/>
      </c>
      <c r="U49" s="9">
        <f>IF($A49="","",IFERROR(IF(INDEX('WORK PACKAGES'!$G$2:$G$100,MATCH($A49,'WORK PACKAGES'!$A$2:$A$100,0))="","",INDEX('WORK PACKAGES'!$G$2:$G$100,MATCH($A49,'WORK PACKAGES'!$A$2:$A$100,0))),""))</f>
        <v/>
      </c>
    </row>
    <row r="50" ht="23.25" customHeight="1" s="130">
      <c r="A50" s="49" t="n"/>
      <c r="B50" s="43">
        <f>IF($A50="","",IFERROR(IF(INDEX('WORK PACKAGES'!$B$2:$B$100,MATCH($A50,'WORK PACKAGES'!$A$2:$A$100,0))="","",INDEX('WORK PACKAGES'!$B$2:$B$100,MATCH($A50,'WORK PACKAGES'!$A$2:$A$100,0))),""))</f>
        <v/>
      </c>
      <c r="C50" s="44">
        <f>IF($A50="","",IFERROR(IF(INDEX('WORK PACKAGES'!$E$2:$E$100,MATCH($A50,'WORK PACKAGES'!$A$2:$A$100,0))="","",INDEX('WORK PACKAGES'!$E$2:$E$100,MATCH($A50,'WORK PACKAGES'!$A$2:$A$100,0))),""))</f>
        <v/>
      </c>
      <c r="D50" s="44" t="n"/>
      <c r="E50" s="45">
        <f>IF($A50="","",IFERROR(IF(INDEX('WP PROGRESS'!$F$2:$F$100,MATCH($A50,'WP PROGRESS'!$A$2:$A$100,0))="","",INDEX('WP PROGRESS'!$F$2:$F$100,MATCH($A50,'WP PROGRESS'!$A$2:$A$100,0))),""))</f>
        <v/>
      </c>
      <c r="F50" s="45">
        <f>IF($A50="","",IFERROR(IF(INDEX('WP PROGRESS'!$G$2:$G$100,MATCH($A50,'WP PROGRESS'!$A$2:$A$100,0))="","",INDEX('WP PROGRESS'!$G$2:$G$100,MATCH($A50,'WP PROGRESS'!$A$2:$A$100,0))),""))</f>
        <v/>
      </c>
      <c r="G50" s="46">
        <f>IF($A50="","",IFERROR(IF(INDEX('WP PROGRESS'!$H$2:$H$100,MATCH($A50,'WP PROGRESS'!$A$2:$A$100,0))="","",INDEX('WP PROGRESS'!$H$2:$H$100,MATCH($A50,'WP PROGRESS'!$A$2:$A$100,0))),""))</f>
        <v/>
      </c>
      <c r="H50" s="45">
        <f>IF($A50="","",IFERROR(IF(INDEX('WP PROGRESS'!$I$2:$I$100,MATCH($A50,'WP PROGRESS'!$A$2:$A$100,0))="","",INDEX('WP PROGRESS'!$I$2:$I$100,MATCH($A50,'WP PROGRESS'!$A$2:$A$100,0))),""))</f>
        <v/>
      </c>
      <c r="I50" s="45">
        <f>IF($A50="","",IFERROR(IF(INDEX('WP PROGRESS'!$K$2:$K$100,MATCH($A50,'WP PROGRESS'!$A$2:$A$100,0))="","",INDEX('WP PROGRESS'!$K$2:$K$100,MATCH($A50,'WP PROGRESS'!$A$2:$A$100,0))),""))</f>
        <v/>
      </c>
      <c r="J50" s="42" t="n"/>
      <c r="K50" s="42" t="n"/>
      <c r="L50" s="26" t="n"/>
      <c r="M50" s="42" t="n"/>
      <c r="N50" s="42" t="n"/>
      <c r="O50" s="42" t="n"/>
      <c r="P50" s="47">
        <f>IF($A50="","",IFERROR(IF(INDEX('WP PROGRESS'!$V$2:$V$100,MATCH($A50,'WP PROGRESS'!$A$2:$A$100,0))="","",INDEX('WP PROGRESS'!$V$2:$V$100,MATCH($A50,'WP PROGRESS'!$A$2:$A$100,0))),""))</f>
        <v/>
      </c>
      <c r="Q50" s="8">
        <f>IF($A50="","",IFERROR(IF(INDEX('WP PROGRESS'!$E$2:$E$100,MATCH($A50,'WP PROGRESS'!$A$2:$A$100,0))="","",INDEX('WP PROGRESS'!$E$2:$E$100,MATCH($A50,'WP PROGRESS'!$A$2:$A$100,0))),""))</f>
        <v/>
      </c>
      <c r="R50" s="9">
        <f>IF($A50="","",IFERROR(IF(INDEX('WP PROGRESS'!$Z$2:$Z$100,MATCH($A50,'WP PROGRESS'!$A$2:$A$100,0))="","",INDEX('WP PROGRESS'!$Z$2:$Z$100,MATCH($A50,'WP PROGRESS'!$A$2:$A$100,0))),""))</f>
        <v/>
      </c>
      <c r="S50" s="9">
        <f>IF($A50="","",COUNTIFS(ISSUES!$P$5:$P$200,"*"&amp;$A50&amp;"*",ISSUES!$H$5:$H$200,"&lt;&gt;Closed",ISSUES!$H$5:$H$200,"&lt;&gt;Resolved",ISSUES!$H$5:$H$200,"&lt;&gt;Cancelled",ISSUES!$H$5:$H$200,"&lt;&gt;",ISSUES!$A$5:$A$200,"&lt;&gt;"))</f>
        <v/>
      </c>
      <c r="U50" s="9">
        <f>IF($A50="","",IFERROR(IF(INDEX('WORK PACKAGES'!$G$2:$G$100,MATCH($A50,'WORK PACKAGES'!$A$2:$A$100,0))="","",INDEX('WORK PACKAGES'!$G$2:$G$100,MATCH($A50,'WORK PACKAGES'!$A$2:$A$100,0))),""))</f>
        <v/>
      </c>
    </row>
    <row r="51" ht="23.25" customHeight="1" s="130">
      <c r="A51" s="49" t="n"/>
      <c r="B51" s="43">
        <f>IF($A51="","",IFERROR(IF(INDEX('WORK PACKAGES'!$B$2:$B$100,MATCH($A51,'WORK PACKAGES'!$A$2:$A$100,0))="","",INDEX('WORK PACKAGES'!$B$2:$B$100,MATCH($A51,'WORK PACKAGES'!$A$2:$A$100,0))),""))</f>
        <v/>
      </c>
      <c r="C51" s="44">
        <f>IF($A51="","",IFERROR(IF(INDEX('WORK PACKAGES'!$E$2:$E$100,MATCH($A51,'WORK PACKAGES'!$A$2:$A$100,0))="","",INDEX('WORK PACKAGES'!$E$2:$E$100,MATCH($A51,'WORK PACKAGES'!$A$2:$A$100,0))),""))</f>
        <v/>
      </c>
      <c r="D51" s="44" t="n"/>
      <c r="E51" s="45">
        <f>IF($A51="","",IFERROR(IF(INDEX('WP PROGRESS'!$F$2:$F$100,MATCH($A51,'WP PROGRESS'!$A$2:$A$100,0))="","",INDEX('WP PROGRESS'!$F$2:$F$100,MATCH($A51,'WP PROGRESS'!$A$2:$A$100,0))),""))</f>
        <v/>
      </c>
      <c r="F51" s="45">
        <f>IF($A51="","",IFERROR(IF(INDEX('WP PROGRESS'!$G$2:$G$100,MATCH($A51,'WP PROGRESS'!$A$2:$A$100,0))="","",INDEX('WP PROGRESS'!$G$2:$G$100,MATCH($A51,'WP PROGRESS'!$A$2:$A$100,0))),""))</f>
        <v/>
      </c>
      <c r="G51" s="46">
        <f>IF($A51="","",IFERROR(IF(INDEX('WP PROGRESS'!$H$2:$H$100,MATCH($A51,'WP PROGRESS'!$A$2:$A$100,0))="","",INDEX('WP PROGRESS'!$H$2:$H$100,MATCH($A51,'WP PROGRESS'!$A$2:$A$100,0))),""))</f>
        <v/>
      </c>
      <c r="H51" s="45">
        <f>IF($A51="","",IFERROR(IF(INDEX('WP PROGRESS'!$I$2:$I$100,MATCH($A51,'WP PROGRESS'!$A$2:$A$100,0))="","",INDEX('WP PROGRESS'!$I$2:$I$100,MATCH($A51,'WP PROGRESS'!$A$2:$A$100,0))),""))</f>
        <v/>
      </c>
      <c r="I51" s="45">
        <f>IF($A51="","",IFERROR(IF(INDEX('WP PROGRESS'!$K$2:$K$100,MATCH($A51,'WP PROGRESS'!$A$2:$A$100,0))="","",INDEX('WP PROGRESS'!$K$2:$K$100,MATCH($A51,'WP PROGRESS'!$A$2:$A$100,0))),""))</f>
        <v/>
      </c>
      <c r="J51" s="42" t="n"/>
      <c r="K51" s="42" t="n"/>
      <c r="L51" s="26" t="n"/>
      <c r="M51" s="42" t="n"/>
      <c r="N51" s="42" t="n"/>
      <c r="O51" s="42" t="n"/>
      <c r="P51" s="47">
        <f>IF($A51="","",IFERROR(IF(INDEX('WP PROGRESS'!$V$2:$V$100,MATCH($A51,'WP PROGRESS'!$A$2:$A$100,0))="","",INDEX('WP PROGRESS'!$V$2:$V$100,MATCH($A51,'WP PROGRESS'!$A$2:$A$100,0))),""))</f>
        <v/>
      </c>
      <c r="Q51" s="8">
        <f>IF($A51="","",IFERROR(IF(INDEX('WP PROGRESS'!$E$2:$E$100,MATCH($A51,'WP PROGRESS'!$A$2:$A$100,0))="","",INDEX('WP PROGRESS'!$E$2:$E$100,MATCH($A51,'WP PROGRESS'!$A$2:$A$100,0))),""))</f>
        <v/>
      </c>
      <c r="R51" s="9">
        <f>IF($A51="","",IFERROR(IF(INDEX('WP PROGRESS'!$Z$2:$Z$100,MATCH($A51,'WP PROGRESS'!$A$2:$A$100,0))="","",INDEX('WP PROGRESS'!$Z$2:$Z$100,MATCH($A51,'WP PROGRESS'!$A$2:$A$100,0))),""))</f>
        <v/>
      </c>
      <c r="S51" s="9">
        <f>IF($A51="","",COUNTIFS(ISSUES!$P$5:$P$200,"*"&amp;$A51&amp;"*",ISSUES!$H$5:$H$200,"&lt;&gt;Closed",ISSUES!$H$5:$H$200,"&lt;&gt;Resolved",ISSUES!$H$5:$H$200,"&lt;&gt;Cancelled",ISSUES!$H$5:$H$200,"&lt;&gt;",ISSUES!$A$5:$A$200,"&lt;&gt;"))</f>
        <v/>
      </c>
      <c r="U51" s="9">
        <f>IF($A51="","",IFERROR(IF(INDEX('WORK PACKAGES'!$G$2:$G$100,MATCH($A51,'WORK PACKAGES'!$A$2:$A$100,0))="","",INDEX('WORK PACKAGES'!$G$2:$G$100,MATCH($A51,'WORK PACKAGES'!$A$2:$A$100,0))),""))</f>
        <v/>
      </c>
    </row>
  </sheetData>
  <autoFilter ref="A2:U51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9" sqref="C9"/>
    </sheetView>
  </sheetViews>
  <sheetFormatPr baseColWidth="8" defaultColWidth="8.7109375" defaultRowHeight="15"/>
  <cols>
    <col width="17" customWidth="1" style="130" min="1" max="1"/>
    <col width="51" customWidth="1" style="130" min="2" max="2"/>
    <col width="15" customWidth="1" style="130" min="3" max="3"/>
    <col width="18" customWidth="1" style="130" min="4" max="4"/>
    <col width="17" customWidth="1" style="130" min="5" max="6"/>
    <col width="28" customWidth="1" style="130" min="7" max="7"/>
    <col width="12" customWidth="1" style="130" min="8" max="15"/>
  </cols>
  <sheetData>
    <row r="1" ht="15" customHeight="1" s="130">
      <c r="A1" t="inlineStr">
        <is>
          <t>SCOPE DASHBOARD | ENGINEERING REVIEW</t>
        </is>
      </c>
    </row>
    <row r="2" ht="15" customHeight="1" s="130">
      <c r="A2" t="inlineStr">
        <is>
          <t>Scope rows are manually identified by Scope ID. Values below are calculated; blocking X is human-managed. No automatic flag propagation.</t>
        </is>
      </c>
    </row>
    <row r="3">
      <c r="A3" t="inlineStr">
        <is>
          <t>Scope progress (H:M) is derived from WP PROGRESS: average of each column over work packages whose Primary Scope is this scope, each WP weighted equally. Blank and '--' are left out; enter 0 for 'in use, not started'. Blocked? (X) stays human-managed; 'Blocked WPs' is information only.</t>
        </is>
      </c>
    </row>
    <row r="4" ht="15" customHeight="1" s="130">
      <c r="A4" s="19" t="inlineStr">
        <is>
          <t>Scope ID</t>
        </is>
      </c>
      <c r="B4" s="19" t="inlineStr">
        <is>
          <t>Engineering Scope</t>
        </is>
      </c>
      <c r="C4" s="19" t="inlineStr">
        <is>
          <t>WP Count</t>
        </is>
      </c>
      <c r="D4" s="19" t="inlineStr">
        <is>
          <t>Open Issues</t>
        </is>
      </c>
      <c r="E4" s="19" t="inlineStr">
        <is>
          <t>Open RFIs</t>
        </is>
      </c>
      <c r="F4" s="19" t="inlineStr">
        <is>
          <t>Blocked? (X)</t>
        </is>
      </c>
      <c r="G4" s="19" t="inlineStr">
        <is>
          <t>Engineering State</t>
        </is>
      </c>
      <c r="H4" s="19" t="inlineStr">
        <is>
          <t>Eng %</t>
        </is>
      </c>
      <c r="I4" s="19" t="inlineStr">
        <is>
          <t>Prog %</t>
        </is>
      </c>
      <c r="J4" s="19" t="inlineStr">
        <is>
          <t>Cond &amp; Wire %</t>
        </is>
      </c>
      <c r="K4" s="19" t="inlineStr">
        <is>
          <t>Device %</t>
        </is>
      </c>
      <c r="L4" s="19" t="inlineStr">
        <is>
          <t>Loop Check %</t>
        </is>
      </c>
      <c r="M4" s="19" t="inlineStr">
        <is>
          <t>PreComm %</t>
        </is>
      </c>
      <c r="N4" s="19" t="inlineStr">
        <is>
          <t>WPs Gate Complete</t>
        </is>
      </c>
      <c r="O4" s="19" t="inlineStr">
        <is>
          <t>Blocked WPs (count)</t>
        </is>
      </c>
    </row>
    <row r="5" ht="15" customHeight="1" s="130">
      <c r="B5">
        <f>IF($A5="","",IFERROR(INDEX(SCOPES!$B$5:$B$200,MATCH($A5,SCOPES!$A$5:$A$200,0)),""))</f>
        <v/>
      </c>
      <c r="C5">
        <f>IF($A5="","",COUNTIF('WORK PACKAGES'!$G$2:$G$100,$A5))</f>
        <v/>
      </c>
      <c r="D5">
        <f>IF($A5="","",COUNTIFS(ISSUES!$O$5:$O$200,$A5,ISSUES!$H$5:$H$200,"&lt;&gt;Closed",ISSUES!$H$5:$H$200,"&lt;&gt;Resolved",ISSUES!$H$5:$H$200,"&lt;&gt;Cancelled",ISSUES!$H$5:$H$200,"&lt;&gt;",ISSUES!$A$5:$A$200,"&lt;&gt;"))</f>
        <v/>
      </c>
      <c r="E5">
        <f>IF($A5="","",COUNTIFS('RFI REGISTER'!$F$5:$F$250,"*"&amp;$A5&amp;"*",'RFI REGISTER'!$C$5:$C$250,"&lt;&gt;Closed",'RFI REGISTER'!$C$5:$C$250,"&lt;&gt;Cancelled",'RFI REGISTER'!$C$5:$C$250,"&lt;&gt;",'RFI REGISTER'!$A$5:$A$250,"&lt;&gt;"))</f>
        <v/>
      </c>
      <c r="F5" s="50" t="n"/>
      <c r="G5">
        <f>IF($A5="","",IFERROR(INDEX(SCOPES!$K$5:$K$200,MATCH($A5,SCOPES!$A$5:$A$200,0)),""))</f>
        <v/>
      </c>
      <c r="H5" s="125">
        <f>IF($A5="","",IFERROR(AVERAGEIFS('WP PROGRESS'!$F$2:$F$100,'WP PROGRESS'!$C$2:$C$100,$A5),""))</f>
        <v/>
      </c>
      <c r="I5" s="125">
        <f>IF($A5="","",IFERROR(AVERAGEIFS('WP PROGRESS'!$G$2:$G$100,'WP PROGRESS'!$C$2:$C$100,$A5),""))</f>
        <v/>
      </c>
      <c r="J5" s="125">
        <f>IF($A5="","",IFERROR(AVERAGEIFS('WP PROGRESS'!$H$2:$H$100,'WP PROGRESS'!$C$2:$C$100,$A5),""))</f>
        <v/>
      </c>
      <c r="K5" s="125">
        <f>IF($A5="","",IFERROR(AVERAGEIFS('WP PROGRESS'!$I$2:$I$100,'WP PROGRESS'!$C$2:$C$100,$A5),""))</f>
        <v/>
      </c>
      <c r="L5" s="125">
        <f>IF($A5="","",IFERROR(AVERAGEIFS('WP PROGRESS'!$J$2:$J$100,'WP PROGRESS'!$C$2:$C$100,$A5),""))</f>
        <v/>
      </c>
      <c r="M5" s="125">
        <f>IF($A5="","",IFERROR(AVERAGEIFS('WP PROGRESS'!$K$2:$K$100,'WP PROGRESS'!$C$2:$C$100,$A5),""))</f>
        <v/>
      </c>
      <c r="N5">
        <f>IF(OR($A5="",C5=0),"",COUNTIFS('WP PROGRESS'!$C$2:$C$100,$A5,'WP PROGRESS'!$V$2:$V$100,"Yes")+COUNTIFS('WP PROGRESS'!$C$2:$C$100,$A5,'WP PROGRESS'!$V$2:$V$100,"--")&amp;" of "&amp;C5)</f>
        <v/>
      </c>
      <c r="O5">
        <f>IF($A5="","",COUNTIFS('WP PROGRESS'!$C$2:$C$100,$A5,'WP PROGRESS'!$Y$2:$Y$100,"X"))</f>
        <v/>
      </c>
    </row>
    <row r="6" ht="15" customHeight="1" s="130">
      <c r="B6">
        <f>IF($A6="","",IFERROR(INDEX(SCOPES!$B$5:$B$200,MATCH($A6,SCOPES!$A$5:$A$200,0)),""))</f>
        <v/>
      </c>
      <c r="C6">
        <f>IF($A6="","",COUNTIF('WORK PACKAGES'!$G$2:$G$100,$A6))</f>
        <v/>
      </c>
      <c r="D6">
        <f>IF($A6="","",COUNTIFS(ISSUES!$O$5:$O$200,$A6,ISSUES!$H$5:$H$200,"&lt;&gt;Closed",ISSUES!$H$5:$H$200,"&lt;&gt;Resolved",ISSUES!$H$5:$H$200,"&lt;&gt;Cancelled",ISSUES!$H$5:$H$200,"&lt;&gt;",ISSUES!$A$5:$A$200,"&lt;&gt;"))</f>
        <v/>
      </c>
      <c r="E6">
        <f>IF($A6="","",COUNTIFS('RFI REGISTER'!$F$5:$F$250,"*"&amp;$A6&amp;"*",'RFI REGISTER'!$C$5:$C$250,"&lt;&gt;Closed",'RFI REGISTER'!$C$5:$C$250,"&lt;&gt;Cancelled",'RFI REGISTER'!$C$5:$C$250,"&lt;&gt;",'RFI REGISTER'!$A$5:$A$250,"&lt;&gt;"))</f>
        <v/>
      </c>
      <c r="F6" s="50" t="n"/>
      <c r="G6">
        <f>IF($A6="","",IFERROR(INDEX(SCOPES!$K$5:$K$200,MATCH($A6,SCOPES!$A$5:$A$200,0)),""))</f>
        <v/>
      </c>
      <c r="H6" s="125">
        <f>IF($A6="","",IFERROR(AVERAGEIFS('WP PROGRESS'!$F$2:$F$100,'WP PROGRESS'!$C$2:$C$100,$A6),""))</f>
        <v/>
      </c>
      <c r="I6" s="125">
        <f>IF($A6="","",IFERROR(AVERAGEIFS('WP PROGRESS'!$G$2:$G$100,'WP PROGRESS'!$C$2:$C$100,$A6),""))</f>
        <v/>
      </c>
      <c r="J6" s="125">
        <f>IF($A6="","",IFERROR(AVERAGEIFS('WP PROGRESS'!$H$2:$H$100,'WP PROGRESS'!$C$2:$C$100,$A6),""))</f>
        <v/>
      </c>
      <c r="K6" s="125">
        <f>IF($A6="","",IFERROR(AVERAGEIFS('WP PROGRESS'!$I$2:$I$100,'WP PROGRESS'!$C$2:$C$100,$A6),""))</f>
        <v/>
      </c>
      <c r="L6" s="125">
        <f>IF($A6="","",IFERROR(AVERAGEIFS('WP PROGRESS'!$J$2:$J$100,'WP PROGRESS'!$C$2:$C$100,$A6),""))</f>
        <v/>
      </c>
      <c r="M6" s="125">
        <f>IF($A6="","",IFERROR(AVERAGEIFS('WP PROGRESS'!$K$2:$K$100,'WP PROGRESS'!$C$2:$C$100,$A6),""))</f>
        <v/>
      </c>
      <c r="N6">
        <f>IF(OR($A6="",C6=0),"",COUNTIFS('WP PROGRESS'!$C$2:$C$100,$A6,'WP PROGRESS'!$V$2:$V$100,"Yes")+COUNTIFS('WP PROGRESS'!$C$2:$C$100,$A6,'WP PROGRESS'!$V$2:$V$100,"--")&amp;" of "&amp;C6)</f>
        <v/>
      </c>
      <c r="O6">
        <f>IF($A6="","",COUNTIFS('WP PROGRESS'!$C$2:$C$100,$A6,'WP PROGRESS'!$Y$2:$Y$100,"X"))</f>
        <v/>
      </c>
    </row>
    <row r="7" ht="15" customHeight="1" s="130">
      <c r="B7">
        <f>IF($A7="","",IFERROR(INDEX(SCOPES!$B$5:$B$200,MATCH($A7,SCOPES!$A$5:$A$200,0)),""))</f>
        <v/>
      </c>
      <c r="C7">
        <f>IF($A7="","",COUNTIF('WORK PACKAGES'!$G$2:$G$100,$A7))</f>
        <v/>
      </c>
      <c r="D7">
        <f>IF($A7="","",COUNTIFS(ISSUES!$O$5:$O$200,$A7,ISSUES!$H$5:$H$200,"&lt;&gt;Closed",ISSUES!$H$5:$H$200,"&lt;&gt;Resolved",ISSUES!$H$5:$H$200,"&lt;&gt;Cancelled",ISSUES!$H$5:$H$200,"&lt;&gt;",ISSUES!$A$5:$A$200,"&lt;&gt;"))</f>
        <v/>
      </c>
      <c r="E7">
        <f>IF($A7="","",COUNTIFS('RFI REGISTER'!$F$5:$F$250,"*"&amp;$A7&amp;"*",'RFI REGISTER'!$C$5:$C$250,"&lt;&gt;Closed",'RFI REGISTER'!$C$5:$C$250,"&lt;&gt;Cancelled",'RFI REGISTER'!$C$5:$C$250,"&lt;&gt;",'RFI REGISTER'!$A$5:$A$250,"&lt;&gt;"))</f>
        <v/>
      </c>
      <c r="F7" s="50" t="n"/>
      <c r="G7">
        <f>IF($A7="","",IFERROR(INDEX(SCOPES!$K$5:$K$200,MATCH($A7,SCOPES!$A$5:$A$200,0)),""))</f>
        <v/>
      </c>
      <c r="H7" s="125">
        <f>IF($A7="","",IFERROR(AVERAGEIFS('WP PROGRESS'!$F$2:$F$100,'WP PROGRESS'!$C$2:$C$100,$A7),""))</f>
        <v/>
      </c>
      <c r="I7" s="125">
        <f>IF($A7="","",IFERROR(AVERAGEIFS('WP PROGRESS'!$G$2:$G$100,'WP PROGRESS'!$C$2:$C$100,$A7),""))</f>
        <v/>
      </c>
      <c r="J7" s="125">
        <f>IF($A7="","",IFERROR(AVERAGEIFS('WP PROGRESS'!$H$2:$H$100,'WP PROGRESS'!$C$2:$C$100,$A7),""))</f>
        <v/>
      </c>
      <c r="K7" s="125">
        <f>IF($A7="","",IFERROR(AVERAGEIFS('WP PROGRESS'!$I$2:$I$100,'WP PROGRESS'!$C$2:$C$100,$A7),""))</f>
        <v/>
      </c>
      <c r="L7" s="125">
        <f>IF($A7="","",IFERROR(AVERAGEIFS('WP PROGRESS'!$J$2:$J$100,'WP PROGRESS'!$C$2:$C$100,$A7),""))</f>
        <v/>
      </c>
      <c r="M7" s="125">
        <f>IF($A7="","",IFERROR(AVERAGEIFS('WP PROGRESS'!$K$2:$K$100,'WP PROGRESS'!$C$2:$C$100,$A7),""))</f>
        <v/>
      </c>
      <c r="N7">
        <f>IF(OR($A7="",C7=0),"",COUNTIFS('WP PROGRESS'!$C$2:$C$100,$A7,'WP PROGRESS'!$V$2:$V$100,"Yes")+COUNTIFS('WP PROGRESS'!$C$2:$C$100,$A7,'WP PROGRESS'!$V$2:$V$100,"--")&amp;" of "&amp;C7)</f>
        <v/>
      </c>
      <c r="O7">
        <f>IF($A7="","",COUNTIFS('WP PROGRESS'!$C$2:$C$100,$A7,'WP PROGRESS'!$Y$2:$Y$100,"X"))</f>
        <v/>
      </c>
    </row>
    <row r="8" ht="15" customHeight="1" s="130">
      <c r="B8">
        <f>IF($A8="","",IFERROR(INDEX(SCOPES!$B$5:$B$200,MATCH($A8,SCOPES!$A$5:$A$200,0)),""))</f>
        <v/>
      </c>
      <c r="C8">
        <f>IF($A8="","",COUNTIF('WORK PACKAGES'!$G$2:$G$100,$A8))</f>
        <v/>
      </c>
      <c r="D8">
        <f>IF($A8="","",COUNTIFS(ISSUES!$O$5:$O$200,$A8,ISSUES!$H$5:$H$200,"&lt;&gt;Closed",ISSUES!$H$5:$H$200,"&lt;&gt;Resolved",ISSUES!$H$5:$H$200,"&lt;&gt;Cancelled",ISSUES!$H$5:$H$200,"&lt;&gt;",ISSUES!$A$5:$A$200,"&lt;&gt;"))</f>
        <v/>
      </c>
      <c r="E8">
        <f>IF($A8="","",COUNTIFS('RFI REGISTER'!$F$5:$F$250,"*"&amp;$A8&amp;"*",'RFI REGISTER'!$C$5:$C$250,"&lt;&gt;Closed",'RFI REGISTER'!$C$5:$C$250,"&lt;&gt;Cancelled",'RFI REGISTER'!$C$5:$C$250,"&lt;&gt;",'RFI REGISTER'!$A$5:$A$250,"&lt;&gt;"))</f>
        <v/>
      </c>
      <c r="F8" s="50" t="n"/>
      <c r="G8">
        <f>IF($A8="","",IFERROR(INDEX(SCOPES!$K$5:$K$200,MATCH($A8,SCOPES!$A$5:$A$200,0)),""))</f>
        <v/>
      </c>
      <c r="H8" s="125">
        <f>IF($A8="","",IFERROR(AVERAGEIFS('WP PROGRESS'!$F$2:$F$100,'WP PROGRESS'!$C$2:$C$100,$A8),""))</f>
        <v/>
      </c>
      <c r="I8" s="125">
        <f>IF($A8="","",IFERROR(AVERAGEIFS('WP PROGRESS'!$G$2:$G$100,'WP PROGRESS'!$C$2:$C$100,$A8),""))</f>
        <v/>
      </c>
      <c r="J8" s="125">
        <f>IF($A8="","",IFERROR(AVERAGEIFS('WP PROGRESS'!$H$2:$H$100,'WP PROGRESS'!$C$2:$C$100,$A8),""))</f>
        <v/>
      </c>
      <c r="K8" s="125">
        <f>IF($A8="","",IFERROR(AVERAGEIFS('WP PROGRESS'!$I$2:$I$100,'WP PROGRESS'!$C$2:$C$100,$A8),""))</f>
        <v/>
      </c>
      <c r="L8" s="125">
        <f>IF($A8="","",IFERROR(AVERAGEIFS('WP PROGRESS'!$J$2:$J$100,'WP PROGRESS'!$C$2:$C$100,$A8),""))</f>
        <v/>
      </c>
      <c r="M8" s="125">
        <f>IF($A8="","",IFERROR(AVERAGEIFS('WP PROGRESS'!$K$2:$K$100,'WP PROGRESS'!$C$2:$C$100,$A8),""))</f>
        <v/>
      </c>
      <c r="N8">
        <f>IF(OR($A8="",C8=0),"",COUNTIFS('WP PROGRESS'!$C$2:$C$100,$A8,'WP PROGRESS'!$V$2:$V$100,"Yes")+COUNTIFS('WP PROGRESS'!$C$2:$C$100,$A8,'WP PROGRESS'!$V$2:$V$100,"--")&amp;" of "&amp;C8)</f>
        <v/>
      </c>
      <c r="O8">
        <f>IF($A8="","",COUNTIFS('WP PROGRESS'!$C$2:$C$100,$A8,'WP PROGRESS'!$Y$2:$Y$100,"X"))</f>
        <v/>
      </c>
    </row>
    <row r="9" ht="15" customHeight="1" s="130">
      <c r="B9">
        <f>IF($A9="","",IFERROR(INDEX(SCOPES!$B$5:$B$200,MATCH($A9,SCOPES!$A$5:$A$200,0)),""))</f>
        <v/>
      </c>
      <c r="C9">
        <f>IF($A9="","",COUNTIF('WORK PACKAGES'!$G$2:$G$100,$A9))</f>
        <v/>
      </c>
      <c r="D9">
        <f>IF($A9="","",COUNTIFS(ISSUES!$O$5:$O$200,$A9,ISSUES!$H$5:$H$200,"&lt;&gt;Closed",ISSUES!$H$5:$H$200,"&lt;&gt;Resolved",ISSUES!$H$5:$H$200,"&lt;&gt;Cancelled",ISSUES!$H$5:$H$200,"&lt;&gt;",ISSUES!$A$5:$A$200,"&lt;&gt;"))</f>
        <v/>
      </c>
      <c r="E9">
        <f>IF($A9="","",COUNTIFS('RFI REGISTER'!$F$5:$F$250,"*"&amp;$A9&amp;"*",'RFI REGISTER'!$C$5:$C$250,"&lt;&gt;Closed",'RFI REGISTER'!$C$5:$C$250,"&lt;&gt;Cancelled",'RFI REGISTER'!$C$5:$C$250,"&lt;&gt;",'RFI REGISTER'!$A$5:$A$250,"&lt;&gt;"))</f>
        <v/>
      </c>
      <c r="F9" s="50" t="n"/>
      <c r="G9">
        <f>IF($A9="","",IFERROR(INDEX(SCOPES!$K$5:$K$200,MATCH($A9,SCOPES!$A$5:$A$200,0)),""))</f>
        <v/>
      </c>
      <c r="H9" s="125">
        <f>IF($A9="","",IFERROR(AVERAGEIFS('WP PROGRESS'!$F$2:$F$100,'WP PROGRESS'!$C$2:$C$100,$A9),""))</f>
        <v/>
      </c>
      <c r="I9" s="125">
        <f>IF($A9="","",IFERROR(AVERAGEIFS('WP PROGRESS'!$G$2:$G$100,'WP PROGRESS'!$C$2:$C$100,$A9),""))</f>
        <v/>
      </c>
      <c r="J9" s="125">
        <f>IF($A9="","",IFERROR(AVERAGEIFS('WP PROGRESS'!$H$2:$H$100,'WP PROGRESS'!$C$2:$C$100,$A9),""))</f>
        <v/>
      </c>
      <c r="K9" s="125">
        <f>IF($A9="","",IFERROR(AVERAGEIFS('WP PROGRESS'!$I$2:$I$100,'WP PROGRESS'!$C$2:$C$100,$A9),""))</f>
        <v/>
      </c>
      <c r="L9" s="125">
        <f>IF($A9="","",IFERROR(AVERAGEIFS('WP PROGRESS'!$J$2:$J$100,'WP PROGRESS'!$C$2:$C$100,$A9),""))</f>
        <v/>
      </c>
      <c r="M9" s="125">
        <f>IF($A9="","",IFERROR(AVERAGEIFS('WP PROGRESS'!$K$2:$K$100,'WP PROGRESS'!$C$2:$C$100,$A9),""))</f>
        <v/>
      </c>
      <c r="N9">
        <f>IF(OR($A9="",C9=0),"",COUNTIFS('WP PROGRESS'!$C$2:$C$100,$A9,'WP PROGRESS'!$V$2:$V$100,"Yes")+COUNTIFS('WP PROGRESS'!$C$2:$C$100,$A9,'WP PROGRESS'!$V$2:$V$100,"--")&amp;" of "&amp;C9)</f>
        <v/>
      </c>
      <c r="O9">
        <f>IF($A9="","",COUNTIFS('WP PROGRESS'!$C$2:$C$100,$A9,'WP PROGRESS'!$Y$2:$Y$100,"X"))</f>
        <v/>
      </c>
    </row>
    <row r="10" ht="15" customHeight="1" s="130">
      <c r="B10">
        <f>IF($A10="","",IFERROR(INDEX(SCOPES!$B$5:$B$200,MATCH($A10,SCOPES!$A$5:$A$200,0)),""))</f>
        <v/>
      </c>
      <c r="C10">
        <f>IF($A10="","",COUNTIF('WORK PACKAGES'!$G$2:$G$100,$A10))</f>
        <v/>
      </c>
      <c r="D10">
        <f>IF($A10="","",COUNTIFS(ISSUES!$O$5:$O$200,$A10,ISSUES!$H$5:$H$200,"&lt;&gt;Closed",ISSUES!$H$5:$H$200,"&lt;&gt;Resolved",ISSUES!$H$5:$H$200,"&lt;&gt;Cancelled",ISSUES!$H$5:$H$200,"&lt;&gt;",ISSUES!$A$5:$A$200,"&lt;&gt;"))</f>
        <v/>
      </c>
      <c r="E10">
        <f>IF($A10="","",COUNTIFS('RFI REGISTER'!$F$5:$F$250,"*"&amp;$A10&amp;"*",'RFI REGISTER'!$C$5:$C$250,"&lt;&gt;Closed",'RFI REGISTER'!$C$5:$C$250,"&lt;&gt;Cancelled",'RFI REGISTER'!$C$5:$C$250,"&lt;&gt;",'RFI REGISTER'!$A$5:$A$250,"&lt;&gt;"))</f>
        <v/>
      </c>
      <c r="F10" s="50" t="n"/>
      <c r="G10">
        <f>IF($A10="","",IFERROR(INDEX(SCOPES!$K$5:$K$200,MATCH($A10,SCOPES!$A$5:$A$200,0)),""))</f>
        <v/>
      </c>
      <c r="H10" s="125">
        <f>IF($A10="","",IFERROR(AVERAGEIFS('WP PROGRESS'!$F$2:$F$100,'WP PROGRESS'!$C$2:$C$100,$A10),""))</f>
        <v/>
      </c>
      <c r="I10" s="125">
        <f>IF($A10="","",IFERROR(AVERAGEIFS('WP PROGRESS'!$G$2:$G$100,'WP PROGRESS'!$C$2:$C$100,$A10),""))</f>
        <v/>
      </c>
      <c r="J10" s="125">
        <f>IF($A10="","",IFERROR(AVERAGEIFS('WP PROGRESS'!$H$2:$H$100,'WP PROGRESS'!$C$2:$C$100,$A10),""))</f>
        <v/>
      </c>
      <c r="K10" s="125">
        <f>IF($A10="","",IFERROR(AVERAGEIFS('WP PROGRESS'!$I$2:$I$100,'WP PROGRESS'!$C$2:$C$100,$A10),""))</f>
        <v/>
      </c>
      <c r="L10" s="125">
        <f>IF($A10="","",IFERROR(AVERAGEIFS('WP PROGRESS'!$J$2:$J$100,'WP PROGRESS'!$C$2:$C$100,$A10),""))</f>
        <v/>
      </c>
      <c r="M10" s="125">
        <f>IF($A10="","",IFERROR(AVERAGEIFS('WP PROGRESS'!$K$2:$K$100,'WP PROGRESS'!$C$2:$C$100,$A10),""))</f>
        <v/>
      </c>
      <c r="N10">
        <f>IF(OR($A10="",C10=0),"",COUNTIFS('WP PROGRESS'!$C$2:$C$100,$A10,'WP PROGRESS'!$V$2:$V$100,"Yes")+COUNTIFS('WP PROGRESS'!$C$2:$C$100,$A10,'WP PROGRESS'!$V$2:$V$100,"--")&amp;" of "&amp;C10)</f>
        <v/>
      </c>
      <c r="O10">
        <f>IF($A10="","",COUNTIFS('WP PROGRESS'!$C$2:$C$100,$A10,'WP PROGRESS'!$Y$2:$Y$100,"X"))</f>
        <v/>
      </c>
    </row>
    <row r="11" ht="15" customHeight="1" s="130">
      <c r="B11">
        <f>IF($A11="","",IFERROR(INDEX(SCOPES!$B$5:$B$200,MATCH($A11,SCOPES!$A$5:$A$200,0)),""))</f>
        <v/>
      </c>
      <c r="C11">
        <f>IF($A11="","",COUNTIF('WORK PACKAGES'!$G$2:$G$100,$A11))</f>
        <v/>
      </c>
      <c r="D11">
        <f>IF($A11="","",COUNTIFS(ISSUES!$O$5:$O$200,$A11,ISSUES!$H$5:$H$200,"&lt;&gt;Closed",ISSUES!$H$5:$H$200,"&lt;&gt;Resolved",ISSUES!$H$5:$H$200,"&lt;&gt;Cancelled",ISSUES!$H$5:$H$200,"&lt;&gt;",ISSUES!$A$5:$A$200,"&lt;&gt;"))</f>
        <v/>
      </c>
      <c r="E11">
        <f>IF($A11="","",COUNTIFS('RFI REGISTER'!$F$5:$F$250,"*"&amp;$A11&amp;"*",'RFI REGISTER'!$C$5:$C$250,"&lt;&gt;Closed",'RFI REGISTER'!$C$5:$C$250,"&lt;&gt;Cancelled",'RFI REGISTER'!$C$5:$C$250,"&lt;&gt;",'RFI REGISTER'!$A$5:$A$250,"&lt;&gt;"))</f>
        <v/>
      </c>
      <c r="F11" s="50" t="n"/>
      <c r="G11">
        <f>IF($A11="","",IFERROR(INDEX(SCOPES!$K$5:$K$200,MATCH($A11,SCOPES!$A$5:$A$200,0)),""))</f>
        <v/>
      </c>
      <c r="H11" s="125">
        <f>IF($A11="","",IFERROR(AVERAGEIFS('WP PROGRESS'!$F$2:$F$100,'WP PROGRESS'!$C$2:$C$100,$A11),""))</f>
        <v/>
      </c>
      <c r="I11" s="125">
        <f>IF($A11="","",IFERROR(AVERAGEIFS('WP PROGRESS'!$G$2:$G$100,'WP PROGRESS'!$C$2:$C$100,$A11),""))</f>
        <v/>
      </c>
      <c r="J11" s="125">
        <f>IF($A11="","",IFERROR(AVERAGEIFS('WP PROGRESS'!$H$2:$H$100,'WP PROGRESS'!$C$2:$C$100,$A11),""))</f>
        <v/>
      </c>
      <c r="K11" s="125">
        <f>IF($A11="","",IFERROR(AVERAGEIFS('WP PROGRESS'!$I$2:$I$100,'WP PROGRESS'!$C$2:$C$100,$A11),""))</f>
        <v/>
      </c>
      <c r="L11" s="125">
        <f>IF($A11="","",IFERROR(AVERAGEIFS('WP PROGRESS'!$J$2:$J$100,'WP PROGRESS'!$C$2:$C$100,$A11),""))</f>
        <v/>
      </c>
      <c r="M11" s="125">
        <f>IF($A11="","",IFERROR(AVERAGEIFS('WP PROGRESS'!$K$2:$K$100,'WP PROGRESS'!$C$2:$C$100,$A11),""))</f>
        <v/>
      </c>
      <c r="N11">
        <f>IF(OR($A11="",C11=0),"",COUNTIFS('WP PROGRESS'!$C$2:$C$100,$A11,'WP PROGRESS'!$V$2:$V$100,"Yes")+COUNTIFS('WP PROGRESS'!$C$2:$C$100,$A11,'WP PROGRESS'!$V$2:$V$100,"--")&amp;" of "&amp;C11)</f>
        <v/>
      </c>
      <c r="O11">
        <f>IF($A11="","",COUNTIFS('WP PROGRESS'!$C$2:$C$100,$A11,'WP PROGRESS'!$Y$2:$Y$100,"X"))</f>
        <v/>
      </c>
    </row>
    <row r="12" ht="15" customHeight="1" s="130">
      <c r="B12">
        <f>IF($A12="","",IFERROR(INDEX(SCOPES!$B$5:$B$200,MATCH($A12,SCOPES!$A$5:$A$200,0)),""))</f>
        <v/>
      </c>
      <c r="C12">
        <f>IF($A12="","",COUNTIF('WORK PACKAGES'!$G$2:$G$100,$A12))</f>
        <v/>
      </c>
      <c r="D12">
        <f>IF($A12="","",COUNTIFS(ISSUES!$O$5:$O$200,$A12,ISSUES!$H$5:$H$200,"&lt;&gt;Closed",ISSUES!$H$5:$H$200,"&lt;&gt;Resolved",ISSUES!$H$5:$H$200,"&lt;&gt;Cancelled",ISSUES!$H$5:$H$200,"&lt;&gt;",ISSUES!$A$5:$A$200,"&lt;&gt;"))</f>
        <v/>
      </c>
      <c r="E12">
        <f>IF($A12="","",COUNTIFS('RFI REGISTER'!$F$5:$F$250,"*"&amp;$A12&amp;"*",'RFI REGISTER'!$C$5:$C$250,"&lt;&gt;Closed",'RFI REGISTER'!$C$5:$C$250,"&lt;&gt;Cancelled",'RFI REGISTER'!$C$5:$C$250,"&lt;&gt;",'RFI REGISTER'!$A$5:$A$250,"&lt;&gt;"))</f>
        <v/>
      </c>
      <c r="F12" s="50" t="n"/>
      <c r="G12">
        <f>IF($A12="","",IFERROR(INDEX(SCOPES!$K$5:$K$200,MATCH($A12,SCOPES!$A$5:$A$200,0)),""))</f>
        <v/>
      </c>
      <c r="H12" s="125">
        <f>IF($A12="","",IFERROR(AVERAGEIFS('WP PROGRESS'!$F$2:$F$100,'WP PROGRESS'!$C$2:$C$100,$A12),""))</f>
        <v/>
      </c>
      <c r="I12" s="125">
        <f>IF($A12="","",IFERROR(AVERAGEIFS('WP PROGRESS'!$G$2:$G$100,'WP PROGRESS'!$C$2:$C$100,$A12),""))</f>
        <v/>
      </c>
      <c r="J12" s="125">
        <f>IF($A12="","",IFERROR(AVERAGEIFS('WP PROGRESS'!$H$2:$H$100,'WP PROGRESS'!$C$2:$C$100,$A12),""))</f>
        <v/>
      </c>
      <c r="K12" s="125">
        <f>IF($A12="","",IFERROR(AVERAGEIFS('WP PROGRESS'!$I$2:$I$100,'WP PROGRESS'!$C$2:$C$100,$A12),""))</f>
        <v/>
      </c>
      <c r="L12" s="125">
        <f>IF($A12="","",IFERROR(AVERAGEIFS('WP PROGRESS'!$J$2:$J$100,'WP PROGRESS'!$C$2:$C$100,$A12),""))</f>
        <v/>
      </c>
      <c r="M12" s="125">
        <f>IF($A12="","",IFERROR(AVERAGEIFS('WP PROGRESS'!$K$2:$K$100,'WP PROGRESS'!$C$2:$C$100,$A12),""))</f>
        <v/>
      </c>
      <c r="N12">
        <f>IF(OR($A12="",C12=0),"",COUNTIFS('WP PROGRESS'!$C$2:$C$100,$A12,'WP PROGRESS'!$V$2:$V$100,"Yes")+COUNTIFS('WP PROGRESS'!$C$2:$C$100,$A12,'WP PROGRESS'!$V$2:$V$100,"--")&amp;" of "&amp;C12)</f>
        <v/>
      </c>
      <c r="O12">
        <f>IF($A12="","",COUNTIFS('WP PROGRESS'!$C$2:$C$100,$A12,'WP PROGRESS'!$Y$2:$Y$100,"X"))</f>
        <v/>
      </c>
    </row>
    <row r="13" ht="15" customHeight="1" s="130">
      <c r="B13">
        <f>IF($A13="","",IFERROR(INDEX(SCOPES!$B$5:$B$200,MATCH($A13,SCOPES!$A$5:$A$200,0)),""))</f>
        <v/>
      </c>
      <c r="C13">
        <f>IF($A13="","",COUNTIF('WORK PACKAGES'!$G$2:$G$100,$A13))</f>
        <v/>
      </c>
      <c r="D13">
        <f>IF($A13="","",COUNTIFS(ISSUES!$O$5:$O$200,$A13,ISSUES!$H$5:$H$200,"&lt;&gt;Closed",ISSUES!$H$5:$H$200,"&lt;&gt;Resolved",ISSUES!$H$5:$H$200,"&lt;&gt;Cancelled",ISSUES!$H$5:$H$200,"&lt;&gt;",ISSUES!$A$5:$A$200,"&lt;&gt;"))</f>
        <v/>
      </c>
      <c r="E13">
        <f>IF($A13="","",COUNTIFS('RFI REGISTER'!$F$5:$F$250,"*"&amp;$A13&amp;"*",'RFI REGISTER'!$C$5:$C$250,"&lt;&gt;Closed",'RFI REGISTER'!$C$5:$C$250,"&lt;&gt;Cancelled",'RFI REGISTER'!$C$5:$C$250,"&lt;&gt;",'RFI REGISTER'!$A$5:$A$250,"&lt;&gt;"))</f>
        <v/>
      </c>
      <c r="F13" s="50" t="n"/>
      <c r="G13">
        <f>IF($A13="","",IFERROR(INDEX(SCOPES!$K$5:$K$200,MATCH($A13,SCOPES!$A$5:$A$200,0)),""))</f>
        <v/>
      </c>
      <c r="H13" s="125">
        <f>IF($A13="","",IFERROR(AVERAGEIFS('WP PROGRESS'!$F$2:$F$100,'WP PROGRESS'!$C$2:$C$100,$A13),""))</f>
        <v/>
      </c>
      <c r="I13" s="125">
        <f>IF($A13="","",IFERROR(AVERAGEIFS('WP PROGRESS'!$G$2:$G$100,'WP PROGRESS'!$C$2:$C$100,$A13),""))</f>
        <v/>
      </c>
      <c r="J13" s="125">
        <f>IF($A13="","",IFERROR(AVERAGEIFS('WP PROGRESS'!$H$2:$H$100,'WP PROGRESS'!$C$2:$C$100,$A13),""))</f>
        <v/>
      </c>
      <c r="K13" s="125">
        <f>IF($A13="","",IFERROR(AVERAGEIFS('WP PROGRESS'!$I$2:$I$100,'WP PROGRESS'!$C$2:$C$100,$A13),""))</f>
        <v/>
      </c>
      <c r="L13" s="125">
        <f>IF($A13="","",IFERROR(AVERAGEIFS('WP PROGRESS'!$J$2:$J$100,'WP PROGRESS'!$C$2:$C$100,$A13),""))</f>
        <v/>
      </c>
      <c r="M13" s="125">
        <f>IF($A13="","",IFERROR(AVERAGEIFS('WP PROGRESS'!$K$2:$K$100,'WP PROGRESS'!$C$2:$C$100,$A13),""))</f>
        <v/>
      </c>
      <c r="N13">
        <f>IF(OR($A13="",C13=0),"",COUNTIFS('WP PROGRESS'!$C$2:$C$100,$A13,'WP PROGRESS'!$V$2:$V$100,"Yes")+COUNTIFS('WP PROGRESS'!$C$2:$C$100,$A13,'WP PROGRESS'!$V$2:$V$100,"--")&amp;" of "&amp;C13)</f>
        <v/>
      </c>
      <c r="O13">
        <f>IF($A13="","",COUNTIFS('WP PROGRESS'!$C$2:$C$100,$A13,'WP PROGRESS'!$Y$2:$Y$100,"X"))</f>
        <v/>
      </c>
    </row>
    <row r="14" ht="15" customHeight="1" s="130">
      <c r="B14">
        <f>IF($A14="","",IFERROR(INDEX(SCOPES!$B$5:$B$200,MATCH($A14,SCOPES!$A$5:$A$200,0)),""))</f>
        <v/>
      </c>
      <c r="C14">
        <f>IF($A14="","",COUNTIF('WORK PACKAGES'!$G$2:$G$100,$A14))</f>
        <v/>
      </c>
      <c r="D14">
        <f>IF($A14="","",COUNTIFS(ISSUES!$O$5:$O$200,$A14,ISSUES!$H$5:$H$200,"&lt;&gt;Closed",ISSUES!$H$5:$H$200,"&lt;&gt;Resolved",ISSUES!$H$5:$H$200,"&lt;&gt;Cancelled",ISSUES!$H$5:$H$200,"&lt;&gt;",ISSUES!$A$5:$A$200,"&lt;&gt;"))</f>
        <v/>
      </c>
      <c r="E14">
        <f>IF($A14="","",COUNTIFS('RFI REGISTER'!$F$5:$F$250,"*"&amp;$A14&amp;"*",'RFI REGISTER'!$C$5:$C$250,"&lt;&gt;Closed",'RFI REGISTER'!$C$5:$C$250,"&lt;&gt;Cancelled",'RFI REGISTER'!$C$5:$C$250,"&lt;&gt;",'RFI REGISTER'!$A$5:$A$250,"&lt;&gt;"))</f>
        <v/>
      </c>
      <c r="F14" s="50" t="n"/>
      <c r="G14">
        <f>IF($A14="","",IFERROR(INDEX(SCOPES!$K$5:$K$200,MATCH($A14,SCOPES!$A$5:$A$200,0)),""))</f>
        <v/>
      </c>
      <c r="H14" s="125">
        <f>IF($A14="","",IFERROR(AVERAGEIFS('WP PROGRESS'!$F$2:$F$100,'WP PROGRESS'!$C$2:$C$100,$A14),""))</f>
        <v/>
      </c>
      <c r="I14" s="125">
        <f>IF($A14="","",IFERROR(AVERAGEIFS('WP PROGRESS'!$G$2:$G$100,'WP PROGRESS'!$C$2:$C$100,$A14),""))</f>
        <v/>
      </c>
      <c r="J14" s="125">
        <f>IF($A14="","",IFERROR(AVERAGEIFS('WP PROGRESS'!$H$2:$H$100,'WP PROGRESS'!$C$2:$C$100,$A14),""))</f>
        <v/>
      </c>
      <c r="K14" s="125">
        <f>IF($A14="","",IFERROR(AVERAGEIFS('WP PROGRESS'!$I$2:$I$100,'WP PROGRESS'!$C$2:$C$100,$A14),""))</f>
        <v/>
      </c>
      <c r="L14" s="125">
        <f>IF($A14="","",IFERROR(AVERAGEIFS('WP PROGRESS'!$J$2:$J$100,'WP PROGRESS'!$C$2:$C$100,$A14),""))</f>
        <v/>
      </c>
      <c r="M14" s="125">
        <f>IF($A14="","",IFERROR(AVERAGEIFS('WP PROGRESS'!$K$2:$K$100,'WP PROGRESS'!$C$2:$C$100,$A14),""))</f>
        <v/>
      </c>
      <c r="N14">
        <f>IF(OR($A14="",C14=0),"",COUNTIFS('WP PROGRESS'!$C$2:$C$100,$A14,'WP PROGRESS'!$V$2:$V$100,"Yes")+COUNTIFS('WP PROGRESS'!$C$2:$C$100,$A14,'WP PROGRESS'!$V$2:$V$100,"--")&amp;" of "&amp;C14)</f>
        <v/>
      </c>
      <c r="O14">
        <f>IF($A14="","",COUNTIFS('WP PROGRESS'!$C$2:$C$100,$A14,'WP PROGRESS'!$Y$2:$Y$100,"X"))</f>
        <v/>
      </c>
    </row>
    <row r="15" ht="15" customHeight="1" s="130">
      <c r="B15">
        <f>IF($A15="","",IFERROR(INDEX(SCOPES!$B$5:$B$200,MATCH($A15,SCOPES!$A$5:$A$200,0)),""))</f>
        <v/>
      </c>
      <c r="C15">
        <f>IF($A15="","",COUNTIF('WORK PACKAGES'!$G$2:$G$100,$A15))</f>
        <v/>
      </c>
      <c r="D15">
        <f>IF($A15="","",COUNTIFS(ISSUES!$O$5:$O$200,$A15,ISSUES!$H$5:$H$200,"&lt;&gt;Closed",ISSUES!$H$5:$H$200,"&lt;&gt;Resolved",ISSUES!$H$5:$H$200,"&lt;&gt;Cancelled",ISSUES!$H$5:$H$200,"&lt;&gt;",ISSUES!$A$5:$A$200,"&lt;&gt;"))</f>
        <v/>
      </c>
      <c r="E15">
        <f>IF($A15="","",COUNTIFS('RFI REGISTER'!$F$5:$F$250,"*"&amp;$A15&amp;"*",'RFI REGISTER'!$C$5:$C$250,"&lt;&gt;Closed",'RFI REGISTER'!$C$5:$C$250,"&lt;&gt;Cancelled",'RFI REGISTER'!$C$5:$C$250,"&lt;&gt;",'RFI REGISTER'!$A$5:$A$250,"&lt;&gt;"))</f>
        <v/>
      </c>
      <c r="F15" s="50" t="n"/>
      <c r="G15">
        <f>IF($A15="","",IFERROR(INDEX(SCOPES!$K$5:$K$200,MATCH($A15,SCOPES!$A$5:$A$200,0)),""))</f>
        <v/>
      </c>
      <c r="H15" s="125">
        <f>IF($A15="","",IFERROR(AVERAGEIFS('WP PROGRESS'!$F$2:$F$100,'WP PROGRESS'!$C$2:$C$100,$A15),""))</f>
        <v/>
      </c>
      <c r="I15" s="125">
        <f>IF($A15="","",IFERROR(AVERAGEIFS('WP PROGRESS'!$G$2:$G$100,'WP PROGRESS'!$C$2:$C$100,$A15),""))</f>
        <v/>
      </c>
      <c r="J15" s="125">
        <f>IF($A15="","",IFERROR(AVERAGEIFS('WP PROGRESS'!$H$2:$H$100,'WP PROGRESS'!$C$2:$C$100,$A15),""))</f>
        <v/>
      </c>
      <c r="K15" s="125">
        <f>IF($A15="","",IFERROR(AVERAGEIFS('WP PROGRESS'!$I$2:$I$100,'WP PROGRESS'!$C$2:$C$100,$A15),""))</f>
        <v/>
      </c>
      <c r="L15" s="125">
        <f>IF($A15="","",IFERROR(AVERAGEIFS('WP PROGRESS'!$J$2:$J$100,'WP PROGRESS'!$C$2:$C$100,$A15),""))</f>
        <v/>
      </c>
      <c r="M15" s="125">
        <f>IF($A15="","",IFERROR(AVERAGEIFS('WP PROGRESS'!$K$2:$K$100,'WP PROGRESS'!$C$2:$C$100,$A15),""))</f>
        <v/>
      </c>
      <c r="N15">
        <f>IF(OR($A15="",C15=0),"",COUNTIFS('WP PROGRESS'!$C$2:$C$100,$A15,'WP PROGRESS'!$V$2:$V$100,"Yes")+COUNTIFS('WP PROGRESS'!$C$2:$C$100,$A15,'WP PROGRESS'!$V$2:$V$100,"--")&amp;" of "&amp;C15)</f>
        <v/>
      </c>
      <c r="O15">
        <f>IF($A15="","",COUNTIFS('WP PROGRESS'!$C$2:$C$100,$A15,'WP PROGRESS'!$Y$2:$Y$100,"X"))</f>
        <v/>
      </c>
    </row>
    <row r="16" ht="15" customHeight="1" s="130">
      <c r="B16">
        <f>IF($A16="","",IFERROR(INDEX(SCOPES!$B$5:$B$200,MATCH($A16,SCOPES!$A$5:$A$200,0)),""))</f>
        <v/>
      </c>
      <c r="C16">
        <f>IF($A16="","",COUNTIF('WORK PACKAGES'!$G$2:$G$100,$A16))</f>
        <v/>
      </c>
      <c r="D16">
        <f>IF($A16="","",COUNTIFS(ISSUES!$O$5:$O$200,$A16,ISSUES!$H$5:$H$200,"&lt;&gt;Closed",ISSUES!$H$5:$H$200,"&lt;&gt;Resolved",ISSUES!$H$5:$H$200,"&lt;&gt;Cancelled",ISSUES!$H$5:$H$200,"&lt;&gt;",ISSUES!$A$5:$A$200,"&lt;&gt;"))</f>
        <v/>
      </c>
      <c r="E16">
        <f>IF($A16="","",COUNTIFS('RFI REGISTER'!$F$5:$F$250,"*"&amp;$A16&amp;"*",'RFI REGISTER'!$C$5:$C$250,"&lt;&gt;Closed",'RFI REGISTER'!$C$5:$C$250,"&lt;&gt;Cancelled",'RFI REGISTER'!$C$5:$C$250,"&lt;&gt;",'RFI REGISTER'!$A$5:$A$250,"&lt;&gt;"))</f>
        <v/>
      </c>
      <c r="F16" s="50" t="n"/>
      <c r="G16">
        <f>IF($A16="","",IFERROR(INDEX(SCOPES!$K$5:$K$200,MATCH($A16,SCOPES!$A$5:$A$200,0)),""))</f>
        <v/>
      </c>
      <c r="H16" s="125">
        <f>IF($A16="","",IFERROR(AVERAGEIFS('WP PROGRESS'!$F$2:$F$100,'WP PROGRESS'!$C$2:$C$100,$A16),""))</f>
        <v/>
      </c>
      <c r="I16" s="125">
        <f>IF($A16="","",IFERROR(AVERAGEIFS('WP PROGRESS'!$G$2:$G$100,'WP PROGRESS'!$C$2:$C$100,$A16),""))</f>
        <v/>
      </c>
      <c r="J16" s="125">
        <f>IF($A16="","",IFERROR(AVERAGEIFS('WP PROGRESS'!$H$2:$H$100,'WP PROGRESS'!$C$2:$C$100,$A16),""))</f>
        <v/>
      </c>
      <c r="K16" s="125">
        <f>IF($A16="","",IFERROR(AVERAGEIFS('WP PROGRESS'!$I$2:$I$100,'WP PROGRESS'!$C$2:$C$100,$A16),""))</f>
        <v/>
      </c>
      <c r="L16" s="125">
        <f>IF($A16="","",IFERROR(AVERAGEIFS('WP PROGRESS'!$J$2:$J$100,'WP PROGRESS'!$C$2:$C$100,$A16),""))</f>
        <v/>
      </c>
      <c r="M16" s="125">
        <f>IF($A16="","",IFERROR(AVERAGEIFS('WP PROGRESS'!$K$2:$K$100,'WP PROGRESS'!$C$2:$C$100,$A16),""))</f>
        <v/>
      </c>
      <c r="N16">
        <f>IF(OR($A16="",C16=0),"",COUNTIFS('WP PROGRESS'!$C$2:$C$100,$A16,'WP PROGRESS'!$V$2:$V$100,"Yes")+COUNTIFS('WP PROGRESS'!$C$2:$C$100,$A16,'WP PROGRESS'!$V$2:$V$100,"--")&amp;" of "&amp;C16)</f>
        <v/>
      </c>
      <c r="O16">
        <f>IF($A16="","",COUNTIFS('WP PROGRESS'!$C$2:$C$100,$A16,'WP PROGRESS'!$Y$2:$Y$100,"X"))</f>
        <v/>
      </c>
    </row>
    <row r="17" ht="15" customHeight="1" s="130">
      <c r="B17">
        <f>IF($A17="","",IFERROR(INDEX(SCOPES!$B$5:$B$200,MATCH($A17,SCOPES!$A$5:$A$200,0)),""))</f>
        <v/>
      </c>
      <c r="C17">
        <f>IF($A17="","",COUNTIF('WORK PACKAGES'!$G$2:$G$100,$A17))</f>
        <v/>
      </c>
      <c r="D17">
        <f>IF($A17="","",COUNTIFS(ISSUES!$O$5:$O$200,$A17,ISSUES!$H$5:$H$200,"&lt;&gt;Closed",ISSUES!$H$5:$H$200,"&lt;&gt;Resolved",ISSUES!$H$5:$H$200,"&lt;&gt;Cancelled",ISSUES!$H$5:$H$200,"&lt;&gt;",ISSUES!$A$5:$A$200,"&lt;&gt;"))</f>
        <v/>
      </c>
      <c r="E17">
        <f>IF($A17="","",COUNTIFS('RFI REGISTER'!$F$5:$F$250,"*"&amp;$A17&amp;"*",'RFI REGISTER'!$C$5:$C$250,"&lt;&gt;Closed",'RFI REGISTER'!$C$5:$C$250,"&lt;&gt;Cancelled",'RFI REGISTER'!$C$5:$C$250,"&lt;&gt;",'RFI REGISTER'!$A$5:$A$250,"&lt;&gt;"))</f>
        <v/>
      </c>
      <c r="F17" s="50" t="n"/>
      <c r="G17">
        <f>IF($A17="","",IFERROR(INDEX(SCOPES!$K$5:$K$200,MATCH($A17,SCOPES!$A$5:$A$200,0)),""))</f>
        <v/>
      </c>
      <c r="H17" s="125">
        <f>IF($A17="","",IFERROR(AVERAGEIFS('WP PROGRESS'!$F$2:$F$100,'WP PROGRESS'!$C$2:$C$100,$A17),""))</f>
        <v/>
      </c>
      <c r="I17" s="125">
        <f>IF($A17="","",IFERROR(AVERAGEIFS('WP PROGRESS'!$G$2:$G$100,'WP PROGRESS'!$C$2:$C$100,$A17),""))</f>
        <v/>
      </c>
      <c r="J17" s="125">
        <f>IF($A17="","",IFERROR(AVERAGEIFS('WP PROGRESS'!$H$2:$H$100,'WP PROGRESS'!$C$2:$C$100,$A17),""))</f>
        <v/>
      </c>
      <c r="K17" s="125">
        <f>IF($A17="","",IFERROR(AVERAGEIFS('WP PROGRESS'!$I$2:$I$100,'WP PROGRESS'!$C$2:$C$100,$A17),""))</f>
        <v/>
      </c>
      <c r="L17" s="125">
        <f>IF($A17="","",IFERROR(AVERAGEIFS('WP PROGRESS'!$J$2:$J$100,'WP PROGRESS'!$C$2:$C$100,$A17),""))</f>
        <v/>
      </c>
      <c r="M17" s="125">
        <f>IF($A17="","",IFERROR(AVERAGEIFS('WP PROGRESS'!$K$2:$K$100,'WP PROGRESS'!$C$2:$C$100,$A17),""))</f>
        <v/>
      </c>
      <c r="N17">
        <f>IF(OR($A17="",C17=0),"",COUNTIFS('WP PROGRESS'!$C$2:$C$100,$A17,'WP PROGRESS'!$V$2:$V$100,"Yes")+COUNTIFS('WP PROGRESS'!$C$2:$C$100,$A17,'WP PROGRESS'!$V$2:$V$100,"--")&amp;" of "&amp;C17)</f>
        <v/>
      </c>
      <c r="O17">
        <f>IF($A17="","",COUNTIFS('WP PROGRESS'!$C$2:$C$100,$A17,'WP PROGRESS'!$Y$2:$Y$100,"X"))</f>
        <v/>
      </c>
    </row>
    <row r="18" ht="15" customHeight="1" s="130">
      <c r="B18">
        <f>IF($A18="","",IFERROR(INDEX(SCOPES!$B$5:$B$200,MATCH($A18,SCOPES!$A$5:$A$200,0)),""))</f>
        <v/>
      </c>
      <c r="C18">
        <f>IF($A18="","",COUNTIF('WORK PACKAGES'!$G$2:$G$100,$A18))</f>
        <v/>
      </c>
      <c r="D18">
        <f>IF($A18="","",COUNTIFS(ISSUES!$O$5:$O$200,$A18,ISSUES!$H$5:$H$200,"&lt;&gt;Closed",ISSUES!$H$5:$H$200,"&lt;&gt;Resolved",ISSUES!$H$5:$H$200,"&lt;&gt;Cancelled",ISSUES!$H$5:$H$200,"&lt;&gt;",ISSUES!$A$5:$A$200,"&lt;&gt;"))</f>
        <v/>
      </c>
      <c r="E18">
        <f>IF($A18="","",COUNTIFS('RFI REGISTER'!$F$5:$F$250,"*"&amp;$A18&amp;"*",'RFI REGISTER'!$C$5:$C$250,"&lt;&gt;Closed",'RFI REGISTER'!$C$5:$C$250,"&lt;&gt;Cancelled",'RFI REGISTER'!$C$5:$C$250,"&lt;&gt;",'RFI REGISTER'!$A$5:$A$250,"&lt;&gt;"))</f>
        <v/>
      </c>
      <c r="F18" s="50" t="n"/>
      <c r="G18">
        <f>IF($A18="","",IFERROR(INDEX(SCOPES!$K$5:$K$200,MATCH($A18,SCOPES!$A$5:$A$200,0)),""))</f>
        <v/>
      </c>
      <c r="H18" s="125">
        <f>IF($A18="","",IFERROR(AVERAGEIFS('WP PROGRESS'!$F$2:$F$100,'WP PROGRESS'!$C$2:$C$100,$A18),""))</f>
        <v/>
      </c>
      <c r="I18" s="125">
        <f>IF($A18="","",IFERROR(AVERAGEIFS('WP PROGRESS'!$G$2:$G$100,'WP PROGRESS'!$C$2:$C$100,$A18),""))</f>
        <v/>
      </c>
      <c r="J18" s="125">
        <f>IF($A18="","",IFERROR(AVERAGEIFS('WP PROGRESS'!$H$2:$H$100,'WP PROGRESS'!$C$2:$C$100,$A18),""))</f>
        <v/>
      </c>
      <c r="K18" s="125">
        <f>IF($A18="","",IFERROR(AVERAGEIFS('WP PROGRESS'!$I$2:$I$100,'WP PROGRESS'!$C$2:$C$100,$A18),""))</f>
        <v/>
      </c>
      <c r="L18" s="125">
        <f>IF($A18="","",IFERROR(AVERAGEIFS('WP PROGRESS'!$J$2:$J$100,'WP PROGRESS'!$C$2:$C$100,$A18),""))</f>
        <v/>
      </c>
      <c r="M18" s="125">
        <f>IF($A18="","",IFERROR(AVERAGEIFS('WP PROGRESS'!$K$2:$K$100,'WP PROGRESS'!$C$2:$C$100,$A18),""))</f>
        <v/>
      </c>
      <c r="N18">
        <f>IF(OR($A18="",C18=0),"",COUNTIFS('WP PROGRESS'!$C$2:$C$100,$A18,'WP PROGRESS'!$V$2:$V$100,"Yes")+COUNTIFS('WP PROGRESS'!$C$2:$C$100,$A18,'WP PROGRESS'!$V$2:$V$100,"--")&amp;" of "&amp;C18)</f>
        <v/>
      </c>
      <c r="O18">
        <f>IF($A18="","",COUNTIFS('WP PROGRESS'!$C$2:$C$100,$A18,'WP PROGRESS'!$Y$2:$Y$100,"X"))</f>
        <v/>
      </c>
    </row>
    <row r="19" ht="15" customHeight="1" s="130">
      <c r="B19">
        <f>IF($A19="","",IFERROR(INDEX(SCOPES!$B$5:$B$200,MATCH($A19,SCOPES!$A$5:$A$200,0)),""))</f>
        <v/>
      </c>
      <c r="C19">
        <f>IF($A19="","",COUNTIF('WORK PACKAGES'!$G$2:$G$100,$A19))</f>
        <v/>
      </c>
      <c r="D19">
        <f>IF($A19="","",COUNTIFS(ISSUES!$O$5:$O$200,$A19,ISSUES!$H$5:$H$200,"&lt;&gt;Closed",ISSUES!$H$5:$H$200,"&lt;&gt;Resolved",ISSUES!$H$5:$H$200,"&lt;&gt;Cancelled",ISSUES!$H$5:$H$200,"&lt;&gt;",ISSUES!$A$5:$A$200,"&lt;&gt;"))</f>
        <v/>
      </c>
      <c r="E19">
        <f>IF($A19="","",COUNTIFS('RFI REGISTER'!$F$5:$F$250,"*"&amp;$A19&amp;"*",'RFI REGISTER'!$C$5:$C$250,"&lt;&gt;Closed",'RFI REGISTER'!$C$5:$C$250,"&lt;&gt;Cancelled",'RFI REGISTER'!$C$5:$C$250,"&lt;&gt;",'RFI REGISTER'!$A$5:$A$250,"&lt;&gt;"))</f>
        <v/>
      </c>
      <c r="F19" s="50" t="n"/>
      <c r="G19">
        <f>IF($A19="","",IFERROR(INDEX(SCOPES!$K$5:$K$200,MATCH($A19,SCOPES!$A$5:$A$200,0)),""))</f>
        <v/>
      </c>
      <c r="H19" s="125">
        <f>IF($A19="","",IFERROR(AVERAGEIFS('WP PROGRESS'!$F$2:$F$100,'WP PROGRESS'!$C$2:$C$100,$A19),""))</f>
        <v/>
      </c>
      <c r="I19" s="125">
        <f>IF($A19="","",IFERROR(AVERAGEIFS('WP PROGRESS'!$G$2:$G$100,'WP PROGRESS'!$C$2:$C$100,$A19),""))</f>
        <v/>
      </c>
      <c r="J19" s="125">
        <f>IF($A19="","",IFERROR(AVERAGEIFS('WP PROGRESS'!$H$2:$H$100,'WP PROGRESS'!$C$2:$C$100,$A19),""))</f>
        <v/>
      </c>
      <c r="K19" s="125">
        <f>IF($A19="","",IFERROR(AVERAGEIFS('WP PROGRESS'!$I$2:$I$100,'WP PROGRESS'!$C$2:$C$100,$A19),""))</f>
        <v/>
      </c>
      <c r="L19" s="125">
        <f>IF($A19="","",IFERROR(AVERAGEIFS('WP PROGRESS'!$J$2:$J$100,'WP PROGRESS'!$C$2:$C$100,$A19),""))</f>
        <v/>
      </c>
      <c r="M19" s="125">
        <f>IF($A19="","",IFERROR(AVERAGEIFS('WP PROGRESS'!$K$2:$K$100,'WP PROGRESS'!$C$2:$C$100,$A19),""))</f>
        <v/>
      </c>
      <c r="N19">
        <f>IF(OR($A19="",C19=0),"",COUNTIFS('WP PROGRESS'!$C$2:$C$100,$A19,'WP PROGRESS'!$V$2:$V$100,"Yes")+COUNTIFS('WP PROGRESS'!$C$2:$C$100,$A19,'WP PROGRESS'!$V$2:$V$100,"--")&amp;" of "&amp;C19)</f>
        <v/>
      </c>
      <c r="O19">
        <f>IF($A19="","",COUNTIFS('WP PROGRESS'!$C$2:$C$100,$A19,'WP PROGRESS'!$Y$2:$Y$100,"X"))</f>
        <v/>
      </c>
    </row>
    <row r="20" ht="15" customHeight="1" s="130">
      <c r="B20">
        <f>IF($A20="","",IFERROR(INDEX(SCOPES!$B$5:$B$200,MATCH($A20,SCOPES!$A$5:$A$200,0)),""))</f>
        <v/>
      </c>
      <c r="C20">
        <f>IF($A20="","",COUNTIF('WORK PACKAGES'!$G$2:$G$100,$A20))</f>
        <v/>
      </c>
      <c r="D20">
        <f>IF($A20="","",COUNTIFS(ISSUES!$O$5:$O$200,$A20,ISSUES!$H$5:$H$200,"&lt;&gt;Closed",ISSUES!$H$5:$H$200,"&lt;&gt;Resolved",ISSUES!$H$5:$H$200,"&lt;&gt;Cancelled",ISSUES!$H$5:$H$200,"&lt;&gt;",ISSUES!$A$5:$A$200,"&lt;&gt;"))</f>
        <v/>
      </c>
      <c r="E20">
        <f>IF($A20="","",COUNTIFS('RFI REGISTER'!$F$5:$F$250,"*"&amp;$A20&amp;"*",'RFI REGISTER'!$C$5:$C$250,"&lt;&gt;Closed",'RFI REGISTER'!$C$5:$C$250,"&lt;&gt;Cancelled",'RFI REGISTER'!$C$5:$C$250,"&lt;&gt;",'RFI REGISTER'!$A$5:$A$250,"&lt;&gt;"))</f>
        <v/>
      </c>
      <c r="F20" s="50" t="n"/>
      <c r="G20">
        <f>IF($A20="","",IFERROR(INDEX(SCOPES!$K$5:$K$200,MATCH($A20,SCOPES!$A$5:$A$200,0)),""))</f>
        <v/>
      </c>
      <c r="H20" s="125">
        <f>IF($A20="","",IFERROR(AVERAGEIFS('WP PROGRESS'!$F$2:$F$100,'WP PROGRESS'!$C$2:$C$100,$A20),""))</f>
        <v/>
      </c>
      <c r="I20" s="125">
        <f>IF($A20="","",IFERROR(AVERAGEIFS('WP PROGRESS'!$G$2:$G$100,'WP PROGRESS'!$C$2:$C$100,$A20),""))</f>
        <v/>
      </c>
      <c r="J20" s="125">
        <f>IF($A20="","",IFERROR(AVERAGEIFS('WP PROGRESS'!$H$2:$H$100,'WP PROGRESS'!$C$2:$C$100,$A20),""))</f>
        <v/>
      </c>
      <c r="K20" s="125">
        <f>IF($A20="","",IFERROR(AVERAGEIFS('WP PROGRESS'!$I$2:$I$100,'WP PROGRESS'!$C$2:$C$100,$A20),""))</f>
        <v/>
      </c>
      <c r="L20" s="125">
        <f>IF($A20="","",IFERROR(AVERAGEIFS('WP PROGRESS'!$J$2:$J$100,'WP PROGRESS'!$C$2:$C$100,$A20),""))</f>
        <v/>
      </c>
      <c r="M20" s="125">
        <f>IF($A20="","",IFERROR(AVERAGEIFS('WP PROGRESS'!$K$2:$K$100,'WP PROGRESS'!$C$2:$C$100,$A20),""))</f>
        <v/>
      </c>
      <c r="N20">
        <f>IF(OR($A20="",C20=0),"",COUNTIFS('WP PROGRESS'!$C$2:$C$100,$A20,'WP PROGRESS'!$V$2:$V$100,"Yes")+COUNTIFS('WP PROGRESS'!$C$2:$C$100,$A20,'WP PROGRESS'!$V$2:$V$100,"--")&amp;" of "&amp;C20)</f>
        <v/>
      </c>
      <c r="O20">
        <f>IF($A20="","",COUNTIFS('WP PROGRESS'!$C$2:$C$100,$A20,'WP PROGRESS'!$Y$2:$Y$100,"X"))</f>
        <v/>
      </c>
    </row>
    <row r="21" ht="15" customHeight="1" s="130">
      <c r="B21">
        <f>IF($A21="","",IFERROR(INDEX(SCOPES!$B$5:$B$200,MATCH($A21,SCOPES!$A$5:$A$200,0)),""))</f>
        <v/>
      </c>
      <c r="C21">
        <f>IF($A21="","",COUNTIF('WORK PACKAGES'!$G$2:$G$100,$A21))</f>
        <v/>
      </c>
      <c r="D21">
        <f>IF($A21="","",COUNTIFS(ISSUES!$O$5:$O$200,$A21,ISSUES!$H$5:$H$200,"&lt;&gt;Closed",ISSUES!$H$5:$H$200,"&lt;&gt;Resolved",ISSUES!$H$5:$H$200,"&lt;&gt;Cancelled",ISSUES!$H$5:$H$200,"&lt;&gt;",ISSUES!$A$5:$A$200,"&lt;&gt;"))</f>
        <v/>
      </c>
      <c r="E21">
        <f>IF($A21="","",COUNTIFS('RFI REGISTER'!$F$5:$F$250,"*"&amp;$A21&amp;"*",'RFI REGISTER'!$C$5:$C$250,"&lt;&gt;Closed",'RFI REGISTER'!$C$5:$C$250,"&lt;&gt;Cancelled",'RFI REGISTER'!$C$5:$C$250,"&lt;&gt;",'RFI REGISTER'!$A$5:$A$250,"&lt;&gt;"))</f>
        <v/>
      </c>
      <c r="F21" s="50" t="n"/>
      <c r="G21">
        <f>IF($A21="","",IFERROR(INDEX(SCOPES!$K$5:$K$200,MATCH($A21,SCOPES!$A$5:$A$200,0)),""))</f>
        <v/>
      </c>
      <c r="H21" s="125">
        <f>IF($A21="","",IFERROR(AVERAGEIFS('WP PROGRESS'!$F$2:$F$100,'WP PROGRESS'!$C$2:$C$100,$A21),""))</f>
        <v/>
      </c>
      <c r="I21" s="125">
        <f>IF($A21="","",IFERROR(AVERAGEIFS('WP PROGRESS'!$G$2:$G$100,'WP PROGRESS'!$C$2:$C$100,$A21),""))</f>
        <v/>
      </c>
      <c r="J21" s="125">
        <f>IF($A21="","",IFERROR(AVERAGEIFS('WP PROGRESS'!$H$2:$H$100,'WP PROGRESS'!$C$2:$C$100,$A21),""))</f>
        <v/>
      </c>
      <c r="K21" s="125">
        <f>IF($A21="","",IFERROR(AVERAGEIFS('WP PROGRESS'!$I$2:$I$100,'WP PROGRESS'!$C$2:$C$100,$A21),""))</f>
        <v/>
      </c>
      <c r="L21" s="125">
        <f>IF($A21="","",IFERROR(AVERAGEIFS('WP PROGRESS'!$J$2:$J$100,'WP PROGRESS'!$C$2:$C$100,$A21),""))</f>
        <v/>
      </c>
      <c r="M21" s="125">
        <f>IF($A21="","",IFERROR(AVERAGEIFS('WP PROGRESS'!$K$2:$K$100,'WP PROGRESS'!$C$2:$C$100,$A21),""))</f>
        <v/>
      </c>
      <c r="N21">
        <f>IF(OR($A21="",C21=0),"",COUNTIFS('WP PROGRESS'!$C$2:$C$100,$A21,'WP PROGRESS'!$V$2:$V$100,"Yes")+COUNTIFS('WP PROGRESS'!$C$2:$C$100,$A21,'WP PROGRESS'!$V$2:$V$100,"--")&amp;" of "&amp;C21)</f>
        <v/>
      </c>
      <c r="O21">
        <f>IF($A21="","",COUNTIFS('WP PROGRESS'!$C$2:$C$100,$A21,'WP PROGRESS'!$Y$2:$Y$100,"X"))</f>
        <v/>
      </c>
    </row>
    <row r="22" ht="15" customHeight="1" s="130">
      <c r="B22">
        <f>IF($A22="","",IFERROR(INDEX(SCOPES!$B$5:$B$200,MATCH($A22,SCOPES!$A$5:$A$200,0)),""))</f>
        <v/>
      </c>
      <c r="C22">
        <f>IF($A22="","",COUNTIF('WORK PACKAGES'!$G$2:$G$100,$A22))</f>
        <v/>
      </c>
      <c r="D22">
        <f>IF($A22="","",COUNTIFS(ISSUES!$O$5:$O$200,$A22,ISSUES!$H$5:$H$200,"&lt;&gt;Closed",ISSUES!$H$5:$H$200,"&lt;&gt;Resolved",ISSUES!$H$5:$H$200,"&lt;&gt;Cancelled",ISSUES!$H$5:$H$200,"&lt;&gt;",ISSUES!$A$5:$A$200,"&lt;&gt;"))</f>
        <v/>
      </c>
      <c r="E22">
        <f>IF($A22="","",COUNTIFS('RFI REGISTER'!$F$5:$F$250,"*"&amp;$A22&amp;"*",'RFI REGISTER'!$C$5:$C$250,"&lt;&gt;Closed",'RFI REGISTER'!$C$5:$C$250,"&lt;&gt;Cancelled",'RFI REGISTER'!$C$5:$C$250,"&lt;&gt;",'RFI REGISTER'!$A$5:$A$250,"&lt;&gt;"))</f>
        <v/>
      </c>
      <c r="F22" s="50" t="n"/>
      <c r="G22">
        <f>IF($A22="","",IFERROR(INDEX(SCOPES!$K$5:$K$200,MATCH($A22,SCOPES!$A$5:$A$200,0)),""))</f>
        <v/>
      </c>
      <c r="H22" s="125">
        <f>IF($A22="","",IFERROR(AVERAGEIFS('WP PROGRESS'!$F$2:$F$100,'WP PROGRESS'!$C$2:$C$100,$A22),""))</f>
        <v/>
      </c>
      <c r="I22" s="125">
        <f>IF($A22="","",IFERROR(AVERAGEIFS('WP PROGRESS'!$G$2:$G$100,'WP PROGRESS'!$C$2:$C$100,$A22),""))</f>
        <v/>
      </c>
      <c r="J22" s="125">
        <f>IF($A22="","",IFERROR(AVERAGEIFS('WP PROGRESS'!$H$2:$H$100,'WP PROGRESS'!$C$2:$C$100,$A22),""))</f>
        <v/>
      </c>
      <c r="K22" s="125">
        <f>IF($A22="","",IFERROR(AVERAGEIFS('WP PROGRESS'!$I$2:$I$100,'WP PROGRESS'!$C$2:$C$100,$A22),""))</f>
        <v/>
      </c>
      <c r="L22" s="125">
        <f>IF($A22="","",IFERROR(AVERAGEIFS('WP PROGRESS'!$J$2:$J$100,'WP PROGRESS'!$C$2:$C$100,$A22),""))</f>
        <v/>
      </c>
      <c r="M22" s="125">
        <f>IF($A22="","",IFERROR(AVERAGEIFS('WP PROGRESS'!$K$2:$K$100,'WP PROGRESS'!$C$2:$C$100,$A22),""))</f>
        <v/>
      </c>
      <c r="N22">
        <f>IF(OR($A22="",C22=0),"",COUNTIFS('WP PROGRESS'!$C$2:$C$100,$A22,'WP PROGRESS'!$V$2:$V$100,"Yes")+COUNTIFS('WP PROGRESS'!$C$2:$C$100,$A22,'WP PROGRESS'!$V$2:$V$100,"--")&amp;" of "&amp;C22)</f>
        <v/>
      </c>
      <c r="O22">
        <f>IF($A22="","",COUNTIFS('WP PROGRESS'!$C$2:$C$100,$A22,'WP PROGRESS'!$Y$2:$Y$100,"X"))</f>
        <v/>
      </c>
    </row>
    <row r="23" ht="15" customHeight="1" s="130">
      <c r="B23">
        <f>IF($A23="","",IFERROR(INDEX(SCOPES!$B$5:$B$200,MATCH($A23,SCOPES!$A$5:$A$200,0)),""))</f>
        <v/>
      </c>
      <c r="C23">
        <f>IF($A23="","",COUNTIF('WORK PACKAGES'!$G$2:$G$100,$A23))</f>
        <v/>
      </c>
      <c r="D23">
        <f>IF($A23="","",COUNTIFS(ISSUES!$O$5:$O$200,$A23,ISSUES!$H$5:$H$200,"&lt;&gt;Closed",ISSUES!$H$5:$H$200,"&lt;&gt;Resolved",ISSUES!$H$5:$H$200,"&lt;&gt;Cancelled",ISSUES!$H$5:$H$200,"&lt;&gt;",ISSUES!$A$5:$A$200,"&lt;&gt;"))</f>
        <v/>
      </c>
      <c r="E23">
        <f>IF($A23="","",COUNTIFS('RFI REGISTER'!$F$5:$F$250,"*"&amp;$A23&amp;"*",'RFI REGISTER'!$C$5:$C$250,"&lt;&gt;Closed",'RFI REGISTER'!$C$5:$C$250,"&lt;&gt;Cancelled",'RFI REGISTER'!$C$5:$C$250,"&lt;&gt;",'RFI REGISTER'!$A$5:$A$250,"&lt;&gt;"))</f>
        <v/>
      </c>
      <c r="F23" s="50" t="n"/>
      <c r="G23">
        <f>IF($A23="","",IFERROR(INDEX(SCOPES!$K$5:$K$200,MATCH($A23,SCOPES!$A$5:$A$200,0)),""))</f>
        <v/>
      </c>
      <c r="H23" s="125">
        <f>IF($A23="","",IFERROR(AVERAGEIFS('WP PROGRESS'!$F$2:$F$100,'WP PROGRESS'!$C$2:$C$100,$A23),""))</f>
        <v/>
      </c>
      <c r="I23" s="125">
        <f>IF($A23="","",IFERROR(AVERAGEIFS('WP PROGRESS'!$G$2:$G$100,'WP PROGRESS'!$C$2:$C$100,$A23),""))</f>
        <v/>
      </c>
      <c r="J23" s="125">
        <f>IF($A23="","",IFERROR(AVERAGEIFS('WP PROGRESS'!$H$2:$H$100,'WP PROGRESS'!$C$2:$C$100,$A23),""))</f>
        <v/>
      </c>
      <c r="K23" s="125">
        <f>IF($A23="","",IFERROR(AVERAGEIFS('WP PROGRESS'!$I$2:$I$100,'WP PROGRESS'!$C$2:$C$100,$A23),""))</f>
        <v/>
      </c>
      <c r="L23" s="125">
        <f>IF($A23="","",IFERROR(AVERAGEIFS('WP PROGRESS'!$J$2:$J$100,'WP PROGRESS'!$C$2:$C$100,$A23),""))</f>
        <v/>
      </c>
      <c r="M23" s="125">
        <f>IF($A23="","",IFERROR(AVERAGEIFS('WP PROGRESS'!$K$2:$K$100,'WP PROGRESS'!$C$2:$C$100,$A23),""))</f>
        <v/>
      </c>
      <c r="N23">
        <f>IF(OR($A23="",C23=0),"",COUNTIFS('WP PROGRESS'!$C$2:$C$100,$A23,'WP PROGRESS'!$V$2:$V$100,"Yes")+COUNTIFS('WP PROGRESS'!$C$2:$C$100,$A23,'WP PROGRESS'!$V$2:$V$100,"--")&amp;" of "&amp;C23)</f>
        <v/>
      </c>
      <c r="O23">
        <f>IF($A23="","",COUNTIFS('WP PROGRESS'!$C$2:$C$100,$A23,'WP PROGRESS'!$Y$2:$Y$100,"X"))</f>
        <v/>
      </c>
    </row>
    <row r="24" ht="15" customHeight="1" s="130">
      <c r="B24">
        <f>IF($A24="","",IFERROR(INDEX(SCOPES!$B$5:$B$200,MATCH($A24,SCOPES!$A$5:$A$200,0)),""))</f>
        <v/>
      </c>
      <c r="C24">
        <f>IF($A24="","",COUNTIF('WORK PACKAGES'!$G$2:$G$100,$A24))</f>
        <v/>
      </c>
      <c r="D24">
        <f>IF($A24="","",COUNTIFS(ISSUES!$O$5:$O$200,$A24,ISSUES!$H$5:$H$200,"&lt;&gt;Closed",ISSUES!$H$5:$H$200,"&lt;&gt;Resolved",ISSUES!$H$5:$H$200,"&lt;&gt;Cancelled",ISSUES!$H$5:$H$200,"&lt;&gt;",ISSUES!$A$5:$A$200,"&lt;&gt;"))</f>
        <v/>
      </c>
      <c r="E24">
        <f>IF($A24="","",COUNTIFS('RFI REGISTER'!$F$5:$F$250,"*"&amp;$A24&amp;"*",'RFI REGISTER'!$C$5:$C$250,"&lt;&gt;Closed",'RFI REGISTER'!$C$5:$C$250,"&lt;&gt;Cancelled",'RFI REGISTER'!$C$5:$C$250,"&lt;&gt;",'RFI REGISTER'!$A$5:$A$250,"&lt;&gt;"))</f>
        <v/>
      </c>
      <c r="F24" s="50" t="n"/>
      <c r="G24">
        <f>IF($A24="","",IFERROR(INDEX(SCOPES!$K$5:$K$200,MATCH($A24,SCOPES!$A$5:$A$200,0)),""))</f>
        <v/>
      </c>
      <c r="H24" s="125">
        <f>IF($A24="","",IFERROR(AVERAGEIFS('WP PROGRESS'!$F$2:$F$100,'WP PROGRESS'!$C$2:$C$100,$A24),""))</f>
        <v/>
      </c>
      <c r="I24" s="125">
        <f>IF($A24="","",IFERROR(AVERAGEIFS('WP PROGRESS'!$G$2:$G$100,'WP PROGRESS'!$C$2:$C$100,$A24),""))</f>
        <v/>
      </c>
      <c r="J24" s="125">
        <f>IF($A24="","",IFERROR(AVERAGEIFS('WP PROGRESS'!$H$2:$H$100,'WP PROGRESS'!$C$2:$C$100,$A24),""))</f>
        <v/>
      </c>
      <c r="K24" s="125">
        <f>IF($A24="","",IFERROR(AVERAGEIFS('WP PROGRESS'!$I$2:$I$100,'WP PROGRESS'!$C$2:$C$100,$A24),""))</f>
        <v/>
      </c>
      <c r="L24" s="125">
        <f>IF($A24="","",IFERROR(AVERAGEIFS('WP PROGRESS'!$J$2:$J$100,'WP PROGRESS'!$C$2:$C$100,$A24),""))</f>
        <v/>
      </c>
      <c r="M24" s="125">
        <f>IF($A24="","",IFERROR(AVERAGEIFS('WP PROGRESS'!$K$2:$K$100,'WP PROGRESS'!$C$2:$C$100,$A24),""))</f>
        <v/>
      </c>
      <c r="N24">
        <f>IF(OR($A24="",C24=0),"",COUNTIFS('WP PROGRESS'!$C$2:$C$100,$A24,'WP PROGRESS'!$V$2:$V$100,"Yes")+COUNTIFS('WP PROGRESS'!$C$2:$C$100,$A24,'WP PROGRESS'!$V$2:$V$100,"--")&amp;" of "&amp;C24)</f>
        <v/>
      </c>
      <c r="O24">
        <f>IF($A24="","",COUNTIFS('WP PROGRESS'!$C$2:$C$100,$A24,'WP PROGRESS'!$Y$2:$Y$100,"X"))</f>
        <v/>
      </c>
    </row>
    <row r="25" ht="15" customHeight="1" s="130">
      <c r="B25">
        <f>IF($A25="","",IFERROR(INDEX(SCOPES!$B$5:$B$200,MATCH($A25,SCOPES!$A$5:$A$200,0)),""))</f>
        <v/>
      </c>
      <c r="C25">
        <f>IF($A25="","",COUNTIF('WORK PACKAGES'!$G$2:$G$100,$A25))</f>
        <v/>
      </c>
      <c r="D25">
        <f>IF($A25="","",COUNTIFS(ISSUES!$O$5:$O$200,$A25,ISSUES!$H$5:$H$200,"&lt;&gt;Closed",ISSUES!$H$5:$H$200,"&lt;&gt;Resolved",ISSUES!$H$5:$H$200,"&lt;&gt;Cancelled",ISSUES!$H$5:$H$200,"&lt;&gt;",ISSUES!$A$5:$A$200,"&lt;&gt;"))</f>
        <v/>
      </c>
      <c r="E25">
        <f>IF($A25="","",COUNTIFS('RFI REGISTER'!$F$5:$F$250,"*"&amp;$A25&amp;"*",'RFI REGISTER'!$C$5:$C$250,"&lt;&gt;Closed",'RFI REGISTER'!$C$5:$C$250,"&lt;&gt;Cancelled",'RFI REGISTER'!$C$5:$C$250,"&lt;&gt;",'RFI REGISTER'!$A$5:$A$250,"&lt;&gt;"))</f>
        <v/>
      </c>
      <c r="F25" s="50" t="n"/>
      <c r="G25">
        <f>IF($A25="","",IFERROR(INDEX(SCOPES!$K$5:$K$200,MATCH($A25,SCOPES!$A$5:$A$200,0)),""))</f>
        <v/>
      </c>
      <c r="H25" s="125">
        <f>IF($A25="","",IFERROR(AVERAGEIFS('WP PROGRESS'!$F$2:$F$100,'WP PROGRESS'!$C$2:$C$100,$A25),""))</f>
        <v/>
      </c>
      <c r="I25" s="125">
        <f>IF($A25="","",IFERROR(AVERAGEIFS('WP PROGRESS'!$G$2:$G$100,'WP PROGRESS'!$C$2:$C$100,$A25),""))</f>
        <v/>
      </c>
      <c r="J25" s="125">
        <f>IF($A25="","",IFERROR(AVERAGEIFS('WP PROGRESS'!$H$2:$H$100,'WP PROGRESS'!$C$2:$C$100,$A25),""))</f>
        <v/>
      </c>
      <c r="K25" s="125">
        <f>IF($A25="","",IFERROR(AVERAGEIFS('WP PROGRESS'!$I$2:$I$100,'WP PROGRESS'!$C$2:$C$100,$A25),""))</f>
        <v/>
      </c>
      <c r="L25" s="125">
        <f>IF($A25="","",IFERROR(AVERAGEIFS('WP PROGRESS'!$J$2:$J$100,'WP PROGRESS'!$C$2:$C$100,$A25),""))</f>
        <v/>
      </c>
      <c r="M25" s="125">
        <f>IF($A25="","",IFERROR(AVERAGEIFS('WP PROGRESS'!$K$2:$K$100,'WP PROGRESS'!$C$2:$C$100,$A25),""))</f>
        <v/>
      </c>
      <c r="N25">
        <f>IF(OR($A25="",C25=0),"",COUNTIFS('WP PROGRESS'!$C$2:$C$100,$A25,'WP PROGRESS'!$V$2:$V$100,"Yes")+COUNTIFS('WP PROGRESS'!$C$2:$C$100,$A25,'WP PROGRESS'!$V$2:$V$100,"--")&amp;" of "&amp;C25)</f>
        <v/>
      </c>
      <c r="O25">
        <f>IF($A25="","",COUNTIFS('WP PROGRESS'!$C$2:$C$100,$A25,'WP PROGRESS'!$Y$2:$Y$100,"X"))</f>
        <v/>
      </c>
    </row>
    <row r="26" ht="15" customHeight="1" s="130">
      <c r="B26">
        <f>IF($A26="","",IFERROR(INDEX(SCOPES!$B$5:$B$200,MATCH($A26,SCOPES!$A$5:$A$200,0)),""))</f>
        <v/>
      </c>
      <c r="C26">
        <f>IF($A26="","",COUNTIF('WORK PACKAGES'!$G$2:$G$100,$A26))</f>
        <v/>
      </c>
      <c r="D26">
        <f>IF($A26="","",COUNTIFS(ISSUES!$O$5:$O$200,$A26,ISSUES!$H$5:$H$200,"&lt;&gt;Closed",ISSUES!$H$5:$H$200,"&lt;&gt;Resolved",ISSUES!$H$5:$H$200,"&lt;&gt;Cancelled",ISSUES!$H$5:$H$200,"&lt;&gt;",ISSUES!$A$5:$A$200,"&lt;&gt;"))</f>
        <v/>
      </c>
      <c r="E26">
        <f>IF($A26="","",COUNTIFS('RFI REGISTER'!$F$5:$F$250,"*"&amp;$A26&amp;"*",'RFI REGISTER'!$C$5:$C$250,"&lt;&gt;Closed",'RFI REGISTER'!$C$5:$C$250,"&lt;&gt;Cancelled",'RFI REGISTER'!$C$5:$C$250,"&lt;&gt;",'RFI REGISTER'!$A$5:$A$250,"&lt;&gt;"))</f>
        <v/>
      </c>
      <c r="F26" s="50" t="n"/>
      <c r="G26">
        <f>IF($A26="","",IFERROR(INDEX(SCOPES!$K$5:$K$200,MATCH($A26,SCOPES!$A$5:$A$200,0)),""))</f>
        <v/>
      </c>
      <c r="H26" s="125">
        <f>IF($A26="","",IFERROR(AVERAGEIFS('WP PROGRESS'!$F$2:$F$100,'WP PROGRESS'!$C$2:$C$100,$A26),""))</f>
        <v/>
      </c>
      <c r="I26" s="125">
        <f>IF($A26="","",IFERROR(AVERAGEIFS('WP PROGRESS'!$G$2:$G$100,'WP PROGRESS'!$C$2:$C$100,$A26),""))</f>
        <v/>
      </c>
      <c r="J26" s="125">
        <f>IF($A26="","",IFERROR(AVERAGEIFS('WP PROGRESS'!$H$2:$H$100,'WP PROGRESS'!$C$2:$C$100,$A26),""))</f>
        <v/>
      </c>
      <c r="K26" s="125">
        <f>IF($A26="","",IFERROR(AVERAGEIFS('WP PROGRESS'!$I$2:$I$100,'WP PROGRESS'!$C$2:$C$100,$A26),""))</f>
        <v/>
      </c>
      <c r="L26" s="125">
        <f>IF($A26="","",IFERROR(AVERAGEIFS('WP PROGRESS'!$J$2:$J$100,'WP PROGRESS'!$C$2:$C$100,$A26),""))</f>
        <v/>
      </c>
      <c r="M26" s="125">
        <f>IF($A26="","",IFERROR(AVERAGEIFS('WP PROGRESS'!$K$2:$K$100,'WP PROGRESS'!$C$2:$C$100,$A26),""))</f>
        <v/>
      </c>
      <c r="N26">
        <f>IF(OR($A26="",C26=0),"",COUNTIFS('WP PROGRESS'!$C$2:$C$100,$A26,'WP PROGRESS'!$V$2:$V$100,"Yes")+COUNTIFS('WP PROGRESS'!$C$2:$C$100,$A26,'WP PROGRESS'!$V$2:$V$100,"--")&amp;" of "&amp;C26)</f>
        <v/>
      </c>
      <c r="O26">
        <f>IF($A26="","",COUNTIFS('WP PROGRESS'!$C$2:$C$100,$A26,'WP PROGRESS'!$Y$2:$Y$100,"X"))</f>
        <v/>
      </c>
    </row>
    <row r="27" ht="15" customHeight="1" s="130">
      <c r="B27">
        <f>IF($A27="","",IFERROR(INDEX(SCOPES!$B$5:$B$200,MATCH($A27,SCOPES!$A$5:$A$200,0)),""))</f>
        <v/>
      </c>
      <c r="C27">
        <f>IF($A27="","",COUNTIF('WORK PACKAGES'!$G$2:$G$100,$A27))</f>
        <v/>
      </c>
      <c r="D27">
        <f>IF($A27="","",COUNTIFS(ISSUES!$O$5:$O$200,$A27,ISSUES!$H$5:$H$200,"&lt;&gt;Closed",ISSUES!$H$5:$H$200,"&lt;&gt;Resolved",ISSUES!$H$5:$H$200,"&lt;&gt;Cancelled",ISSUES!$H$5:$H$200,"&lt;&gt;",ISSUES!$A$5:$A$200,"&lt;&gt;"))</f>
        <v/>
      </c>
      <c r="E27">
        <f>IF($A27="","",COUNTIFS('RFI REGISTER'!$F$5:$F$250,"*"&amp;$A27&amp;"*",'RFI REGISTER'!$C$5:$C$250,"&lt;&gt;Closed",'RFI REGISTER'!$C$5:$C$250,"&lt;&gt;Cancelled",'RFI REGISTER'!$C$5:$C$250,"&lt;&gt;",'RFI REGISTER'!$A$5:$A$250,"&lt;&gt;"))</f>
        <v/>
      </c>
      <c r="F27" s="50" t="n"/>
      <c r="G27">
        <f>IF($A27="","",IFERROR(INDEX(SCOPES!$K$5:$K$200,MATCH($A27,SCOPES!$A$5:$A$200,0)),""))</f>
        <v/>
      </c>
      <c r="H27" s="125">
        <f>IF($A27="","",IFERROR(AVERAGEIFS('WP PROGRESS'!$F$2:$F$100,'WP PROGRESS'!$C$2:$C$100,$A27),""))</f>
        <v/>
      </c>
      <c r="I27" s="125">
        <f>IF($A27="","",IFERROR(AVERAGEIFS('WP PROGRESS'!$G$2:$G$100,'WP PROGRESS'!$C$2:$C$100,$A27),""))</f>
        <v/>
      </c>
      <c r="J27" s="125">
        <f>IF($A27="","",IFERROR(AVERAGEIFS('WP PROGRESS'!$H$2:$H$100,'WP PROGRESS'!$C$2:$C$100,$A27),""))</f>
        <v/>
      </c>
      <c r="K27" s="125">
        <f>IF($A27="","",IFERROR(AVERAGEIFS('WP PROGRESS'!$I$2:$I$100,'WP PROGRESS'!$C$2:$C$100,$A27),""))</f>
        <v/>
      </c>
      <c r="L27" s="125">
        <f>IF($A27="","",IFERROR(AVERAGEIFS('WP PROGRESS'!$J$2:$J$100,'WP PROGRESS'!$C$2:$C$100,$A27),""))</f>
        <v/>
      </c>
      <c r="M27" s="125">
        <f>IF($A27="","",IFERROR(AVERAGEIFS('WP PROGRESS'!$K$2:$K$100,'WP PROGRESS'!$C$2:$C$100,$A27),""))</f>
        <v/>
      </c>
      <c r="N27">
        <f>IF(OR($A27="",C27=0),"",COUNTIFS('WP PROGRESS'!$C$2:$C$100,$A27,'WP PROGRESS'!$V$2:$V$100,"Yes")+COUNTIFS('WP PROGRESS'!$C$2:$C$100,$A27,'WP PROGRESS'!$V$2:$V$100,"--")&amp;" of "&amp;C27)</f>
        <v/>
      </c>
      <c r="O27">
        <f>IF($A27="","",COUNTIFS('WP PROGRESS'!$C$2:$C$100,$A27,'WP PROGRESS'!$Y$2:$Y$100,"X"))</f>
        <v/>
      </c>
    </row>
    <row r="28" ht="15" customHeight="1" s="130">
      <c r="B28">
        <f>IF($A28="","",IFERROR(INDEX(SCOPES!$B$5:$B$200,MATCH($A28,SCOPES!$A$5:$A$200,0)),""))</f>
        <v/>
      </c>
      <c r="C28">
        <f>IF($A28="","",COUNTIF('WORK PACKAGES'!$G$2:$G$100,$A28))</f>
        <v/>
      </c>
      <c r="D28">
        <f>IF($A28="","",COUNTIFS(ISSUES!$O$5:$O$200,$A28,ISSUES!$H$5:$H$200,"&lt;&gt;Closed",ISSUES!$H$5:$H$200,"&lt;&gt;Resolved",ISSUES!$H$5:$H$200,"&lt;&gt;Cancelled",ISSUES!$H$5:$H$200,"&lt;&gt;",ISSUES!$A$5:$A$200,"&lt;&gt;"))</f>
        <v/>
      </c>
      <c r="E28">
        <f>IF($A28="","",COUNTIFS('RFI REGISTER'!$F$5:$F$250,"*"&amp;$A28&amp;"*",'RFI REGISTER'!$C$5:$C$250,"&lt;&gt;Closed",'RFI REGISTER'!$C$5:$C$250,"&lt;&gt;Cancelled",'RFI REGISTER'!$C$5:$C$250,"&lt;&gt;",'RFI REGISTER'!$A$5:$A$250,"&lt;&gt;"))</f>
        <v/>
      </c>
      <c r="F28" s="50" t="n"/>
      <c r="G28">
        <f>IF($A28="","",IFERROR(INDEX(SCOPES!$K$5:$K$200,MATCH($A28,SCOPES!$A$5:$A$200,0)),""))</f>
        <v/>
      </c>
      <c r="H28" s="125">
        <f>IF($A28="","",IFERROR(AVERAGEIFS('WP PROGRESS'!$F$2:$F$100,'WP PROGRESS'!$C$2:$C$100,$A28),""))</f>
        <v/>
      </c>
      <c r="I28" s="125">
        <f>IF($A28="","",IFERROR(AVERAGEIFS('WP PROGRESS'!$G$2:$G$100,'WP PROGRESS'!$C$2:$C$100,$A28),""))</f>
        <v/>
      </c>
      <c r="J28" s="125">
        <f>IF($A28="","",IFERROR(AVERAGEIFS('WP PROGRESS'!$H$2:$H$100,'WP PROGRESS'!$C$2:$C$100,$A28),""))</f>
        <v/>
      </c>
      <c r="K28" s="125">
        <f>IF($A28="","",IFERROR(AVERAGEIFS('WP PROGRESS'!$I$2:$I$100,'WP PROGRESS'!$C$2:$C$100,$A28),""))</f>
        <v/>
      </c>
      <c r="L28" s="125">
        <f>IF($A28="","",IFERROR(AVERAGEIFS('WP PROGRESS'!$J$2:$J$100,'WP PROGRESS'!$C$2:$C$100,$A28),""))</f>
        <v/>
      </c>
      <c r="M28" s="125">
        <f>IF($A28="","",IFERROR(AVERAGEIFS('WP PROGRESS'!$K$2:$K$100,'WP PROGRESS'!$C$2:$C$100,$A28),""))</f>
        <v/>
      </c>
      <c r="N28">
        <f>IF(OR($A28="",C28=0),"",COUNTIFS('WP PROGRESS'!$C$2:$C$100,$A28,'WP PROGRESS'!$V$2:$V$100,"Yes")+COUNTIFS('WP PROGRESS'!$C$2:$C$100,$A28,'WP PROGRESS'!$V$2:$V$100,"--")&amp;" of "&amp;C28)</f>
        <v/>
      </c>
      <c r="O28">
        <f>IF($A28="","",COUNTIFS('WP PROGRESS'!$C$2:$C$100,$A28,'WP PROGRESS'!$Y$2:$Y$100,"X"))</f>
        <v/>
      </c>
    </row>
    <row r="29" ht="15" customHeight="1" s="130">
      <c r="B29">
        <f>IF($A29="","",IFERROR(INDEX(SCOPES!$B$5:$B$200,MATCH($A29,SCOPES!$A$5:$A$200,0)),""))</f>
        <v/>
      </c>
      <c r="C29">
        <f>IF($A29="","",COUNTIF('WORK PACKAGES'!$G$2:$G$100,$A29))</f>
        <v/>
      </c>
      <c r="D29">
        <f>IF($A29="","",COUNTIFS(ISSUES!$O$5:$O$200,$A29,ISSUES!$H$5:$H$200,"&lt;&gt;Closed",ISSUES!$H$5:$H$200,"&lt;&gt;Resolved",ISSUES!$H$5:$H$200,"&lt;&gt;Cancelled",ISSUES!$H$5:$H$200,"&lt;&gt;",ISSUES!$A$5:$A$200,"&lt;&gt;"))</f>
        <v/>
      </c>
      <c r="E29">
        <f>IF($A29="","",COUNTIFS('RFI REGISTER'!$F$5:$F$250,"*"&amp;$A29&amp;"*",'RFI REGISTER'!$C$5:$C$250,"&lt;&gt;Closed",'RFI REGISTER'!$C$5:$C$250,"&lt;&gt;Cancelled",'RFI REGISTER'!$C$5:$C$250,"&lt;&gt;",'RFI REGISTER'!$A$5:$A$250,"&lt;&gt;"))</f>
        <v/>
      </c>
      <c r="F29" s="50" t="n"/>
      <c r="G29">
        <f>IF($A29="","",IFERROR(INDEX(SCOPES!$K$5:$K$200,MATCH($A29,SCOPES!$A$5:$A$200,0)),""))</f>
        <v/>
      </c>
      <c r="H29" s="125">
        <f>IF($A29="","",IFERROR(AVERAGEIFS('WP PROGRESS'!$F$2:$F$100,'WP PROGRESS'!$C$2:$C$100,$A29),""))</f>
        <v/>
      </c>
      <c r="I29" s="125">
        <f>IF($A29="","",IFERROR(AVERAGEIFS('WP PROGRESS'!$G$2:$G$100,'WP PROGRESS'!$C$2:$C$100,$A29),""))</f>
        <v/>
      </c>
      <c r="J29" s="125">
        <f>IF($A29="","",IFERROR(AVERAGEIFS('WP PROGRESS'!$H$2:$H$100,'WP PROGRESS'!$C$2:$C$100,$A29),""))</f>
        <v/>
      </c>
      <c r="K29" s="125">
        <f>IF($A29="","",IFERROR(AVERAGEIFS('WP PROGRESS'!$I$2:$I$100,'WP PROGRESS'!$C$2:$C$100,$A29),""))</f>
        <v/>
      </c>
      <c r="L29" s="125">
        <f>IF($A29="","",IFERROR(AVERAGEIFS('WP PROGRESS'!$J$2:$J$100,'WP PROGRESS'!$C$2:$C$100,$A29),""))</f>
        <v/>
      </c>
      <c r="M29" s="125">
        <f>IF($A29="","",IFERROR(AVERAGEIFS('WP PROGRESS'!$K$2:$K$100,'WP PROGRESS'!$C$2:$C$100,$A29),""))</f>
        <v/>
      </c>
      <c r="N29">
        <f>IF(OR($A29="",C29=0),"",COUNTIFS('WP PROGRESS'!$C$2:$C$100,$A29,'WP PROGRESS'!$V$2:$V$100,"Yes")+COUNTIFS('WP PROGRESS'!$C$2:$C$100,$A29,'WP PROGRESS'!$V$2:$V$100,"--")&amp;" of "&amp;C29)</f>
        <v/>
      </c>
      <c r="O29">
        <f>IF($A29="","",COUNTIFS('WP PROGRESS'!$C$2:$C$100,$A29,'WP PROGRESS'!$Y$2:$Y$100,"X"))</f>
        <v/>
      </c>
    </row>
    <row r="30" ht="15" customHeight="1" s="130">
      <c r="B30">
        <f>IF($A30="","",IFERROR(INDEX(SCOPES!$B$5:$B$200,MATCH($A30,SCOPES!$A$5:$A$200,0)),""))</f>
        <v/>
      </c>
      <c r="C30">
        <f>IF($A30="","",COUNTIF('WORK PACKAGES'!$G$2:$G$100,$A30))</f>
        <v/>
      </c>
      <c r="D30">
        <f>IF($A30="","",COUNTIFS(ISSUES!$O$5:$O$200,$A30,ISSUES!$H$5:$H$200,"&lt;&gt;Closed",ISSUES!$H$5:$H$200,"&lt;&gt;Resolved",ISSUES!$H$5:$H$200,"&lt;&gt;Cancelled",ISSUES!$H$5:$H$200,"&lt;&gt;",ISSUES!$A$5:$A$200,"&lt;&gt;"))</f>
        <v/>
      </c>
      <c r="E30">
        <f>IF($A30="","",COUNTIFS('RFI REGISTER'!$F$5:$F$250,"*"&amp;$A30&amp;"*",'RFI REGISTER'!$C$5:$C$250,"&lt;&gt;Closed",'RFI REGISTER'!$C$5:$C$250,"&lt;&gt;Cancelled",'RFI REGISTER'!$C$5:$C$250,"&lt;&gt;",'RFI REGISTER'!$A$5:$A$250,"&lt;&gt;"))</f>
        <v/>
      </c>
      <c r="F30" s="50" t="n"/>
      <c r="G30">
        <f>IF($A30="","",IFERROR(INDEX(SCOPES!$K$5:$K$200,MATCH($A30,SCOPES!$A$5:$A$200,0)),""))</f>
        <v/>
      </c>
      <c r="H30" s="125">
        <f>IF($A30="","",IFERROR(AVERAGEIFS('WP PROGRESS'!$F$2:$F$100,'WP PROGRESS'!$C$2:$C$100,$A30),""))</f>
        <v/>
      </c>
      <c r="I30" s="125">
        <f>IF($A30="","",IFERROR(AVERAGEIFS('WP PROGRESS'!$G$2:$G$100,'WP PROGRESS'!$C$2:$C$100,$A30),""))</f>
        <v/>
      </c>
      <c r="J30" s="125">
        <f>IF($A30="","",IFERROR(AVERAGEIFS('WP PROGRESS'!$H$2:$H$100,'WP PROGRESS'!$C$2:$C$100,$A30),""))</f>
        <v/>
      </c>
      <c r="K30" s="125">
        <f>IF($A30="","",IFERROR(AVERAGEIFS('WP PROGRESS'!$I$2:$I$100,'WP PROGRESS'!$C$2:$C$100,$A30),""))</f>
        <v/>
      </c>
      <c r="L30" s="125">
        <f>IF($A30="","",IFERROR(AVERAGEIFS('WP PROGRESS'!$J$2:$J$100,'WP PROGRESS'!$C$2:$C$100,$A30),""))</f>
        <v/>
      </c>
      <c r="M30" s="125">
        <f>IF($A30="","",IFERROR(AVERAGEIFS('WP PROGRESS'!$K$2:$K$100,'WP PROGRESS'!$C$2:$C$100,$A30),""))</f>
        <v/>
      </c>
      <c r="N30">
        <f>IF(OR($A30="",C30=0),"",COUNTIFS('WP PROGRESS'!$C$2:$C$100,$A30,'WP PROGRESS'!$V$2:$V$100,"Yes")+COUNTIFS('WP PROGRESS'!$C$2:$C$100,$A30,'WP PROGRESS'!$V$2:$V$100,"--")&amp;" of "&amp;C30)</f>
        <v/>
      </c>
      <c r="O30">
        <f>IF($A30="","",COUNTIFS('WP PROGRESS'!$C$2:$C$100,$A30,'WP PROGRESS'!$Y$2:$Y$100,"X"))</f>
        <v/>
      </c>
    </row>
    <row r="31" ht="15" customHeight="1" s="130">
      <c r="B31">
        <f>IF($A31="","",IFERROR(INDEX(SCOPES!$B$5:$B$200,MATCH($A31,SCOPES!$A$5:$A$200,0)),""))</f>
        <v/>
      </c>
      <c r="C31">
        <f>IF($A31="","",COUNTIF('WORK PACKAGES'!$G$2:$G$100,$A31))</f>
        <v/>
      </c>
      <c r="D31">
        <f>IF($A31="","",COUNTIFS(ISSUES!$O$5:$O$200,$A31,ISSUES!$H$5:$H$200,"&lt;&gt;Closed",ISSUES!$H$5:$H$200,"&lt;&gt;Resolved",ISSUES!$H$5:$H$200,"&lt;&gt;Cancelled",ISSUES!$H$5:$H$200,"&lt;&gt;",ISSUES!$A$5:$A$200,"&lt;&gt;"))</f>
        <v/>
      </c>
      <c r="E31">
        <f>IF($A31="","",COUNTIFS('RFI REGISTER'!$F$5:$F$250,"*"&amp;$A31&amp;"*",'RFI REGISTER'!$C$5:$C$250,"&lt;&gt;Closed",'RFI REGISTER'!$C$5:$C$250,"&lt;&gt;Cancelled",'RFI REGISTER'!$C$5:$C$250,"&lt;&gt;",'RFI REGISTER'!$A$5:$A$250,"&lt;&gt;"))</f>
        <v/>
      </c>
      <c r="F31" s="50" t="n"/>
      <c r="G31">
        <f>IF($A31="","",IFERROR(INDEX(SCOPES!$K$5:$K$200,MATCH($A31,SCOPES!$A$5:$A$200,0)),""))</f>
        <v/>
      </c>
      <c r="H31" s="125">
        <f>IF($A31="","",IFERROR(AVERAGEIFS('WP PROGRESS'!$F$2:$F$100,'WP PROGRESS'!$C$2:$C$100,$A31),""))</f>
        <v/>
      </c>
      <c r="I31" s="125">
        <f>IF($A31="","",IFERROR(AVERAGEIFS('WP PROGRESS'!$G$2:$G$100,'WP PROGRESS'!$C$2:$C$100,$A31),""))</f>
        <v/>
      </c>
      <c r="J31" s="125">
        <f>IF($A31="","",IFERROR(AVERAGEIFS('WP PROGRESS'!$H$2:$H$100,'WP PROGRESS'!$C$2:$C$100,$A31),""))</f>
        <v/>
      </c>
      <c r="K31" s="125">
        <f>IF($A31="","",IFERROR(AVERAGEIFS('WP PROGRESS'!$I$2:$I$100,'WP PROGRESS'!$C$2:$C$100,$A31),""))</f>
        <v/>
      </c>
      <c r="L31" s="125">
        <f>IF($A31="","",IFERROR(AVERAGEIFS('WP PROGRESS'!$J$2:$J$100,'WP PROGRESS'!$C$2:$C$100,$A31),""))</f>
        <v/>
      </c>
      <c r="M31" s="125">
        <f>IF($A31="","",IFERROR(AVERAGEIFS('WP PROGRESS'!$K$2:$K$100,'WP PROGRESS'!$C$2:$C$100,$A31),""))</f>
        <v/>
      </c>
      <c r="N31">
        <f>IF(OR($A31="",C31=0),"",COUNTIFS('WP PROGRESS'!$C$2:$C$100,$A31,'WP PROGRESS'!$V$2:$V$100,"Yes")+COUNTIFS('WP PROGRESS'!$C$2:$C$100,$A31,'WP PROGRESS'!$V$2:$V$100,"--")&amp;" of "&amp;C31)</f>
        <v/>
      </c>
      <c r="O31">
        <f>IF($A31="","",COUNTIFS('WP PROGRESS'!$C$2:$C$100,$A31,'WP PROGRESS'!$Y$2:$Y$100,"X"))</f>
        <v/>
      </c>
    </row>
    <row r="32" ht="15" customHeight="1" s="130">
      <c r="B32">
        <f>IF($A32="","",IFERROR(INDEX(SCOPES!$B$5:$B$200,MATCH($A32,SCOPES!$A$5:$A$200,0)),""))</f>
        <v/>
      </c>
      <c r="C32">
        <f>IF($A32="","",COUNTIF('WORK PACKAGES'!$G$2:$G$100,$A32))</f>
        <v/>
      </c>
      <c r="D32">
        <f>IF($A32="","",COUNTIFS(ISSUES!$O$5:$O$200,$A32,ISSUES!$H$5:$H$200,"&lt;&gt;Closed",ISSUES!$H$5:$H$200,"&lt;&gt;Resolved",ISSUES!$H$5:$H$200,"&lt;&gt;Cancelled",ISSUES!$H$5:$H$200,"&lt;&gt;",ISSUES!$A$5:$A$200,"&lt;&gt;"))</f>
        <v/>
      </c>
      <c r="E32">
        <f>IF($A32="","",COUNTIFS('RFI REGISTER'!$F$5:$F$250,"*"&amp;$A32&amp;"*",'RFI REGISTER'!$C$5:$C$250,"&lt;&gt;Closed",'RFI REGISTER'!$C$5:$C$250,"&lt;&gt;Cancelled",'RFI REGISTER'!$C$5:$C$250,"&lt;&gt;",'RFI REGISTER'!$A$5:$A$250,"&lt;&gt;"))</f>
        <v/>
      </c>
      <c r="F32" s="50" t="n"/>
      <c r="G32">
        <f>IF($A32="","",IFERROR(INDEX(SCOPES!$K$5:$K$200,MATCH($A32,SCOPES!$A$5:$A$200,0)),""))</f>
        <v/>
      </c>
      <c r="H32" s="125">
        <f>IF($A32="","",IFERROR(AVERAGEIFS('WP PROGRESS'!$F$2:$F$100,'WP PROGRESS'!$C$2:$C$100,$A32),""))</f>
        <v/>
      </c>
      <c r="I32" s="125">
        <f>IF($A32="","",IFERROR(AVERAGEIFS('WP PROGRESS'!$G$2:$G$100,'WP PROGRESS'!$C$2:$C$100,$A32),""))</f>
        <v/>
      </c>
      <c r="J32" s="125">
        <f>IF($A32="","",IFERROR(AVERAGEIFS('WP PROGRESS'!$H$2:$H$100,'WP PROGRESS'!$C$2:$C$100,$A32),""))</f>
        <v/>
      </c>
      <c r="K32" s="125">
        <f>IF($A32="","",IFERROR(AVERAGEIFS('WP PROGRESS'!$I$2:$I$100,'WP PROGRESS'!$C$2:$C$100,$A32),""))</f>
        <v/>
      </c>
      <c r="L32" s="125">
        <f>IF($A32="","",IFERROR(AVERAGEIFS('WP PROGRESS'!$J$2:$J$100,'WP PROGRESS'!$C$2:$C$100,$A32),""))</f>
        <v/>
      </c>
      <c r="M32" s="125">
        <f>IF($A32="","",IFERROR(AVERAGEIFS('WP PROGRESS'!$K$2:$K$100,'WP PROGRESS'!$C$2:$C$100,$A32),""))</f>
        <v/>
      </c>
      <c r="N32">
        <f>IF(OR($A32="",C32=0),"",COUNTIFS('WP PROGRESS'!$C$2:$C$100,$A32,'WP PROGRESS'!$V$2:$V$100,"Yes")+COUNTIFS('WP PROGRESS'!$C$2:$C$100,$A32,'WP PROGRESS'!$V$2:$V$100,"--")&amp;" of "&amp;C32)</f>
        <v/>
      </c>
      <c r="O32">
        <f>IF($A32="","",COUNTIFS('WP PROGRESS'!$C$2:$C$100,$A32,'WP PROGRESS'!$Y$2:$Y$100,"X"))</f>
        <v/>
      </c>
    </row>
    <row r="33" ht="15" customHeight="1" s="130">
      <c r="B33">
        <f>IF($A33="","",IFERROR(INDEX(SCOPES!$B$5:$B$200,MATCH($A33,SCOPES!$A$5:$A$200,0)),""))</f>
        <v/>
      </c>
      <c r="C33">
        <f>IF($A33="","",COUNTIF('WORK PACKAGES'!$G$2:$G$100,$A33))</f>
        <v/>
      </c>
      <c r="D33">
        <f>IF($A33="","",COUNTIFS(ISSUES!$O$5:$O$200,$A33,ISSUES!$H$5:$H$200,"&lt;&gt;Closed",ISSUES!$H$5:$H$200,"&lt;&gt;Resolved",ISSUES!$H$5:$H$200,"&lt;&gt;Cancelled",ISSUES!$H$5:$H$200,"&lt;&gt;",ISSUES!$A$5:$A$200,"&lt;&gt;"))</f>
        <v/>
      </c>
      <c r="E33">
        <f>IF($A33="","",COUNTIFS('RFI REGISTER'!$F$5:$F$250,"*"&amp;$A33&amp;"*",'RFI REGISTER'!$C$5:$C$250,"&lt;&gt;Closed",'RFI REGISTER'!$C$5:$C$250,"&lt;&gt;Cancelled",'RFI REGISTER'!$C$5:$C$250,"&lt;&gt;",'RFI REGISTER'!$A$5:$A$250,"&lt;&gt;"))</f>
        <v/>
      </c>
      <c r="F33" s="50" t="n"/>
      <c r="G33">
        <f>IF($A33="","",IFERROR(INDEX(SCOPES!$K$5:$K$200,MATCH($A33,SCOPES!$A$5:$A$200,0)),""))</f>
        <v/>
      </c>
      <c r="H33" s="125">
        <f>IF($A33="","",IFERROR(AVERAGEIFS('WP PROGRESS'!$F$2:$F$100,'WP PROGRESS'!$C$2:$C$100,$A33),""))</f>
        <v/>
      </c>
      <c r="I33" s="125">
        <f>IF($A33="","",IFERROR(AVERAGEIFS('WP PROGRESS'!$G$2:$G$100,'WP PROGRESS'!$C$2:$C$100,$A33),""))</f>
        <v/>
      </c>
      <c r="J33" s="125">
        <f>IF($A33="","",IFERROR(AVERAGEIFS('WP PROGRESS'!$H$2:$H$100,'WP PROGRESS'!$C$2:$C$100,$A33),""))</f>
        <v/>
      </c>
      <c r="K33" s="125">
        <f>IF($A33="","",IFERROR(AVERAGEIFS('WP PROGRESS'!$I$2:$I$100,'WP PROGRESS'!$C$2:$C$100,$A33),""))</f>
        <v/>
      </c>
      <c r="L33" s="125">
        <f>IF($A33="","",IFERROR(AVERAGEIFS('WP PROGRESS'!$J$2:$J$100,'WP PROGRESS'!$C$2:$C$100,$A33),""))</f>
        <v/>
      </c>
      <c r="M33" s="125">
        <f>IF($A33="","",IFERROR(AVERAGEIFS('WP PROGRESS'!$K$2:$K$100,'WP PROGRESS'!$C$2:$C$100,$A33),""))</f>
        <v/>
      </c>
      <c r="N33">
        <f>IF(OR($A33="",C33=0),"",COUNTIFS('WP PROGRESS'!$C$2:$C$100,$A33,'WP PROGRESS'!$V$2:$V$100,"Yes")+COUNTIFS('WP PROGRESS'!$C$2:$C$100,$A33,'WP PROGRESS'!$V$2:$V$100,"--")&amp;" of "&amp;C33)</f>
        <v/>
      </c>
      <c r="O33">
        <f>IF($A33="","",COUNTIFS('WP PROGRESS'!$C$2:$C$100,$A33,'WP PROGRESS'!$Y$2:$Y$100,"X"))</f>
        <v/>
      </c>
    </row>
    <row r="34" ht="15" customHeight="1" s="130">
      <c r="B34">
        <f>IF($A34="","",IFERROR(INDEX(SCOPES!$B$5:$B$200,MATCH($A34,SCOPES!$A$5:$A$200,0)),""))</f>
        <v/>
      </c>
      <c r="C34">
        <f>IF($A34="","",COUNTIF('WORK PACKAGES'!$G$2:$G$100,$A34))</f>
        <v/>
      </c>
      <c r="D34">
        <f>IF($A34="","",COUNTIFS(ISSUES!$O$5:$O$200,$A34,ISSUES!$H$5:$H$200,"&lt;&gt;Closed",ISSUES!$H$5:$H$200,"&lt;&gt;Resolved",ISSUES!$H$5:$H$200,"&lt;&gt;Cancelled",ISSUES!$H$5:$H$200,"&lt;&gt;",ISSUES!$A$5:$A$200,"&lt;&gt;"))</f>
        <v/>
      </c>
      <c r="E34">
        <f>IF($A34="","",COUNTIFS('RFI REGISTER'!$F$5:$F$250,"*"&amp;$A34&amp;"*",'RFI REGISTER'!$C$5:$C$250,"&lt;&gt;Closed",'RFI REGISTER'!$C$5:$C$250,"&lt;&gt;Cancelled",'RFI REGISTER'!$C$5:$C$250,"&lt;&gt;",'RFI REGISTER'!$A$5:$A$250,"&lt;&gt;"))</f>
        <v/>
      </c>
      <c r="F34" s="50" t="n"/>
      <c r="G34">
        <f>IF($A34="","",IFERROR(INDEX(SCOPES!$K$5:$K$200,MATCH($A34,SCOPES!$A$5:$A$200,0)),""))</f>
        <v/>
      </c>
      <c r="H34" s="125">
        <f>IF($A34="","",IFERROR(AVERAGEIFS('WP PROGRESS'!$F$2:$F$100,'WP PROGRESS'!$C$2:$C$100,$A34),""))</f>
        <v/>
      </c>
      <c r="I34" s="125">
        <f>IF($A34="","",IFERROR(AVERAGEIFS('WP PROGRESS'!$G$2:$G$100,'WP PROGRESS'!$C$2:$C$100,$A34),""))</f>
        <v/>
      </c>
      <c r="J34" s="125">
        <f>IF($A34="","",IFERROR(AVERAGEIFS('WP PROGRESS'!$H$2:$H$100,'WP PROGRESS'!$C$2:$C$100,$A34),""))</f>
        <v/>
      </c>
      <c r="K34" s="125">
        <f>IF($A34="","",IFERROR(AVERAGEIFS('WP PROGRESS'!$I$2:$I$100,'WP PROGRESS'!$C$2:$C$100,$A34),""))</f>
        <v/>
      </c>
      <c r="L34" s="125">
        <f>IF($A34="","",IFERROR(AVERAGEIFS('WP PROGRESS'!$J$2:$J$100,'WP PROGRESS'!$C$2:$C$100,$A34),""))</f>
        <v/>
      </c>
      <c r="M34" s="125">
        <f>IF($A34="","",IFERROR(AVERAGEIFS('WP PROGRESS'!$K$2:$K$100,'WP PROGRESS'!$C$2:$C$100,$A34),""))</f>
        <v/>
      </c>
      <c r="N34">
        <f>IF(OR($A34="",C34=0),"",COUNTIFS('WP PROGRESS'!$C$2:$C$100,$A34,'WP PROGRESS'!$V$2:$V$100,"Yes")+COUNTIFS('WP PROGRESS'!$C$2:$C$100,$A34,'WP PROGRESS'!$V$2:$V$100,"--")&amp;" of "&amp;C34)</f>
        <v/>
      </c>
      <c r="O34">
        <f>IF($A34="","",COUNTIFS('WP PROGRESS'!$C$2:$C$100,$A34,'WP PROGRESS'!$Y$2:$Y$100,"X"))</f>
        <v/>
      </c>
    </row>
    <row r="35" ht="15" customHeight="1" s="130">
      <c r="B35">
        <f>IF($A35="","",IFERROR(INDEX(SCOPES!$B$5:$B$200,MATCH($A35,SCOPES!$A$5:$A$200,0)),""))</f>
        <v/>
      </c>
      <c r="C35">
        <f>IF($A35="","",COUNTIF('WORK PACKAGES'!$G$2:$G$100,$A35))</f>
        <v/>
      </c>
      <c r="D35">
        <f>IF($A35="","",COUNTIFS(ISSUES!$O$5:$O$200,$A35,ISSUES!$H$5:$H$200,"&lt;&gt;Closed",ISSUES!$H$5:$H$200,"&lt;&gt;Resolved",ISSUES!$H$5:$H$200,"&lt;&gt;Cancelled",ISSUES!$H$5:$H$200,"&lt;&gt;",ISSUES!$A$5:$A$200,"&lt;&gt;"))</f>
        <v/>
      </c>
      <c r="E35">
        <f>IF($A35="","",COUNTIFS('RFI REGISTER'!$F$5:$F$250,"*"&amp;$A35&amp;"*",'RFI REGISTER'!$C$5:$C$250,"&lt;&gt;Closed",'RFI REGISTER'!$C$5:$C$250,"&lt;&gt;Cancelled",'RFI REGISTER'!$C$5:$C$250,"&lt;&gt;",'RFI REGISTER'!$A$5:$A$250,"&lt;&gt;"))</f>
        <v/>
      </c>
      <c r="F35" s="50" t="n"/>
      <c r="G35">
        <f>IF($A35="","",IFERROR(INDEX(SCOPES!$K$5:$K$200,MATCH($A35,SCOPES!$A$5:$A$200,0)),""))</f>
        <v/>
      </c>
      <c r="H35" s="125">
        <f>IF($A35="","",IFERROR(AVERAGEIFS('WP PROGRESS'!$F$2:$F$100,'WP PROGRESS'!$C$2:$C$100,$A35),""))</f>
        <v/>
      </c>
      <c r="I35" s="125">
        <f>IF($A35="","",IFERROR(AVERAGEIFS('WP PROGRESS'!$G$2:$G$100,'WP PROGRESS'!$C$2:$C$100,$A35),""))</f>
        <v/>
      </c>
      <c r="J35" s="125">
        <f>IF($A35="","",IFERROR(AVERAGEIFS('WP PROGRESS'!$H$2:$H$100,'WP PROGRESS'!$C$2:$C$100,$A35),""))</f>
        <v/>
      </c>
      <c r="K35" s="125">
        <f>IF($A35="","",IFERROR(AVERAGEIFS('WP PROGRESS'!$I$2:$I$100,'WP PROGRESS'!$C$2:$C$100,$A35),""))</f>
        <v/>
      </c>
      <c r="L35" s="125">
        <f>IF($A35="","",IFERROR(AVERAGEIFS('WP PROGRESS'!$J$2:$J$100,'WP PROGRESS'!$C$2:$C$100,$A35),""))</f>
        <v/>
      </c>
      <c r="M35" s="125">
        <f>IF($A35="","",IFERROR(AVERAGEIFS('WP PROGRESS'!$K$2:$K$100,'WP PROGRESS'!$C$2:$C$100,$A35),""))</f>
        <v/>
      </c>
      <c r="N35">
        <f>IF(OR($A35="",C35=0),"",COUNTIFS('WP PROGRESS'!$C$2:$C$100,$A35,'WP PROGRESS'!$V$2:$V$100,"Yes")+COUNTIFS('WP PROGRESS'!$C$2:$C$100,$A35,'WP PROGRESS'!$V$2:$V$100,"--")&amp;" of "&amp;C35)</f>
        <v/>
      </c>
      <c r="O35">
        <f>IF($A35="","",COUNTIFS('WP PROGRESS'!$C$2:$C$100,$A35,'WP PROGRESS'!$Y$2:$Y$100,"X"))</f>
        <v/>
      </c>
    </row>
    <row r="36" ht="15" customHeight="1" s="130">
      <c r="B36">
        <f>IF($A36="","",IFERROR(INDEX(SCOPES!$B$5:$B$200,MATCH($A36,SCOPES!$A$5:$A$200,0)),""))</f>
        <v/>
      </c>
      <c r="C36">
        <f>IF($A36="","",COUNTIF('WORK PACKAGES'!$G$2:$G$100,$A36))</f>
        <v/>
      </c>
      <c r="D36">
        <f>IF($A36="","",COUNTIFS(ISSUES!$O$5:$O$200,$A36,ISSUES!$H$5:$H$200,"&lt;&gt;Closed",ISSUES!$H$5:$H$200,"&lt;&gt;Resolved",ISSUES!$H$5:$H$200,"&lt;&gt;Cancelled",ISSUES!$H$5:$H$200,"&lt;&gt;",ISSUES!$A$5:$A$200,"&lt;&gt;"))</f>
        <v/>
      </c>
      <c r="E36">
        <f>IF($A36="","",COUNTIFS('RFI REGISTER'!$F$5:$F$250,"*"&amp;$A36&amp;"*",'RFI REGISTER'!$C$5:$C$250,"&lt;&gt;Closed",'RFI REGISTER'!$C$5:$C$250,"&lt;&gt;Cancelled",'RFI REGISTER'!$C$5:$C$250,"&lt;&gt;",'RFI REGISTER'!$A$5:$A$250,"&lt;&gt;"))</f>
        <v/>
      </c>
      <c r="F36" s="50" t="n"/>
      <c r="G36">
        <f>IF($A36="","",IFERROR(INDEX(SCOPES!$K$5:$K$200,MATCH($A36,SCOPES!$A$5:$A$200,0)),""))</f>
        <v/>
      </c>
      <c r="H36" s="125">
        <f>IF($A36="","",IFERROR(AVERAGEIFS('WP PROGRESS'!$F$2:$F$100,'WP PROGRESS'!$C$2:$C$100,$A36),""))</f>
        <v/>
      </c>
      <c r="I36" s="125">
        <f>IF($A36="","",IFERROR(AVERAGEIFS('WP PROGRESS'!$G$2:$G$100,'WP PROGRESS'!$C$2:$C$100,$A36),""))</f>
        <v/>
      </c>
      <c r="J36" s="125">
        <f>IF($A36="","",IFERROR(AVERAGEIFS('WP PROGRESS'!$H$2:$H$100,'WP PROGRESS'!$C$2:$C$100,$A36),""))</f>
        <v/>
      </c>
      <c r="K36" s="125">
        <f>IF($A36="","",IFERROR(AVERAGEIFS('WP PROGRESS'!$I$2:$I$100,'WP PROGRESS'!$C$2:$C$100,$A36),""))</f>
        <v/>
      </c>
      <c r="L36" s="125">
        <f>IF($A36="","",IFERROR(AVERAGEIFS('WP PROGRESS'!$J$2:$J$100,'WP PROGRESS'!$C$2:$C$100,$A36),""))</f>
        <v/>
      </c>
      <c r="M36" s="125">
        <f>IF($A36="","",IFERROR(AVERAGEIFS('WP PROGRESS'!$K$2:$K$100,'WP PROGRESS'!$C$2:$C$100,$A36),""))</f>
        <v/>
      </c>
      <c r="N36">
        <f>IF(OR($A36="",C36=0),"",COUNTIFS('WP PROGRESS'!$C$2:$C$100,$A36,'WP PROGRESS'!$V$2:$V$100,"Yes")+COUNTIFS('WP PROGRESS'!$C$2:$C$100,$A36,'WP PROGRESS'!$V$2:$V$100,"--")&amp;" of "&amp;C36)</f>
        <v/>
      </c>
      <c r="O36">
        <f>IF($A36="","",COUNTIFS('WP PROGRESS'!$C$2:$C$100,$A36,'WP PROGRESS'!$Y$2:$Y$100,"X"))</f>
        <v/>
      </c>
    </row>
    <row r="37" ht="15" customHeight="1" s="130">
      <c r="B37">
        <f>IF($A37="","",IFERROR(INDEX(SCOPES!$B$5:$B$200,MATCH($A37,SCOPES!$A$5:$A$200,0)),""))</f>
        <v/>
      </c>
      <c r="C37">
        <f>IF($A37="","",COUNTIF('WORK PACKAGES'!$G$2:$G$100,$A37))</f>
        <v/>
      </c>
      <c r="D37">
        <f>IF($A37="","",COUNTIFS(ISSUES!$O$5:$O$200,$A37,ISSUES!$H$5:$H$200,"&lt;&gt;Closed",ISSUES!$H$5:$H$200,"&lt;&gt;Resolved",ISSUES!$H$5:$H$200,"&lt;&gt;Cancelled",ISSUES!$H$5:$H$200,"&lt;&gt;",ISSUES!$A$5:$A$200,"&lt;&gt;"))</f>
        <v/>
      </c>
      <c r="E37">
        <f>IF($A37="","",COUNTIFS('RFI REGISTER'!$F$5:$F$250,"*"&amp;$A37&amp;"*",'RFI REGISTER'!$C$5:$C$250,"&lt;&gt;Closed",'RFI REGISTER'!$C$5:$C$250,"&lt;&gt;Cancelled",'RFI REGISTER'!$C$5:$C$250,"&lt;&gt;",'RFI REGISTER'!$A$5:$A$250,"&lt;&gt;"))</f>
        <v/>
      </c>
      <c r="F37" s="50" t="n"/>
      <c r="G37">
        <f>IF($A37="","",IFERROR(INDEX(SCOPES!$K$5:$K$200,MATCH($A37,SCOPES!$A$5:$A$200,0)),""))</f>
        <v/>
      </c>
      <c r="H37" s="125">
        <f>IF($A37="","",IFERROR(AVERAGEIFS('WP PROGRESS'!$F$2:$F$100,'WP PROGRESS'!$C$2:$C$100,$A37),""))</f>
        <v/>
      </c>
      <c r="I37" s="125">
        <f>IF($A37="","",IFERROR(AVERAGEIFS('WP PROGRESS'!$G$2:$G$100,'WP PROGRESS'!$C$2:$C$100,$A37),""))</f>
        <v/>
      </c>
      <c r="J37" s="125">
        <f>IF($A37="","",IFERROR(AVERAGEIFS('WP PROGRESS'!$H$2:$H$100,'WP PROGRESS'!$C$2:$C$100,$A37),""))</f>
        <v/>
      </c>
      <c r="K37" s="125">
        <f>IF($A37="","",IFERROR(AVERAGEIFS('WP PROGRESS'!$I$2:$I$100,'WP PROGRESS'!$C$2:$C$100,$A37),""))</f>
        <v/>
      </c>
      <c r="L37" s="125">
        <f>IF($A37="","",IFERROR(AVERAGEIFS('WP PROGRESS'!$J$2:$J$100,'WP PROGRESS'!$C$2:$C$100,$A37),""))</f>
        <v/>
      </c>
      <c r="M37" s="125">
        <f>IF($A37="","",IFERROR(AVERAGEIFS('WP PROGRESS'!$K$2:$K$100,'WP PROGRESS'!$C$2:$C$100,$A37),""))</f>
        <v/>
      </c>
      <c r="N37">
        <f>IF(OR($A37="",C37=0),"",COUNTIFS('WP PROGRESS'!$C$2:$C$100,$A37,'WP PROGRESS'!$V$2:$V$100,"Yes")+COUNTIFS('WP PROGRESS'!$C$2:$C$100,$A37,'WP PROGRESS'!$V$2:$V$100,"--")&amp;" of "&amp;C37)</f>
        <v/>
      </c>
      <c r="O37">
        <f>IF($A37="","",COUNTIFS('WP PROGRESS'!$C$2:$C$100,$A37,'WP PROGRESS'!$Y$2:$Y$100,"X"))</f>
        <v/>
      </c>
    </row>
    <row r="38" ht="15" customHeight="1" s="130">
      <c r="B38">
        <f>IF($A38="","",IFERROR(INDEX(SCOPES!$B$5:$B$200,MATCH($A38,SCOPES!$A$5:$A$200,0)),""))</f>
        <v/>
      </c>
      <c r="C38">
        <f>IF($A38="","",COUNTIF('WORK PACKAGES'!$G$2:$G$100,$A38))</f>
        <v/>
      </c>
      <c r="D38">
        <f>IF($A38="","",COUNTIFS(ISSUES!$O$5:$O$200,$A38,ISSUES!$H$5:$H$200,"&lt;&gt;Closed",ISSUES!$H$5:$H$200,"&lt;&gt;Resolved",ISSUES!$H$5:$H$200,"&lt;&gt;Cancelled",ISSUES!$H$5:$H$200,"&lt;&gt;",ISSUES!$A$5:$A$200,"&lt;&gt;"))</f>
        <v/>
      </c>
      <c r="E38">
        <f>IF($A38="","",COUNTIFS('RFI REGISTER'!$F$5:$F$250,"*"&amp;$A38&amp;"*",'RFI REGISTER'!$C$5:$C$250,"&lt;&gt;Closed",'RFI REGISTER'!$C$5:$C$250,"&lt;&gt;Cancelled",'RFI REGISTER'!$C$5:$C$250,"&lt;&gt;",'RFI REGISTER'!$A$5:$A$250,"&lt;&gt;"))</f>
        <v/>
      </c>
      <c r="F38" s="50" t="n"/>
      <c r="G38">
        <f>IF($A38="","",IFERROR(INDEX(SCOPES!$K$5:$K$200,MATCH($A38,SCOPES!$A$5:$A$200,0)),""))</f>
        <v/>
      </c>
      <c r="H38" s="125">
        <f>IF($A38="","",IFERROR(AVERAGEIFS('WP PROGRESS'!$F$2:$F$100,'WP PROGRESS'!$C$2:$C$100,$A38),""))</f>
        <v/>
      </c>
      <c r="I38" s="125">
        <f>IF($A38="","",IFERROR(AVERAGEIFS('WP PROGRESS'!$G$2:$G$100,'WP PROGRESS'!$C$2:$C$100,$A38),""))</f>
        <v/>
      </c>
      <c r="J38" s="125">
        <f>IF($A38="","",IFERROR(AVERAGEIFS('WP PROGRESS'!$H$2:$H$100,'WP PROGRESS'!$C$2:$C$100,$A38),""))</f>
        <v/>
      </c>
      <c r="K38" s="125">
        <f>IF($A38="","",IFERROR(AVERAGEIFS('WP PROGRESS'!$I$2:$I$100,'WP PROGRESS'!$C$2:$C$100,$A38),""))</f>
        <v/>
      </c>
      <c r="L38" s="125">
        <f>IF($A38="","",IFERROR(AVERAGEIFS('WP PROGRESS'!$J$2:$J$100,'WP PROGRESS'!$C$2:$C$100,$A38),""))</f>
        <v/>
      </c>
      <c r="M38" s="125">
        <f>IF($A38="","",IFERROR(AVERAGEIFS('WP PROGRESS'!$K$2:$K$100,'WP PROGRESS'!$C$2:$C$100,$A38),""))</f>
        <v/>
      </c>
      <c r="N38">
        <f>IF(OR($A38="",C38=0),"",COUNTIFS('WP PROGRESS'!$C$2:$C$100,$A38,'WP PROGRESS'!$V$2:$V$100,"Yes")+COUNTIFS('WP PROGRESS'!$C$2:$C$100,$A38,'WP PROGRESS'!$V$2:$V$100,"--")&amp;" of "&amp;C38)</f>
        <v/>
      </c>
      <c r="O38">
        <f>IF($A38="","",COUNTIFS('WP PROGRESS'!$C$2:$C$100,$A38,'WP PROGRESS'!$Y$2:$Y$100,"X"))</f>
        <v/>
      </c>
    </row>
    <row r="39" ht="15" customHeight="1" s="130">
      <c r="B39">
        <f>IF($A39="","",IFERROR(INDEX(SCOPES!$B$5:$B$200,MATCH($A39,SCOPES!$A$5:$A$200,0)),""))</f>
        <v/>
      </c>
      <c r="C39">
        <f>IF($A39="","",COUNTIF('WORK PACKAGES'!$G$2:$G$100,$A39))</f>
        <v/>
      </c>
      <c r="D39">
        <f>IF($A39="","",COUNTIFS(ISSUES!$O$5:$O$200,$A39,ISSUES!$H$5:$H$200,"&lt;&gt;Closed",ISSUES!$H$5:$H$200,"&lt;&gt;Resolved",ISSUES!$H$5:$H$200,"&lt;&gt;Cancelled",ISSUES!$H$5:$H$200,"&lt;&gt;",ISSUES!$A$5:$A$200,"&lt;&gt;"))</f>
        <v/>
      </c>
      <c r="E39">
        <f>IF($A39="","",COUNTIFS('RFI REGISTER'!$F$5:$F$250,"*"&amp;$A39&amp;"*",'RFI REGISTER'!$C$5:$C$250,"&lt;&gt;Closed",'RFI REGISTER'!$C$5:$C$250,"&lt;&gt;Cancelled",'RFI REGISTER'!$C$5:$C$250,"&lt;&gt;",'RFI REGISTER'!$A$5:$A$250,"&lt;&gt;"))</f>
        <v/>
      </c>
      <c r="F39" s="50" t="n"/>
      <c r="G39">
        <f>IF($A39="","",IFERROR(INDEX(SCOPES!$K$5:$K$200,MATCH($A39,SCOPES!$A$5:$A$200,0)),""))</f>
        <v/>
      </c>
      <c r="H39" s="125">
        <f>IF($A39="","",IFERROR(AVERAGEIFS('WP PROGRESS'!$F$2:$F$100,'WP PROGRESS'!$C$2:$C$100,$A39),""))</f>
        <v/>
      </c>
      <c r="I39" s="125">
        <f>IF($A39="","",IFERROR(AVERAGEIFS('WP PROGRESS'!$G$2:$G$100,'WP PROGRESS'!$C$2:$C$100,$A39),""))</f>
        <v/>
      </c>
      <c r="J39" s="125">
        <f>IF($A39="","",IFERROR(AVERAGEIFS('WP PROGRESS'!$H$2:$H$100,'WP PROGRESS'!$C$2:$C$100,$A39),""))</f>
        <v/>
      </c>
      <c r="K39" s="125">
        <f>IF($A39="","",IFERROR(AVERAGEIFS('WP PROGRESS'!$I$2:$I$100,'WP PROGRESS'!$C$2:$C$100,$A39),""))</f>
        <v/>
      </c>
      <c r="L39" s="125">
        <f>IF($A39="","",IFERROR(AVERAGEIFS('WP PROGRESS'!$J$2:$J$100,'WP PROGRESS'!$C$2:$C$100,$A39),""))</f>
        <v/>
      </c>
      <c r="M39" s="125">
        <f>IF($A39="","",IFERROR(AVERAGEIFS('WP PROGRESS'!$K$2:$K$100,'WP PROGRESS'!$C$2:$C$100,$A39),""))</f>
        <v/>
      </c>
      <c r="N39">
        <f>IF(OR($A39="",C39=0),"",COUNTIFS('WP PROGRESS'!$C$2:$C$100,$A39,'WP PROGRESS'!$V$2:$V$100,"Yes")+COUNTIFS('WP PROGRESS'!$C$2:$C$100,$A39,'WP PROGRESS'!$V$2:$V$100,"--")&amp;" of "&amp;C39)</f>
        <v/>
      </c>
      <c r="O39">
        <f>IF($A39="","",COUNTIFS('WP PROGRESS'!$C$2:$C$100,$A39,'WP PROGRESS'!$Y$2:$Y$100,"X"))</f>
        <v/>
      </c>
    </row>
    <row r="40" ht="15" customHeight="1" s="130">
      <c r="B40">
        <f>IF($A40="","",IFERROR(INDEX(SCOPES!$B$5:$B$200,MATCH($A40,SCOPES!$A$5:$A$200,0)),""))</f>
        <v/>
      </c>
      <c r="C40">
        <f>IF($A40="","",COUNTIF('WORK PACKAGES'!$G$2:$G$100,$A40))</f>
        <v/>
      </c>
      <c r="D40">
        <f>IF($A40="","",COUNTIFS(ISSUES!$O$5:$O$200,$A40,ISSUES!$H$5:$H$200,"&lt;&gt;Closed",ISSUES!$H$5:$H$200,"&lt;&gt;Resolved",ISSUES!$H$5:$H$200,"&lt;&gt;Cancelled",ISSUES!$H$5:$H$200,"&lt;&gt;",ISSUES!$A$5:$A$200,"&lt;&gt;"))</f>
        <v/>
      </c>
      <c r="E40">
        <f>IF($A40="","",COUNTIFS('RFI REGISTER'!$F$5:$F$250,"*"&amp;$A40&amp;"*",'RFI REGISTER'!$C$5:$C$250,"&lt;&gt;Closed",'RFI REGISTER'!$C$5:$C$250,"&lt;&gt;Cancelled",'RFI REGISTER'!$C$5:$C$250,"&lt;&gt;",'RFI REGISTER'!$A$5:$A$250,"&lt;&gt;"))</f>
        <v/>
      </c>
      <c r="F40" s="50" t="n"/>
      <c r="G40">
        <f>IF($A40="","",IFERROR(INDEX(SCOPES!$K$5:$K$200,MATCH($A40,SCOPES!$A$5:$A$200,0)),""))</f>
        <v/>
      </c>
      <c r="H40" s="125">
        <f>IF($A40="","",IFERROR(AVERAGEIFS('WP PROGRESS'!$F$2:$F$100,'WP PROGRESS'!$C$2:$C$100,$A40),""))</f>
        <v/>
      </c>
      <c r="I40" s="125">
        <f>IF($A40="","",IFERROR(AVERAGEIFS('WP PROGRESS'!$G$2:$G$100,'WP PROGRESS'!$C$2:$C$100,$A40),""))</f>
        <v/>
      </c>
      <c r="J40" s="125">
        <f>IF($A40="","",IFERROR(AVERAGEIFS('WP PROGRESS'!$H$2:$H$100,'WP PROGRESS'!$C$2:$C$100,$A40),""))</f>
        <v/>
      </c>
      <c r="K40" s="125">
        <f>IF($A40="","",IFERROR(AVERAGEIFS('WP PROGRESS'!$I$2:$I$100,'WP PROGRESS'!$C$2:$C$100,$A40),""))</f>
        <v/>
      </c>
      <c r="L40" s="125">
        <f>IF($A40="","",IFERROR(AVERAGEIFS('WP PROGRESS'!$J$2:$J$100,'WP PROGRESS'!$C$2:$C$100,$A40),""))</f>
        <v/>
      </c>
      <c r="M40" s="125">
        <f>IF($A40="","",IFERROR(AVERAGEIFS('WP PROGRESS'!$K$2:$K$100,'WP PROGRESS'!$C$2:$C$100,$A40),""))</f>
        <v/>
      </c>
      <c r="N40">
        <f>IF(OR($A40="",C40=0),"",COUNTIFS('WP PROGRESS'!$C$2:$C$100,$A40,'WP PROGRESS'!$V$2:$V$100,"Yes")+COUNTIFS('WP PROGRESS'!$C$2:$C$100,$A40,'WP PROGRESS'!$V$2:$V$100,"--")&amp;" of "&amp;C40)</f>
        <v/>
      </c>
      <c r="O40">
        <f>IF($A40="","",COUNTIFS('WP PROGRESS'!$C$2:$C$100,$A40,'WP PROGRESS'!$Y$2:$Y$100,"X"))</f>
        <v/>
      </c>
    </row>
    <row r="41" ht="15" customHeight="1" s="130">
      <c r="B41">
        <f>IF($A41="","",IFERROR(INDEX(SCOPES!$B$5:$B$200,MATCH($A41,SCOPES!$A$5:$A$200,0)),""))</f>
        <v/>
      </c>
      <c r="C41">
        <f>IF($A41="","",COUNTIF('WORK PACKAGES'!$G$2:$G$100,$A41))</f>
        <v/>
      </c>
      <c r="D41">
        <f>IF($A41="","",COUNTIFS(ISSUES!$O$5:$O$200,$A41,ISSUES!$H$5:$H$200,"&lt;&gt;Closed",ISSUES!$H$5:$H$200,"&lt;&gt;Resolved",ISSUES!$H$5:$H$200,"&lt;&gt;Cancelled",ISSUES!$H$5:$H$200,"&lt;&gt;",ISSUES!$A$5:$A$200,"&lt;&gt;"))</f>
        <v/>
      </c>
      <c r="E41">
        <f>IF($A41="","",COUNTIFS('RFI REGISTER'!$F$5:$F$250,"*"&amp;$A41&amp;"*",'RFI REGISTER'!$C$5:$C$250,"&lt;&gt;Closed",'RFI REGISTER'!$C$5:$C$250,"&lt;&gt;Cancelled",'RFI REGISTER'!$C$5:$C$250,"&lt;&gt;",'RFI REGISTER'!$A$5:$A$250,"&lt;&gt;"))</f>
        <v/>
      </c>
      <c r="F41" s="50" t="n"/>
      <c r="G41">
        <f>IF($A41="","",IFERROR(INDEX(SCOPES!$K$5:$K$200,MATCH($A41,SCOPES!$A$5:$A$200,0)),""))</f>
        <v/>
      </c>
      <c r="H41" s="125">
        <f>IF($A41="","",IFERROR(AVERAGEIFS('WP PROGRESS'!$F$2:$F$100,'WP PROGRESS'!$C$2:$C$100,$A41),""))</f>
        <v/>
      </c>
      <c r="I41" s="125">
        <f>IF($A41="","",IFERROR(AVERAGEIFS('WP PROGRESS'!$G$2:$G$100,'WP PROGRESS'!$C$2:$C$100,$A41),""))</f>
        <v/>
      </c>
      <c r="J41" s="125">
        <f>IF($A41="","",IFERROR(AVERAGEIFS('WP PROGRESS'!$H$2:$H$100,'WP PROGRESS'!$C$2:$C$100,$A41),""))</f>
        <v/>
      </c>
      <c r="K41" s="125">
        <f>IF($A41="","",IFERROR(AVERAGEIFS('WP PROGRESS'!$I$2:$I$100,'WP PROGRESS'!$C$2:$C$100,$A41),""))</f>
        <v/>
      </c>
      <c r="L41" s="125">
        <f>IF($A41="","",IFERROR(AVERAGEIFS('WP PROGRESS'!$J$2:$J$100,'WP PROGRESS'!$C$2:$C$100,$A41),""))</f>
        <v/>
      </c>
      <c r="M41" s="125">
        <f>IF($A41="","",IFERROR(AVERAGEIFS('WP PROGRESS'!$K$2:$K$100,'WP PROGRESS'!$C$2:$C$100,$A41),""))</f>
        <v/>
      </c>
      <c r="N41">
        <f>IF(OR($A41="",C41=0),"",COUNTIFS('WP PROGRESS'!$C$2:$C$100,$A41,'WP PROGRESS'!$V$2:$V$100,"Yes")+COUNTIFS('WP PROGRESS'!$C$2:$C$100,$A41,'WP PROGRESS'!$V$2:$V$100,"--")&amp;" of "&amp;C41)</f>
        <v/>
      </c>
      <c r="O41">
        <f>IF($A41="","",COUNTIFS('WP PROGRESS'!$C$2:$C$100,$A41,'WP PROGRESS'!$Y$2:$Y$100,"X"))</f>
        <v/>
      </c>
    </row>
    <row r="42" ht="15" customHeight="1" s="130">
      <c r="B42">
        <f>IF($A42="","",IFERROR(INDEX(SCOPES!$B$5:$B$200,MATCH($A42,SCOPES!$A$5:$A$200,0)),""))</f>
        <v/>
      </c>
      <c r="C42">
        <f>IF($A42="","",COUNTIF('WORK PACKAGES'!$G$2:$G$100,$A42))</f>
        <v/>
      </c>
      <c r="D42">
        <f>IF($A42="","",COUNTIFS(ISSUES!$O$5:$O$200,$A42,ISSUES!$H$5:$H$200,"&lt;&gt;Closed",ISSUES!$H$5:$H$200,"&lt;&gt;Resolved",ISSUES!$H$5:$H$200,"&lt;&gt;Cancelled",ISSUES!$H$5:$H$200,"&lt;&gt;",ISSUES!$A$5:$A$200,"&lt;&gt;"))</f>
        <v/>
      </c>
      <c r="E42">
        <f>IF($A42="","",COUNTIFS('RFI REGISTER'!$F$5:$F$250,"*"&amp;$A42&amp;"*",'RFI REGISTER'!$C$5:$C$250,"&lt;&gt;Closed",'RFI REGISTER'!$C$5:$C$250,"&lt;&gt;Cancelled",'RFI REGISTER'!$C$5:$C$250,"&lt;&gt;",'RFI REGISTER'!$A$5:$A$250,"&lt;&gt;"))</f>
        <v/>
      </c>
      <c r="F42" s="50" t="n"/>
      <c r="G42">
        <f>IF($A42="","",IFERROR(INDEX(SCOPES!$K$5:$K$200,MATCH($A42,SCOPES!$A$5:$A$200,0)),""))</f>
        <v/>
      </c>
      <c r="H42" s="125">
        <f>IF($A42="","",IFERROR(AVERAGEIFS('WP PROGRESS'!$F$2:$F$100,'WP PROGRESS'!$C$2:$C$100,$A42),""))</f>
        <v/>
      </c>
      <c r="I42" s="125">
        <f>IF($A42="","",IFERROR(AVERAGEIFS('WP PROGRESS'!$G$2:$G$100,'WP PROGRESS'!$C$2:$C$100,$A42),""))</f>
        <v/>
      </c>
      <c r="J42" s="125">
        <f>IF($A42="","",IFERROR(AVERAGEIFS('WP PROGRESS'!$H$2:$H$100,'WP PROGRESS'!$C$2:$C$100,$A42),""))</f>
        <v/>
      </c>
      <c r="K42" s="125">
        <f>IF($A42="","",IFERROR(AVERAGEIFS('WP PROGRESS'!$I$2:$I$100,'WP PROGRESS'!$C$2:$C$100,$A42),""))</f>
        <v/>
      </c>
      <c r="L42" s="125">
        <f>IF($A42="","",IFERROR(AVERAGEIFS('WP PROGRESS'!$J$2:$J$100,'WP PROGRESS'!$C$2:$C$100,$A42),""))</f>
        <v/>
      </c>
      <c r="M42" s="125">
        <f>IF($A42="","",IFERROR(AVERAGEIFS('WP PROGRESS'!$K$2:$K$100,'WP PROGRESS'!$C$2:$C$100,$A42),""))</f>
        <v/>
      </c>
      <c r="N42">
        <f>IF(OR($A42="",C42=0),"",COUNTIFS('WP PROGRESS'!$C$2:$C$100,$A42,'WP PROGRESS'!$V$2:$V$100,"Yes")+COUNTIFS('WP PROGRESS'!$C$2:$C$100,$A42,'WP PROGRESS'!$V$2:$V$100,"--")&amp;" of "&amp;C42)</f>
        <v/>
      </c>
      <c r="O42">
        <f>IF($A42="","",COUNTIFS('WP PROGRESS'!$C$2:$C$100,$A42,'WP PROGRESS'!$Y$2:$Y$100,"X"))</f>
        <v/>
      </c>
    </row>
    <row r="43" ht="15" customHeight="1" s="130">
      <c r="B43">
        <f>IF($A43="","",IFERROR(INDEX(SCOPES!$B$5:$B$200,MATCH($A43,SCOPES!$A$5:$A$200,0)),""))</f>
        <v/>
      </c>
      <c r="C43">
        <f>IF($A43="","",COUNTIF('WORK PACKAGES'!$G$2:$G$100,$A43))</f>
        <v/>
      </c>
      <c r="D43">
        <f>IF($A43="","",COUNTIFS(ISSUES!$O$5:$O$200,$A43,ISSUES!$H$5:$H$200,"&lt;&gt;Closed",ISSUES!$H$5:$H$200,"&lt;&gt;Resolved",ISSUES!$H$5:$H$200,"&lt;&gt;Cancelled",ISSUES!$H$5:$H$200,"&lt;&gt;",ISSUES!$A$5:$A$200,"&lt;&gt;"))</f>
        <v/>
      </c>
      <c r="E43">
        <f>IF($A43="","",COUNTIFS('RFI REGISTER'!$F$5:$F$250,"*"&amp;$A43&amp;"*",'RFI REGISTER'!$C$5:$C$250,"&lt;&gt;Closed",'RFI REGISTER'!$C$5:$C$250,"&lt;&gt;Cancelled",'RFI REGISTER'!$C$5:$C$250,"&lt;&gt;",'RFI REGISTER'!$A$5:$A$250,"&lt;&gt;"))</f>
        <v/>
      </c>
      <c r="F43" s="50" t="n"/>
      <c r="G43">
        <f>IF($A43="","",IFERROR(INDEX(SCOPES!$K$5:$K$200,MATCH($A43,SCOPES!$A$5:$A$200,0)),""))</f>
        <v/>
      </c>
      <c r="H43" s="125">
        <f>IF($A43="","",IFERROR(AVERAGEIFS('WP PROGRESS'!$F$2:$F$100,'WP PROGRESS'!$C$2:$C$100,$A43),""))</f>
        <v/>
      </c>
      <c r="I43" s="125">
        <f>IF($A43="","",IFERROR(AVERAGEIFS('WP PROGRESS'!$G$2:$G$100,'WP PROGRESS'!$C$2:$C$100,$A43),""))</f>
        <v/>
      </c>
      <c r="J43" s="125">
        <f>IF($A43="","",IFERROR(AVERAGEIFS('WP PROGRESS'!$H$2:$H$100,'WP PROGRESS'!$C$2:$C$100,$A43),""))</f>
        <v/>
      </c>
      <c r="K43" s="125">
        <f>IF($A43="","",IFERROR(AVERAGEIFS('WP PROGRESS'!$I$2:$I$100,'WP PROGRESS'!$C$2:$C$100,$A43),""))</f>
        <v/>
      </c>
      <c r="L43" s="125">
        <f>IF($A43="","",IFERROR(AVERAGEIFS('WP PROGRESS'!$J$2:$J$100,'WP PROGRESS'!$C$2:$C$100,$A43),""))</f>
        <v/>
      </c>
      <c r="M43" s="125">
        <f>IF($A43="","",IFERROR(AVERAGEIFS('WP PROGRESS'!$K$2:$K$100,'WP PROGRESS'!$C$2:$C$100,$A43),""))</f>
        <v/>
      </c>
      <c r="N43">
        <f>IF(OR($A43="",C43=0),"",COUNTIFS('WP PROGRESS'!$C$2:$C$100,$A43,'WP PROGRESS'!$V$2:$V$100,"Yes")+COUNTIFS('WP PROGRESS'!$C$2:$C$100,$A43,'WP PROGRESS'!$V$2:$V$100,"--")&amp;" of "&amp;C43)</f>
        <v/>
      </c>
      <c r="O43">
        <f>IF($A43="","",COUNTIFS('WP PROGRESS'!$C$2:$C$100,$A43,'WP PROGRESS'!$Y$2:$Y$100,"X"))</f>
        <v/>
      </c>
    </row>
    <row r="44" ht="15" customHeight="1" s="130">
      <c r="B44">
        <f>IF($A44="","",IFERROR(INDEX(SCOPES!$B$5:$B$200,MATCH($A44,SCOPES!$A$5:$A$200,0)),""))</f>
        <v/>
      </c>
      <c r="C44">
        <f>IF($A44="","",COUNTIF('WORK PACKAGES'!$G$2:$G$100,$A44))</f>
        <v/>
      </c>
      <c r="D44">
        <f>IF($A44="","",COUNTIFS(ISSUES!$O$5:$O$200,$A44,ISSUES!$H$5:$H$200,"&lt;&gt;Closed",ISSUES!$H$5:$H$200,"&lt;&gt;Resolved",ISSUES!$H$5:$H$200,"&lt;&gt;Cancelled",ISSUES!$H$5:$H$200,"&lt;&gt;",ISSUES!$A$5:$A$200,"&lt;&gt;"))</f>
        <v/>
      </c>
      <c r="E44">
        <f>IF($A44="","",COUNTIFS('RFI REGISTER'!$F$5:$F$250,"*"&amp;$A44&amp;"*",'RFI REGISTER'!$C$5:$C$250,"&lt;&gt;Closed",'RFI REGISTER'!$C$5:$C$250,"&lt;&gt;Cancelled",'RFI REGISTER'!$C$5:$C$250,"&lt;&gt;",'RFI REGISTER'!$A$5:$A$250,"&lt;&gt;"))</f>
        <v/>
      </c>
      <c r="F44" s="50" t="n"/>
      <c r="G44">
        <f>IF($A44="","",IFERROR(INDEX(SCOPES!$K$5:$K$200,MATCH($A44,SCOPES!$A$5:$A$200,0)),""))</f>
        <v/>
      </c>
      <c r="H44" s="125">
        <f>IF($A44="","",IFERROR(AVERAGEIFS('WP PROGRESS'!$F$2:$F$100,'WP PROGRESS'!$C$2:$C$100,$A44),""))</f>
        <v/>
      </c>
      <c r="I44" s="125">
        <f>IF($A44="","",IFERROR(AVERAGEIFS('WP PROGRESS'!$G$2:$G$100,'WP PROGRESS'!$C$2:$C$100,$A44),""))</f>
        <v/>
      </c>
      <c r="J44" s="125">
        <f>IF($A44="","",IFERROR(AVERAGEIFS('WP PROGRESS'!$H$2:$H$100,'WP PROGRESS'!$C$2:$C$100,$A44),""))</f>
        <v/>
      </c>
      <c r="K44" s="125">
        <f>IF($A44="","",IFERROR(AVERAGEIFS('WP PROGRESS'!$I$2:$I$100,'WP PROGRESS'!$C$2:$C$100,$A44),""))</f>
        <v/>
      </c>
      <c r="L44" s="125">
        <f>IF($A44="","",IFERROR(AVERAGEIFS('WP PROGRESS'!$J$2:$J$100,'WP PROGRESS'!$C$2:$C$100,$A44),""))</f>
        <v/>
      </c>
      <c r="M44" s="125">
        <f>IF($A44="","",IFERROR(AVERAGEIFS('WP PROGRESS'!$K$2:$K$100,'WP PROGRESS'!$C$2:$C$100,$A44),""))</f>
        <v/>
      </c>
      <c r="N44">
        <f>IF(OR($A44="",C44=0),"",COUNTIFS('WP PROGRESS'!$C$2:$C$100,$A44,'WP PROGRESS'!$V$2:$V$100,"Yes")+COUNTIFS('WP PROGRESS'!$C$2:$C$100,$A44,'WP PROGRESS'!$V$2:$V$100,"--")&amp;" of "&amp;C44)</f>
        <v/>
      </c>
      <c r="O44">
        <f>IF($A44="","",COUNTIFS('WP PROGRESS'!$C$2:$C$100,$A44,'WP PROGRESS'!$Y$2:$Y$100,"X"))</f>
        <v/>
      </c>
    </row>
  </sheetData>
  <autoFilter ref="A4:G44"/>
  <dataValidations count="1">
    <dataValidation sqref="F5:F44" showDropDown="0" showInputMessage="0" showErrorMessage="1" allowBlank="1" errorTitle="Use X or blank" error="Enter X or clear the cell." type="list">
      <formula1>"X"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O3" sqref="O3"/>
    </sheetView>
  </sheetViews>
  <sheetFormatPr baseColWidth="8" defaultRowHeight="15"/>
  <cols>
    <col width="18" customWidth="1" style="130" min="1" max="1"/>
    <col width="16" customWidth="1" style="130" min="2" max="2"/>
    <col width="12" customWidth="1" style="130" min="3" max="3"/>
    <col width="10" customWidth="1" style="130" min="4" max="11"/>
    <col width="12" customWidth="1" style="130" min="12" max="21"/>
    <col width="14" customWidth="1" style="130" min="22" max="24"/>
    <col width="10" customWidth="1" style="130" min="25" max="26"/>
    <col width="12" customWidth="1" style="130" min="27" max="27"/>
    <col width="50" customWidth="1" style="130" min="28" max="28"/>
    <col width="20" customWidth="1" style="130" min="29" max="29"/>
  </cols>
  <sheetData>
    <row r="1" ht="45" customHeight="1" s="130">
      <c r="A1" s="118" t="inlineStr">
        <is>
          <t>Work Package ID</t>
        </is>
      </c>
      <c r="B1" s="118" t="inlineStr">
        <is>
          <t>Package Code</t>
        </is>
      </c>
      <c r="C1" s="118" t="inlineStr">
        <is>
          <t>Primary Scope ID</t>
        </is>
      </c>
      <c r="D1" s="118" t="inlineStr">
        <is>
          <t>Priority
Sequence</t>
        </is>
      </c>
      <c r="E1" s="118" t="inlineStr">
        <is>
          <t>Open Punch Items</t>
        </is>
      </c>
      <c r="F1" s="118" t="inlineStr">
        <is>
          <t>Eng % Complete</t>
        </is>
      </c>
      <c r="G1" s="118" t="inlineStr">
        <is>
          <t>Prog % Complete</t>
        </is>
      </c>
      <c r="H1" s="118" t="inlineStr">
        <is>
          <t>Cond &amp;
Wire %
Complete</t>
        </is>
      </c>
      <c r="I1" s="118" t="inlineStr">
        <is>
          <t>Device
Install
% Complete</t>
        </is>
      </c>
      <c r="J1" s="118" t="inlineStr">
        <is>
          <t>Loop Check
% Complete</t>
        </is>
      </c>
      <c r="K1" s="118" t="inlineStr">
        <is>
          <t>PreComm % Complete</t>
        </is>
      </c>
      <c r="L1" s="118" t="inlineStr">
        <is>
          <t>C&amp;E Values Received</t>
        </is>
      </c>
      <c r="M1" s="118" t="inlineStr">
        <is>
          <t>CE Target
Test Date</t>
        </is>
      </c>
      <c r="N1" s="118" t="inlineStr">
        <is>
          <t>Engineering Completed?</t>
        </is>
      </c>
      <c r="O1" s="118" t="inlineStr">
        <is>
          <t>Programming Completed?</t>
        </is>
      </c>
      <c r="P1" s="118" t="inlineStr">
        <is>
          <t>Cond &amp;
Wire Completed?</t>
        </is>
      </c>
      <c r="Q1" s="118" t="inlineStr">
        <is>
          <t>Device
Install
Completed</t>
        </is>
      </c>
      <c r="R1" s="118" t="inlineStr">
        <is>
          <t>Loops Check
Completed</t>
        </is>
      </c>
      <c r="S1" s="118" t="inlineStr">
        <is>
          <t>PreComm Complete?</t>
        </is>
      </c>
      <c r="T1" s="118" t="inlineStr">
        <is>
          <t>Program Changes Required</t>
        </is>
      </c>
      <c r="U1" s="118" t="inlineStr">
        <is>
          <t>Program changes Completed</t>
        </is>
      </c>
      <c r="V1" s="118" t="inlineStr">
        <is>
          <t>Internal Progress Gates Complete?</t>
        </is>
      </c>
      <c r="W1" s="118" t="inlineStr">
        <is>
          <t>Site Acceptance Test Complete?</t>
        </is>
      </c>
      <c r="X1" s="118" t="inlineStr">
        <is>
          <t>Vendor Completed Checks</t>
        </is>
      </c>
      <c r="Y1" s="118" t="inlineStr">
        <is>
          <t>Blocked? (X)</t>
        </is>
      </c>
      <c r="Z1" s="118" t="inlineStr">
        <is>
          <t>Open RFIs</t>
        </is>
      </c>
      <c r="AA1" s="118" t="inlineStr">
        <is>
          <t>Open Engineering Issues</t>
        </is>
      </c>
      <c r="AB1" s="118" t="inlineStr">
        <is>
          <t>Progress Comments</t>
        </is>
      </c>
      <c r="AC1" s="118" t="inlineStr">
        <is>
          <t>Row Check (derived)</t>
        </is>
      </c>
    </row>
    <row r="2">
      <c r="A2" s="51" t="n"/>
      <c r="B2" s="117">
        <f>IF($A2="","",IFERROR(IF(INDEX('WORK PACKAGES'!$B$2:$B$100,MATCH($A2,'WORK PACKAGES'!$A$2:$A$100,0))="","",INDEX('WORK PACKAGES'!$B$2:$B$100,MATCH($A2,'WORK PACKAGES'!$A$2:$A$100,0))),""))</f>
        <v/>
      </c>
      <c r="C2" s="117">
        <f>IF($A2="","",IFERROR(IF(INDEX('WORK PACKAGES'!$G$2:$G$100,MATCH($A2,'WORK PACKAGES'!$A$2:$A$100,0))="","",INDEX('WORK PACKAGES'!$G$2:$G$100,MATCH($A2,'WORK PACKAGES'!$A$2:$A$100,0))),""))</f>
        <v/>
      </c>
      <c r="D2" s="117">
        <f>IF($A2="","",IFERROR(IF(INDEX('WORK PACKAGES'!$E$2:$E$100,MATCH($A2,'WORK PACKAGES'!$A$2:$A$100,0))="","",INDEX('WORK PACKAGES'!$E$2:$E$100,MATCH($A2,'WORK PACKAGES'!$A$2:$A$100,0))),""))</f>
        <v/>
      </c>
      <c r="E2" s="117">
        <f>IF(A2="","",IF(COUNTIFS('PUNCH LIST'!$G$3:$G$464,A2,'PUNCH LIST'!$Q$3:$Q$464,"Open")=0,"",COUNTIFS('PUNCH LIST'!$G$3:$G$464,A2,'PUNCH LIST'!$Q$3:$Q$464,"Open")))</f>
        <v/>
      </c>
      <c r="F2" s="116" t="n"/>
      <c r="G2" s="116" t="n"/>
      <c r="H2" s="116" t="n"/>
      <c r="I2" s="116" t="n"/>
      <c r="J2" s="116" t="n"/>
      <c r="K2" s="116" t="n"/>
      <c r="L2" s="115" t="n"/>
      <c r="M2" s="115" t="n"/>
      <c r="N2" s="117">
        <f>IF($A2="","",IF(ISBLANK(F2),"",IF(TRIM(F2)="--","--",IF(ISNUMBER(F2),IF(F2&gt;=1,"Yes",IF(F2=0,"No","PARTIAL")),"CHECK"))))</f>
        <v/>
      </c>
      <c r="O2" s="117">
        <f>IF($A2="","",IF(ISBLANK(G2),"",IF(TRIM(G2)="--","--",IF(ISNUMBER(G2),IF(G2&gt;=1,"Yes",IF(G2=0,"No","PARTIAL")),"CHECK"))))</f>
        <v/>
      </c>
      <c r="P2" s="117">
        <f>IF($A2="","",IF(ISBLANK(H2),"",IF(TRIM(H2)="--","--",IF(ISNUMBER(H2),IF(H2&gt;=1,"Yes",IF(H2=0,"No","PARTIAL")),"CHECK"))))</f>
        <v/>
      </c>
      <c r="Q2" s="117">
        <f>IF($A2="","",IF(ISBLANK(I2),"",IF(TRIM(I2)="--","--",IF(ISNUMBER(I2),IF(I2&gt;=1,"Yes",IF(I2=0,"No","PARTIAL")),"CHECK"))))</f>
        <v/>
      </c>
      <c r="R2" s="117">
        <f>IF($A2="","",IF(ISBLANK(J2),"",IF(TRIM(J2)="--","--",IF(ISNUMBER(J2),IF(J2&gt;=1,"Yes",IF(J2=0,"No","PARTIAL")),"CHECK"))))</f>
        <v/>
      </c>
      <c r="S2" s="117">
        <f>IF($A2="","",IF(ISBLANK(K2),"",IF(TRIM(K2)="--","--",IF(ISNUMBER(K2),IF(K2&gt;=1,"Yes",IF(K2=0,"No","PARTIAL")),"CHECK"))))</f>
        <v/>
      </c>
      <c r="T2" s="115" t="n"/>
      <c r="U2" s="115" t="n"/>
      <c r="V2" s="117">
        <f>IF($A2="","",IF(COUNTIF(N2:S2,"--")=6,"--",IF(COUNTIF(N2:S2,"Yes")+COUNTIF(N2:S2,"--")=6,"Yes","No")))</f>
        <v/>
      </c>
      <c r="W2" s="115" t="n"/>
      <c r="X2" s="115" t="n"/>
      <c r="Y2" s="115" t="n"/>
      <c r="Z2" s="117">
        <f>IF($A2="","",COUNTIFS('RFI REGISTER'!$D$5:$D$250,$A2,'RFI REGISTER'!$A$5:$A$250,"RFI-*",'RFI REGISTER'!$C$5:$C$250,"&lt;&gt;Closed",'RFI REGISTER'!$C$5:$C$250,"&lt;&gt;Cancelled"))</f>
        <v/>
      </c>
      <c r="AA2" s="117">
        <f>IF($A2="","",COUNTIFS(ISSUES!$P$5:$P$200,"*"&amp;$A2&amp;"*",ISSUES!$H$5:$H$200,"&lt;&gt;Closed",ISSUES!$H$5:$H$200,"&lt;&gt;Resolved",ISSUES!$H$5:$H$200,"&lt;&gt;Cancelled",ISSUES!$H$5:$H$200,"&lt;&gt;",ISSUES!$A$5:$A$200,"&lt;&gt;"))</f>
        <v/>
      </c>
      <c r="AB2" s="115" t="n"/>
      <c r="AC2" s="117">
        <f>IF(A2="","",IF(COUNTIF('WORK PACKAGES'!$A$2:$A$100,A2)=0,"NOT IN WORK PACKAGES",IF(COUNTIF($A$2:$A$100,A2)&gt;1,"DUPLICATE","OK")))</f>
        <v/>
      </c>
    </row>
    <row r="3">
      <c r="A3" s="51" t="n"/>
      <c r="B3" s="117">
        <f>IF($A3="","",IFERROR(IF(INDEX('WORK PACKAGES'!$B$2:$B$100,MATCH($A3,'WORK PACKAGES'!$A$2:$A$100,0))="","",INDEX('WORK PACKAGES'!$B$2:$B$100,MATCH($A3,'WORK PACKAGES'!$A$2:$A$100,0))),""))</f>
        <v/>
      </c>
      <c r="C3" s="117">
        <f>IF($A3="","",IFERROR(IF(INDEX('WORK PACKAGES'!$G$2:$G$100,MATCH($A3,'WORK PACKAGES'!$A$2:$A$100,0))="","",INDEX('WORK PACKAGES'!$G$2:$G$100,MATCH($A3,'WORK PACKAGES'!$A$2:$A$100,0))),""))</f>
        <v/>
      </c>
      <c r="D3" s="117">
        <f>IF($A3="","",IFERROR(IF(INDEX('WORK PACKAGES'!$E$2:$E$100,MATCH($A3,'WORK PACKAGES'!$A$2:$A$100,0))="","",INDEX('WORK PACKAGES'!$E$2:$E$100,MATCH($A3,'WORK PACKAGES'!$A$2:$A$100,0))),""))</f>
        <v/>
      </c>
      <c r="E3" s="117">
        <f>IF(A3="","",IF(COUNTIFS('PUNCH LIST'!$G$3:$G$464,A3,'PUNCH LIST'!$Q$3:$Q$464,"Open")=0,"",COUNTIFS('PUNCH LIST'!$G$3:$G$464,A3,'PUNCH LIST'!$Q$3:$Q$464,"Open")))</f>
        <v/>
      </c>
      <c r="F3" s="116" t="n"/>
      <c r="G3" s="116" t="n"/>
      <c r="H3" s="116" t="n"/>
      <c r="I3" s="116" t="n"/>
      <c r="J3" s="116" t="n"/>
      <c r="K3" s="116" t="n"/>
      <c r="L3" s="115" t="n"/>
      <c r="M3" s="115" t="n"/>
      <c r="N3" s="117">
        <f>IF($A3="","",IF(ISBLANK(F3),"",IF(TRIM(F3)="--","--",IF(ISNUMBER(F3),IF(F3&gt;=1,"Yes",IF(F3=0,"No","PARTIAL")),"CHECK"))))</f>
        <v/>
      </c>
      <c r="O3" s="117">
        <f>IF($A3="","",IF(ISBLANK(G3),"",IF(TRIM(G3)="--","--",IF(ISNUMBER(G3),IF(G3&gt;=1,"Yes",IF(G3=0,"No","PARTIAL")),"CHECK"))))</f>
        <v/>
      </c>
      <c r="P3" s="117">
        <f>IF($A3="","",IF(ISBLANK(H3),"",IF(TRIM(H3)="--","--",IF(ISNUMBER(H3),IF(H3&gt;=1,"Yes",IF(H3=0,"No","PARTIAL")),"CHECK"))))</f>
        <v/>
      </c>
      <c r="Q3" s="117">
        <f>IF($A3="","",IF(ISBLANK(I3),"",IF(TRIM(I3)="--","--",IF(ISNUMBER(I3),IF(I3&gt;=1,"Yes",IF(I3=0,"No","PARTIAL")),"CHECK"))))</f>
        <v/>
      </c>
      <c r="R3" s="117">
        <f>IF($A3="","",IF(ISBLANK(J3),"",IF(TRIM(J3)="--","--",IF(ISNUMBER(J3),IF(J3&gt;=1,"Yes",IF(J3=0,"No","PARTIAL")),"CHECK"))))</f>
        <v/>
      </c>
      <c r="S3" s="117">
        <f>IF($A3="","",IF(ISBLANK(K3),"",IF(TRIM(K3)="--","--",IF(ISNUMBER(K3),IF(K3&gt;=1,"Yes",IF(K3=0,"No","PARTIAL")),"CHECK"))))</f>
        <v/>
      </c>
      <c r="T3" s="115" t="n"/>
      <c r="U3" s="115" t="n"/>
      <c r="V3" s="117">
        <f>IF($A3="","",IF(COUNTIF(N3:S3,"--")=6,"--",IF(COUNTIF(N3:S3,"Yes")+COUNTIF(N3:S3,"--")=6,"Yes","No")))</f>
        <v/>
      </c>
      <c r="W3" s="115" t="n"/>
      <c r="X3" s="115" t="n"/>
      <c r="Y3" s="115" t="n"/>
      <c r="Z3" s="117">
        <f>IF($A3="","",COUNTIFS('RFI REGISTER'!$D$5:$D$250,$A3,'RFI REGISTER'!$A$5:$A$250,"RFI-*",'RFI REGISTER'!$C$5:$C$250,"&lt;&gt;Closed",'RFI REGISTER'!$C$5:$C$250,"&lt;&gt;Cancelled"))</f>
        <v/>
      </c>
      <c r="AA3" s="117">
        <f>IF($A3="","",COUNTIFS(ISSUES!$P$5:$P$200,"*"&amp;$A3&amp;"*",ISSUES!$H$5:$H$200,"&lt;&gt;Closed",ISSUES!$H$5:$H$200,"&lt;&gt;Resolved",ISSUES!$H$5:$H$200,"&lt;&gt;Cancelled",ISSUES!$H$5:$H$200,"&lt;&gt;",ISSUES!$A$5:$A$200,"&lt;&gt;"))</f>
        <v/>
      </c>
      <c r="AB3" s="115" t="n"/>
      <c r="AC3" s="117">
        <f>IF(A3="","",IF(COUNTIF('WORK PACKAGES'!$A$2:$A$100,A3)=0,"NOT IN WORK PACKAGES",IF(COUNTIF($A$2:$A$100,A3)&gt;1,"DUPLICATE","OK")))</f>
        <v/>
      </c>
    </row>
    <row r="4">
      <c r="A4" s="51" t="n"/>
      <c r="B4" s="117">
        <f>IF($A4="","",IFERROR(IF(INDEX('WORK PACKAGES'!$B$2:$B$100,MATCH($A4,'WORK PACKAGES'!$A$2:$A$100,0))="","",INDEX('WORK PACKAGES'!$B$2:$B$100,MATCH($A4,'WORK PACKAGES'!$A$2:$A$100,0))),""))</f>
        <v/>
      </c>
      <c r="C4" s="117">
        <f>IF($A4="","",IFERROR(IF(INDEX('WORK PACKAGES'!$G$2:$G$100,MATCH($A4,'WORK PACKAGES'!$A$2:$A$100,0))="","",INDEX('WORK PACKAGES'!$G$2:$G$100,MATCH($A4,'WORK PACKAGES'!$A$2:$A$100,0))),""))</f>
        <v/>
      </c>
      <c r="D4" s="117">
        <f>IF($A4="","",IFERROR(IF(INDEX('WORK PACKAGES'!$E$2:$E$100,MATCH($A4,'WORK PACKAGES'!$A$2:$A$100,0))="","",INDEX('WORK PACKAGES'!$E$2:$E$100,MATCH($A4,'WORK PACKAGES'!$A$2:$A$100,0))),""))</f>
        <v/>
      </c>
      <c r="E4" s="117">
        <f>IF(A4="","",IF(COUNTIFS('PUNCH LIST'!$G$3:$G$464,A4,'PUNCH LIST'!$Q$3:$Q$464,"Open")=0,"",COUNTIFS('PUNCH LIST'!$G$3:$G$464,A4,'PUNCH LIST'!$Q$3:$Q$464,"Open")))</f>
        <v/>
      </c>
      <c r="F4" s="116" t="n"/>
      <c r="G4" s="116" t="n"/>
      <c r="H4" s="116" t="n"/>
      <c r="I4" s="116" t="n"/>
      <c r="J4" s="116" t="n"/>
      <c r="K4" s="116" t="n"/>
      <c r="L4" s="115" t="n"/>
      <c r="M4" s="115" t="n"/>
      <c r="N4" s="117">
        <f>IF($A4="","",IF(ISBLANK(F4),"",IF(TRIM(F4)="--","--",IF(ISNUMBER(F4),IF(F4&gt;=1,"Yes",IF(F4=0,"No","PARTIAL")),"CHECK"))))</f>
        <v/>
      </c>
      <c r="O4" s="117">
        <f>IF($A4="","",IF(ISBLANK(G4),"",IF(TRIM(G4)="--","--",IF(ISNUMBER(G4),IF(G4&gt;=1,"Yes",IF(G4=0,"No","PARTIAL")),"CHECK"))))</f>
        <v/>
      </c>
      <c r="P4" s="117">
        <f>IF($A4="","",IF(ISBLANK(H4),"",IF(TRIM(H4)="--","--",IF(ISNUMBER(H4),IF(H4&gt;=1,"Yes",IF(H4=0,"No","PARTIAL")),"CHECK"))))</f>
        <v/>
      </c>
      <c r="Q4" s="117">
        <f>IF($A4="","",IF(ISBLANK(I4),"",IF(TRIM(I4)="--","--",IF(ISNUMBER(I4),IF(I4&gt;=1,"Yes",IF(I4=0,"No","PARTIAL")),"CHECK"))))</f>
        <v/>
      </c>
      <c r="R4" s="117">
        <f>IF($A4="","",IF(ISBLANK(J4),"",IF(TRIM(J4)="--","--",IF(ISNUMBER(J4),IF(J4&gt;=1,"Yes",IF(J4=0,"No","PARTIAL")),"CHECK"))))</f>
        <v/>
      </c>
      <c r="S4" s="117">
        <f>IF($A4="","",IF(ISBLANK(K4),"",IF(TRIM(K4)="--","--",IF(ISNUMBER(K4),IF(K4&gt;=1,"Yes",IF(K4=0,"No","PARTIAL")),"CHECK"))))</f>
        <v/>
      </c>
      <c r="T4" s="115" t="n"/>
      <c r="U4" s="115" t="n"/>
      <c r="V4" s="117">
        <f>IF($A4="","",IF(COUNTIF(N4:S4,"--")=6,"--",IF(COUNTIF(N4:S4,"Yes")+COUNTIF(N4:S4,"--")=6,"Yes","No")))</f>
        <v/>
      </c>
      <c r="W4" s="115" t="n"/>
      <c r="X4" s="115" t="n"/>
      <c r="Y4" s="115" t="n"/>
      <c r="Z4" s="117">
        <f>IF($A4="","",COUNTIFS('RFI REGISTER'!$D$5:$D$250,$A4,'RFI REGISTER'!$A$5:$A$250,"RFI-*",'RFI REGISTER'!$C$5:$C$250,"&lt;&gt;Closed",'RFI REGISTER'!$C$5:$C$250,"&lt;&gt;Cancelled"))</f>
        <v/>
      </c>
      <c r="AA4" s="117">
        <f>IF($A4="","",COUNTIFS(ISSUES!$P$5:$P$200,"*"&amp;$A4&amp;"*",ISSUES!$H$5:$H$200,"&lt;&gt;Closed",ISSUES!$H$5:$H$200,"&lt;&gt;Resolved",ISSUES!$H$5:$H$200,"&lt;&gt;Cancelled",ISSUES!$H$5:$H$200,"&lt;&gt;",ISSUES!$A$5:$A$200,"&lt;&gt;"))</f>
        <v/>
      </c>
      <c r="AB4" s="115" t="n"/>
      <c r="AC4" s="117">
        <f>IF(A4="","",IF(COUNTIF('WORK PACKAGES'!$A$2:$A$100,A4)=0,"NOT IN WORK PACKAGES",IF(COUNTIF($A$2:$A$100,A4)&gt;1,"DUPLICATE","OK")))</f>
        <v/>
      </c>
    </row>
    <row r="5">
      <c r="A5" s="51" t="n"/>
      <c r="B5" s="117">
        <f>IF($A5="","",IFERROR(IF(INDEX('WORK PACKAGES'!$B$2:$B$100,MATCH($A5,'WORK PACKAGES'!$A$2:$A$100,0))="","",INDEX('WORK PACKAGES'!$B$2:$B$100,MATCH($A5,'WORK PACKAGES'!$A$2:$A$100,0))),""))</f>
        <v/>
      </c>
      <c r="C5" s="117">
        <f>IF($A5="","",IFERROR(IF(INDEX('WORK PACKAGES'!$G$2:$G$100,MATCH($A5,'WORK PACKAGES'!$A$2:$A$100,0))="","",INDEX('WORK PACKAGES'!$G$2:$G$100,MATCH($A5,'WORK PACKAGES'!$A$2:$A$100,0))),""))</f>
        <v/>
      </c>
      <c r="D5" s="117">
        <f>IF($A5="","",IFERROR(IF(INDEX('WORK PACKAGES'!$E$2:$E$100,MATCH($A5,'WORK PACKAGES'!$A$2:$A$100,0))="","",INDEX('WORK PACKAGES'!$E$2:$E$100,MATCH($A5,'WORK PACKAGES'!$A$2:$A$100,0))),""))</f>
        <v/>
      </c>
      <c r="E5" s="117">
        <f>IF(A5="","",IF(COUNTIFS('PUNCH LIST'!$G$3:$G$464,A5,'PUNCH LIST'!$Q$3:$Q$464,"Open")=0,"",COUNTIFS('PUNCH LIST'!$G$3:$G$464,A5,'PUNCH LIST'!$Q$3:$Q$464,"Open")))</f>
        <v/>
      </c>
      <c r="F5" s="116" t="n"/>
      <c r="G5" s="116" t="n"/>
      <c r="H5" s="116" t="n"/>
      <c r="I5" s="116" t="n"/>
      <c r="J5" s="116" t="n"/>
      <c r="K5" s="116" t="n"/>
      <c r="L5" s="115" t="n"/>
      <c r="M5" s="115" t="n"/>
      <c r="N5" s="117">
        <f>IF($A5="","",IF(ISBLANK(F5),"",IF(TRIM(F5)="--","--",IF(ISNUMBER(F5),IF(F5&gt;=1,"Yes",IF(F5=0,"No","PARTIAL")),"CHECK"))))</f>
        <v/>
      </c>
      <c r="O5" s="117">
        <f>IF($A5="","",IF(ISBLANK(G5),"",IF(TRIM(G5)="--","--",IF(ISNUMBER(G5),IF(G5&gt;=1,"Yes",IF(G5=0,"No","PARTIAL")),"CHECK"))))</f>
        <v/>
      </c>
      <c r="P5" s="117">
        <f>IF($A5="","",IF(ISBLANK(H5),"",IF(TRIM(H5)="--","--",IF(ISNUMBER(H5),IF(H5&gt;=1,"Yes",IF(H5=0,"No","PARTIAL")),"CHECK"))))</f>
        <v/>
      </c>
      <c r="Q5" s="117">
        <f>IF($A5="","",IF(ISBLANK(I5),"",IF(TRIM(I5)="--","--",IF(ISNUMBER(I5),IF(I5&gt;=1,"Yes",IF(I5=0,"No","PARTIAL")),"CHECK"))))</f>
        <v/>
      </c>
      <c r="R5" s="117">
        <f>IF($A5="","",IF(ISBLANK(J5),"",IF(TRIM(J5)="--","--",IF(ISNUMBER(J5),IF(J5&gt;=1,"Yes",IF(J5=0,"No","PARTIAL")),"CHECK"))))</f>
        <v/>
      </c>
      <c r="S5" s="117">
        <f>IF($A5="","",IF(ISBLANK(K5),"",IF(TRIM(K5)="--","--",IF(ISNUMBER(K5),IF(K5&gt;=1,"Yes",IF(K5=0,"No","PARTIAL")),"CHECK"))))</f>
        <v/>
      </c>
      <c r="T5" s="115" t="n"/>
      <c r="U5" s="115" t="n"/>
      <c r="V5" s="117">
        <f>IF($A5="","",IF(COUNTIF(N5:S5,"--")=6,"--",IF(COUNTIF(N5:S5,"Yes")+COUNTIF(N5:S5,"--")=6,"Yes","No")))</f>
        <v/>
      </c>
      <c r="W5" s="115" t="n"/>
      <c r="X5" s="115" t="n"/>
      <c r="Y5" s="115" t="n"/>
      <c r="Z5" s="117">
        <f>IF($A5="","",COUNTIFS('RFI REGISTER'!$D$5:$D$250,$A5,'RFI REGISTER'!$A$5:$A$250,"RFI-*",'RFI REGISTER'!$C$5:$C$250,"&lt;&gt;Closed",'RFI REGISTER'!$C$5:$C$250,"&lt;&gt;Cancelled"))</f>
        <v/>
      </c>
      <c r="AA5" s="117">
        <f>IF($A5="","",COUNTIFS(ISSUES!$P$5:$P$200,"*"&amp;$A5&amp;"*",ISSUES!$H$5:$H$200,"&lt;&gt;Closed",ISSUES!$H$5:$H$200,"&lt;&gt;Resolved",ISSUES!$H$5:$H$200,"&lt;&gt;Cancelled",ISSUES!$H$5:$H$200,"&lt;&gt;",ISSUES!$A$5:$A$200,"&lt;&gt;"))</f>
        <v/>
      </c>
      <c r="AB5" s="115" t="n"/>
      <c r="AC5" s="117">
        <f>IF(A5="","",IF(COUNTIF('WORK PACKAGES'!$A$2:$A$100,A5)=0,"NOT IN WORK PACKAGES",IF(COUNTIF($A$2:$A$100,A5)&gt;1,"DUPLICATE","OK")))</f>
        <v/>
      </c>
    </row>
    <row r="6">
      <c r="A6" s="51" t="n"/>
      <c r="B6" s="117">
        <f>IF($A6="","",IFERROR(IF(INDEX('WORK PACKAGES'!$B$2:$B$100,MATCH($A6,'WORK PACKAGES'!$A$2:$A$100,0))="","",INDEX('WORK PACKAGES'!$B$2:$B$100,MATCH($A6,'WORK PACKAGES'!$A$2:$A$100,0))),""))</f>
        <v/>
      </c>
      <c r="C6" s="117">
        <f>IF($A6="","",IFERROR(IF(INDEX('WORK PACKAGES'!$G$2:$G$100,MATCH($A6,'WORK PACKAGES'!$A$2:$A$100,0))="","",INDEX('WORK PACKAGES'!$G$2:$G$100,MATCH($A6,'WORK PACKAGES'!$A$2:$A$100,0))),""))</f>
        <v/>
      </c>
      <c r="D6" s="117">
        <f>IF($A6="","",IFERROR(IF(INDEX('WORK PACKAGES'!$E$2:$E$100,MATCH($A6,'WORK PACKAGES'!$A$2:$A$100,0))="","",INDEX('WORK PACKAGES'!$E$2:$E$100,MATCH($A6,'WORK PACKAGES'!$A$2:$A$100,0))),""))</f>
        <v/>
      </c>
      <c r="E6" s="117">
        <f>IF(A6="","",IF(COUNTIFS('PUNCH LIST'!$G$3:$G$464,A6,'PUNCH LIST'!$Q$3:$Q$464,"Open")=0,"",COUNTIFS('PUNCH LIST'!$G$3:$G$464,A6,'PUNCH LIST'!$Q$3:$Q$464,"Open")))</f>
        <v/>
      </c>
      <c r="F6" s="116" t="n"/>
      <c r="G6" s="116" t="n"/>
      <c r="H6" s="116" t="n"/>
      <c r="I6" s="116" t="n"/>
      <c r="J6" s="116" t="n"/>
      <c r="K6" s="116" t="n"/>
      <c r="L6" s="115" t="n"/>
      <c r="M6" s="115" t="n"/>
      <c r="N6" s="117">
        <f>IF($A6="","",IF(ISBLANK(F6),"",IF(TRIM(F6)="--","--",IF(ISNUMBER(F6),IF(F6&gt;=1,"Yes",IF(F6=0,"No","PARTIAL")),"CHECK"))))</f>
        <v/>
      </c>
      <c r="O6" s="117">
        <f>IF($A6="","",IF(ISBLANK(G6),"",IF(TRIM(G6)="--","--",IF(ISNUMBER(G6),IF(G6&gt;=1,"Yes",IF(G6=0,"No","PARTIAL")),"CHECK"))))</f>
        <v/>
      </c>
      <c r="P6" s="117">
        <f>IF($A6="","",IF(ISBLANK(H6),"",IF(TRIM(H6)="--","--",IF(ISNUMBER(H6),IF(H6&gt;=1,"Yes",IF(H6=0,"No","PARTIAL")),"CHECK"))))</f>
        <v/>
      </c>
      <c r="Q6" s="117">
        <f>IF($A6="","",IF(ISBLANK(I6),"",IF(TRIM(I6)="--","--",IF(ISNUMBER(I6),IF(I6&gt;=1,"Yes",IF(I6=0,"No","PARTIAL")),"CHECK"))))</f>
        <v/>
      </c>
      <c r="R6" s="117">
        <f>IF($A6="","",IF(ISBLANK(J6),"",IF(TRIM(J6)="--","--",IF(ISNUMBER(J6),IF(J6&gt;=1,"Yes",IF(J6=0,"No","PARTIAL")),"CHECK"))))</f>
        <v/>
      </c>
      <c r="S6" s="117">
        <f>IF($A6="","",IF(ISBLANK(K6),"",IF(TRIM(K6)="--","--",IF(ISNUMBER(K6),IF(K6&gt;=1,"Yes",IF(K6=0,"No","PARTIAL")),"CHECK"))))</f>
        <v/>
      </c>
      <c r="T6" s="115" t="n"/>
      <c r="U6" s="115" t="n"/>
      <c r="V6" s="117">
        <f>IF($A6="","",IF(COUNTIF(N6:S6,"--")=6,"--",IF(COUNTIF(N6:S6,"Yes")+COUNTIF(N6:S6,"--")=6,"Yes","No")))</f>
        <v/>
      </c>
      <c r="W6" s="115" t="n"/>
      <c r="X6" s="115" t="n"/>
      <c r="Y6" s="115" t="n"/>
      <c r="Z6" s="117">
        <f>IF($A6="","",COUNTIFS('RFI REGISTER'!$D$5:$D$250,$A6,'RFI REGISTER'!$A$5:$A$250,"RFI-*",'RFI REGISTER'!$C$5:$C$250,"&lt;&gt;Closed",'RFI REGISTER'!$C$5:$C$250,"&lt;&gt;Cancelled"))</f>
        <v/>
      </c>
      <c r="AA6" s="117">
        <f>IF($A6="","",COUNTIFS(ISSUES!$P$5:$P$200,"*"&amp;$A6&amp;"*",ISSUES!$H$5:$H$200,"&lt;&gt;Closed",ISSUES!$H$5:$H$200,"&lt;&gt;Resolved",ISSUES!$H$5:$H$200,"&lt;&gt;Cancelled",ISSUES!$H$5:$H$200,"&lt;&gt;",ISSUES!$A$5:$A$200,"&lt;&gt;"))</f>
        <v/>
      </c>
      <c r="AB6" s="115" t="n"/>
      <c r="AC6" s="117">
        <f>IF(A6="","",IF(COUNTIF('WORK PACKAGES'!$A$2:$A$100,A6)=0,"NOT IN WORK PACKAGES",IF(COUNTIF($A$2:$A$100,A6)&gt;1,"DUPLICATE","OK")))</f>
        <v/>
      </c>
    </row>
    <row r="7">
      <c r="A7" s="51" t="n"/>
      <c r="B7" s="117">
        <f>IF($A7="","",IFERROR(IF(INDEX('WORK PACKAGES'!$B$2:$B$100,MATCH($A7,'WORK PACKAGES'!$A$2:$A$100,0))="","",INDEX('WORK PACKAGES'!$B$2:$B$100,MATCH($A7,'WORK PACKAGES'!$A$2:$A$100,0))),""))</f>
        <v/>
      </c>
      <c r="C7" s="117">
        <f>IF($A7="","",IFERROR(IF(INDEX('WORK PACKAGES'!$G$2:$G$100,MATCH($A7,'WORK PACKAGES'!$A$2:$A$100,0))="","",INDEX('WORK PACKAGES'!$G$2:$G$100,MATCH($A7,'WORK PACKAGES'!$A$2:$A$100,0))),""))</f>
        <v/>
      </c>
      <c r="D7" s="117">
        <f>IF($A7="","",IFERROR(IF(INDEX('WORK PACKAGES'!$E$2:$E$100,MATCH($A7,'WORK PACKAGES'!$A$2:$A$100,0))="","",INDEX('WORK PACKAGES'!$E$2:$E$100,MATCH($A7,'WORK PACKAGES'!$A$2:$A$100,0))),""))</f>
        <v/>
      </c>
      <c r="E7" s="117">
        <f>IF(A7="","",IF(COUNTIFS('PUNCH LIST'!$G$3:$G$464,A7,'PUNCH LIST'!$Q$3:$Q$464,"Open")=0,"",COUNTIFS('PUNCH LIST'!$G$3:$G$464,A7,'PUNCH LIST'!$Q$3:$Q$464,"Open")))</f>
        <v/>
      </c>
      <c r="F7" s="116" t="n"/>
      <c r="G7" s="116" t="n"/>
      <c r="H7" s="116" t="n"/>
      <c r="I7" s="116" t="n"/>
      <c r="J7" s="116" t="n"/>
      <c r="K7" s="116" t="n"/>
      <c r="L7" s="115" t="n"/>
      <c r="M7" s="115" t="n"/>
      <c r="N7" s="117">
        <f>IF($A7="","",IF(ISBLANK(F7),"",IF(TRIM(F7)="--","--",IF(ISNUMBER(F7),IF(F7&gt;=1,"Yes",IF(F7=0,"No","PARTIAL")),"CHECK"))))</f>
        <v/>
      </c>
      <c r="O7" s="117">
        <f>IF($A7="","",IF(ISBLANK(G7),"",IF(TRIM(G7)="--","--",IF(ISNUMBER(G7),IF(G7&gt;=1,"Yes",IF(G7=0,"No","PARTIAL")),"CHECK"))))</f>
        <v/>
      </c>
      <c r="P7" s="117">
        <f>IF($A7="","",IF(ISBLANK(H7),"",IF(TRIM(H7)="--","--",IF(ISNUMBER(H7),IF(H7&gt;=1,"Yes",IF(H7=0,"No","PARTIAL")),"CHECK"))))</f>
        <v/>
      </c>
      <c r="Q7" s="117">
        <f>IF($A7="","",IF(ISBLANK(I7),"",IF(TRIM(I7)="--","--",IF(ISNUMBER(I7),IF(I7&gt;=1,"Yes",IF(I7=0,"No","PARTIAL")),"CHECK"))))</f>
        <v/>
      </c>
      <c r="R7" s="117">
        <f>IF($A7="","",IF(ISBLANK(J7),"",IF(TRIM(J7)="--","--",IF(ISNUMBER(J7),IF(J7&gt;=1,"Yes",IF(J7=0,"No","PARTIAL")),"CHECK"))))</f>
        <v/>
      </c>
      <c r="S7" s="117">
        <f>IF($A7="","",IF(ISBLANK(K7),"",IF(TRIM(K7)="--","--",IF(ISNUMBER(K7),IF(K7&gt;=1,"Yes",IF(K7=0,"No","PARTIAL")),"CHECK"))))</f>
        <v/>
      </c>
      <c r="T7" s="115" t="n"/>
      <c r="U7" s="115" t="n"/>
      <c r="V7" s="117">
        <f>IF($A7="","",IF(COUNTIF(N7:S7,"--")=6,"--",IF(COUNTIF(N7:S7,"Yes")+COUNTIF(N7:S7,"--")=6,"Yes","No")))</f>
        <v/>
      </c>
      <c r="W7" s="115" t="n"/>
      <c r="X7" s="115" t="n"/>
      <c r="Y7" s="115" t="n"/>
      <c r="Z7" s="117">
        <f>IF($A7="","",COUNTIFS('RFI REGISTER'!$D$5:$D$250,$A7,'RFI REGISTER'!$A$5:$A$250,"RFI-*",'RFI REGISTER'!$C$5:$C$250,"&lt;&gt;Closed",'RFI REGISTER'!$C$5:$C$250,"&lt;&gt;Cancelled"))</f>
        <v/>
      </c>
      <c r="AA7" s="117">
        <f>IF($A7="","",COUNTIFS(ISSUES!$P$5:$P$200,"*"&amp;$A7&amp;"*",ISSUES!$H$5:$H$200,"&lt;&gt;Closed",ISSUES!$H$5:$H$200,"&lt;&gt;Resolved",ISSUES!$H$5:$H$200,"&lt;&gt;Cancelled",ISSUES!$H$5:$H$200,"&lt;&gt;",ISSUES!$A$5:$A$200,"&lt;&gt;"))</f>
        <v/>
      </c>
      <c r="AB7" s="115" t="n"/>
      <c r="AC7" s="117">
        <f>IF(A7="","",IF(COUNTIF('WORK PACKAGES'!$A$2:$A$100,A7)=0,"NOT IN WORK PACKAGES",IF(COUNTIF($A$2:$A$100,A7)&gt;1,"DUPLICATE","OK")))</f>
        <v/>
      </c>
    </row>
    <row r="8">
      <c r="A8" s="51" t="n"/>
      <c r="B8" s="117">
        <f>IF($A8="","",IFERROR(IF(INDEX('WORK PACKAGES'!$B$2:$B$100,MATCH($A8,'WORK PACKAGES'!$A$2:$A$100,0))="","",INDEX('WORK PACKAGES'!$B$2:$B$100,MATCH($A8,'WORK PACKAGES'!$A$2:$A$100,0))),""))</f>
        <v/>
      </c>
      <c r="C8" s="117">
        <f>IF($A8="","",IFERROR(IF(INDEX('WORK PACKAGES'!$G$2:$G$100,MATCH($A8,'WORK PACKAGES'!$A$2:$A$100,0))="","",INDEX('WORK PACKAGES'!$G$2:$G$100,MATCH($A8,'WORK PACKAGES'!$A$2:$A$100,0))),""))</f>
        <v/>
      </c>
      <c r="D8" s="117">
        <f>IF($A8="","",IFERROR(IF(INDEX('WORK PACKAGES'!$E$2:$E$100,MATCH($A8,'WORK PACKAGES'!$A$2:$A$100,0))="","",INDEX('WORK PACKAGES'!$E$2:$E$100,MATCH($A8,'WORK PACKAGES'!$A$2:$A$100,0))),""))</f>
        <v/>
      </c>
      <c r="E8" s="117">
        <f>IF(A8="","",IF(COUNTIFS('PUNCH LIST'!$G$3:$G$464,A8,'PUNCH LIST'!$Q$3:$Q$464,"Open")=0,"",COUNTIFS('PUNCH LIST'!$G$3:$G$464,A8,'PUNCH LIST'!$Q$3:$Q$464,"Open")))</f>
        <v/>
      </c>
      <c r="F8" s="116" t="n"/>
      <c r="G8" s="116" t="n"/>
      <c r="H8" s="116" t="n"/>
      <c r="I8" s="116" t="n"/>
      <c r="J8" s="116" t="n"/>
      <c r="K8" s="116" t="n"/>
      <c r="L8" s="115" t="n"/>
      <c r="M8" s="115" t="n"/>
      <c r="N8" s="117">
        <f>IF($A8="","",IF(ISBLANK(F8),"",IF(TRIM(F8)="--","--",IF(ISNUMBER(F8),IF(F8&gt;=1,"Yes",IF(F8=0,"No","PARTIAL")),"CHECK"))))</f>
        <v/>
      </c>
      <c r="O8" s="117">
        <f>IF($A8="","",IF(ISBLANK(G8),"",IF(TRIM(G8)="--","--",IF(ISNUMBER(G8),IF(G8&gt;=1,"Yes",IF(G8=0,"No","PARTIAL")),"CHECK"))))</f>
        <v/>
      </c>
      <c r="P8" s="117">
        <f>IF($A8="","",IF(ISBLANK(H8),"",IF(TRIM(H8)="--","--",IF(ISNUMBER(H8),IF(H8&gt;=1,"Yes",IF(H8=0,"No","PARTIAL")),"CHECK"))))</f>
        <v/>
      </c>
      <c r="Q8" s="117">
        <f>IF($A8="","",IF(ISBLANK(I8),"",IF(TRIM(I8)="--","--",IF(ISNUMBER(I8),IF(I8&gt;=1,"Yes",IF(I8=0,"No","PARTIAL")),"CHECK"))))</f>
        <v/>
      </c>
      <c r="R8" s="117">
        <f>IF($A8="","",IF(ISBLANK(J8),"",IF(TRIM(J8)="--","--",IF(ISNUMBER(J8),IF(J8&gt;=1,"Yes",IF(J8=0,"No","PARTIAL")),"CHECK"))))</f>
        <v/>
      </c>
      <c r="S8" s="117">
        <f>IF($A8="","",IF(ISBLANK(K8),"",IF(TRIM(K8)="--","--",IF(ISNUMBER(K8),IF(K8&gt;=1,"Yes",IF(K8=0,"No","PARTIAL")),"CHECK"))))</f>
        <v/>
      </c>
      <c r="T8" s="115" t="n"/>
      <c r="U8" s="115" t="n"/>
      <c r="V8" s="117">
        <f>IF($A8="","",IF(COUNTIF(N8:S8,"--")=6,"--",IF(COUNTIF(N8:S8,"Yes")+COUNTIF(N8:S8,"--")=6,"Yes","No")))</f>
        <v/>
      </c>
      <c r="W8" s="115" t="n"/>
      <c r="X8" s="115" t="n"/>
      <c r="Y8" s="115" t="n"/>
      <c r="Z8" s="117">
        <f>IF($A8="","",COUNTIFS('RFI REGISTER'!$D$5:$D$250,$A8,'RFI REGISTER'!$A$5:$A$250,"RFI-*",'RFI REGISTER'!$C$5:$C$250,"&lt;&gt;Closed",'RFI REGISTER'!$C$5:$C$250,"&lt;&gt;Cancelled"))</f>
        <v/>
      </c>
      <c r="AA8" s="117">
        <f>IF($A8="","",COUNTIFS(ISSUES!$P$5:$P$200,"*"&amp;$A8&amp;"*",ISSUES!$H$5:$H$200,"&lt;&gt;Closed",ISSUES!$H$5:$H$200,"&lt;&gt;Resolved",ISSUES!$H$5:$H$200,"&lt;&gt;Cancelled",ISSUES!$H$5:$H$200,"&lt;&gt;",ISSUES!$A$5:$A$200,"&lt;&gt;"))</f>
        <v/>
      </c>
      <c r="AB8" s="115" t="n"/>
      <c r="AC8" s="117">
        <f>IF(A8="","",IF(COUNTIF('WORK PACKAGES'!$A$2:$A$100,A8)=0,"NOT IN WORK PACKAGES",IF(COUNTIF($A$2:$A$100,A8)&gt;1,"DUPLICATE","OK")))</f>
        <v/>
      </c>
    </row>
    <row r="9">
      <c r="A9" s="51" t="n"/>
      <c r="B9" s="117">
        <f>IF($A9="","",IFERROR(IF(INDEX('WORK PACKAGES'!$B$2:$B$100,MATCH($A9,'WORK PACKAGES'!$A$2:$A$100,0))="","",INDEX('WORK PACKAGES'!$B$2:$B$100,MATCH($A9,'WORK PACKAGES'!$A$2:$A$100,0))),""))</f>
        <v/>
      </c>
      <c r="C9" s="117">
        <f>IF($A9="","",IFERROR(IF(INDEX('WORK PACKAGES'!$G$2:$G$100,MATCH($A9,'WORK PACKAGES'!$A$2:$A$100,0))="","",INDEX('WORK PACKAGES'!$G$2:$G$100,MATCH($A9,'WORK PACKAGES'!$A$2:$A$100,0))),""))</f>
        <v/>
      </c>
      <c r="D9" s="117">
        <f>IF($A9="","",IFERROR(IF(INDEX('WORK PACKAGES'!$E$2:$E$100,MATCH($A9,'WORK PACKAGES'!$A$2:$A$100,0))="","",INDEX('WORK PACKAGES'!$E$2:$E$100,MATCH($A9,'WORK PACKAGES'!$A$2:$A$100,0))),""))</f>
        <v/>
      </c>
      <c r="E9" s="117">
        <f>IF(A9="","",IF(COUNTIFS('PUNCH LIST'!$G$3:$G$464,A9,'PUNCH LIST'!$Q$3:$Q$464,"Open")=0,"",COUNTIFS('PUNCH LIST'!$G$3:$G$464,A9,'PUNCH LIST'!$Q$3:$Q$464,"Open")))</f>
        <v/>
      </c>
      <c r="F9" s="116" t="n"/>
      <c r="G9" s="116" t="n"/>
      <c r="H9" s="116" t="n"/>
      <c r="I9" s="116" t="n"/>
      <c r="J9" s="116" t="n"/>
      <c r="K9" s="116" t="n"/>
      <c r="L9" s="115" t="n"/>
      <c r="M9" s="115" t="n"/>
      <c r="N9" s="117">
        <f>IF($A9="","",IF(ISBLANK(F9),"",IF(TRIM(F9)="--","--",IF(ISNUMBER(F9),IF(F9&gt;=1,"Yes",IF(F9=0,"No","PARTIAL")),"CHECK"))))</f>
        <v/>
      </c>
      <c r="O9" s="117">
        <f>IF($A9="","",IF(ISBLANK(G9),"",IF(TRIM(G9)="--","--",IF(ISNUMBER(G9),IF(G9&gt;=1,"Yes",IF(G9=0,"No","PARTIAL")),"CHECK"))))</f>
        <v/>
      </c>
      <c r="P9" s="117">
        <f>IF($A9="","",IF(ISBLANK(H9),"",IF(TRIM(H9)="--","--",IF(ISNUMBER(H9),IF(H9&gt;=1,"Yes",IF(H9=0,"No","PARTIAL")),"CHECK"))))</f>
        <v/>
      </c>
      <c r="Q9" s="117">
        <f>IF($A9="","",IF(ISBLANK(I9),"",IF(TRIM(I9)="--","--",IF(ISNUMBER(I9),IF(I9&gt;=1,"Yes",IF(I9=0,"No","PARTIAL")),"CHECK"))))</f>
        <v/>
      </c>
      <c r="R9" s="117">
        <f>IF($A9="","",IF(ISBLANK(J9),"",IF(TRIM(J9)="--","--",IF(ISNUMBER(J9),IF(J9&gt;=1,"Yes",IF(J9=0,"No","PARTIAL")),"CHECK"))))</f>
        <v/>
      </c>
      <c r="S9" s="117">
        <f>IF($A9="","",IF(ISBLANK(K9),"",IF(TRIM(K9)="--","--",IF(ISNUMBER(K9),IF(K9&gt;=1,"Yes",IF(K9=0,"No","PARTIAL")),"CHECK"))))</f>
        <v/>
      </c>
      <c r="T9" s="115" t="n"/>
      <c r="U9" s="115" t="n"/>
      <c r="V9" s="117">
        <f>IF($A9="","",IF(COUNTIF(N9:S9,"--")=6,"--",IF(COUNTIF(N9:S9,"Yes")+COUNTIF(N9:S9,"--")=6,"Yes","No")))</f>
        <v/>
      </c>
      <c r="W9" s="115" t="n"/>
      <c r="X9" s="115" t="n"/>
      <c r="Y9" s="115" t="n"/>
      <c r="Z9" s="117">
        <f>IF($A9="","",COUNTIFS('RFI REGISTER'!$D$5:$D$250,$A9,'RFI REGISTER'!$A$5:$A$250,"RFI-*",'RFI REGISTER'!$C$5:$C$250,"&lt;&gt;Closed",'RFI REGISTER'!$C$5:$C$250,"&lt;&gt;Cancelled"))</f>
        <v/>
      </c>
      <c r="AA9" s="117">
        <f>IF($A9="","",COUNTIFS(ISSUES!$P$5:$P$200,"*"&amp;$A9&amp;"*",ISSUES!$H$5:$H$200,"&lt;&gt;Closed",ISSUES!$H$5:$H$200,"&lt;&gt;Resolved",ISSUES!$H$5:$H$200,"&lt;&gt;Cancelled",ISSUES!$H$5:$H$200,"&lt;&gt;",ISSUES!$A$5:$A$200,"&lt;&gt;"))</f>
        <v/>
      </c>
      <c r="AB9" s="115" t="n"/>
      <c r="AC9" s="117">
        <f>IF(A9="","",IF(COUNTIF('WORK PACKAGES'!$A$2:$A$100,A9)=0,"NOT IN WORK PACKAGES",IF(COUNTIF($A$2:$A$100,A9)&gt;1,"DUPLICATE","OK")))</f>
        <v/>
      </c>
    </row>
    <row r="10">
      <c r="A10" s="51" t="n"/>
      <c r="B10" s="117">
        <f>IF($A10="","",IFERROR(IF(INDEX('WORK PACKAGES'!$B$2:$B$100,MATCH($A10,'WORK PACKAGES'!$A$2:$A$100,0))="","",INDEX('WORK PACKAGES'!$B$2:$B$100,MATCH($A10,'WORK PACKAGES'!$A$2:$A$100,0))),""))</f>
        <v/>
      </c>
      <c r="C10" s="117">
        <f>IF($A10="","",IFERROR(IF(INDEX('WORK PACKAGES'!$G$2:$G$100,MATCH($A10,'WORK PACKAGES'!$A$2:$A$100,0))="","",INDEX('WORK PACKAGES'!$G$2:$G$100,MATCH($A10,'WORK PACKAGES'!$A$2:$A$100,0))),""))</f>
        <v/>
      </c>
      <c r="D10" s="117">
        <f>IF($A10="","",IFERROR(IF(INDEX('WORK PACKAGES'!$E$2:$E$100,MATCH($A10,'WORK PACKAGES'!$A$2:$A$100,0))="","",INDEX('WORK PACKAGES'!$E$2:$E$100,MATCH($A10,'WORK PACKAGES'!$A$2:$A$100,0))),""))</f>
        <v/>
      </c>
      <c r="E10" s="117">
        <f>IF(A10="","",IF(COUNTIFS('PUNCH LIST'!$G$3:$G$464,A10,'PUNCH LIST'!$Q$3:$Q$464,"Open")=0,"",COUNTIFS('PUNCH LIST'!$G$3:$G$464,A10,'PUNCH LIST'!$Q$3:$Q$464,"Open")))</f>
        <v/>
      </c>
      <c r="F10" s="116" t="n"/>
      <c r="G10" s="116" t="n"/>
      <c r="H10" s="116" t="n"/>
      <c r="I10" s="116" t="n"/>
      <c r="J10" s="116" t="n"/>
      <c r="K10" s="116" t="n"/>
      <c r="L10" s="115" t="n"/>
      <c r="M10" s="115" t="n"/>
      <c r="N10" s="117">
        <f>IF($A10="","",IF(ISBLANK(F10),"",IF(TRIM(F10)="--","--",IF(ISNUMBER(F10),IF(F10&gt;=1,"Yes",IF(F10=0,"No","PARTIAL")),"CHECK"))))</f>
        <v/>
      </c>
      <c r="O10" s="117">
        <f>IF($A10="","",IF(ISBLANK(G10),"",IF(TRIM(G10)="--","--",IF(ISNUMBER(G10),IF(G10&gt;=1,"Yes",IF(G10=0,"No","PARTIAL")),"CHECK"))))</f>
        <v/>
      </c>
      <c r="P10" s="117">
        <f>IF($A10="","",IF(ISBLANK(H10),"",IF(TRIM(H10)="--","--",IF(ISNUMBER(H10),IF(H10&gt;=1,"Yes",IF(H10=0,"No","PARTIAL")),"CHECK"))))</f>
        <v/>
      </c>
      <c r="Q10" s="117">
        <f>IF($A10="","",IF(ISBLANK(I10),"",IF(TRIM(I10)="--","--",IF(ISNUMBER(I10),IF(I10&gt;=1,"Yes",IF(I10=0,"No","PARTIAL")),"CHECK"))))</f>
        <v/>
      </c>
      <c r="R10" s="117">
        <f>IF($A10="","",IF(ISBLANK(J10),"",IF(TRIM(J10)="--","--",IF(ISNUMBER(J10),IF(J10&gt;=1,"Yes",IF(J10=0,"No","PARTIAL")),"CHECK"))))</f>
        <v/>
      </c>
      <c r="S10" s="117">
        <f>IF($A10="","",IF(ISBLANK(K10),"",IF(TRIM(K10)="--","--",IF(ISNUMBER(K10),IF(K10&gt;=1,"Yes",IF(K10=0,"No","PARTIAL")),"CHECK"))))</f>
        <v/>
      </c>
      <c r="T10" s="115" t="n"/>
      <c r="U10" s="115" t="n"/>
      <c r="V10" s="117">
        <f>IF($A10="","",IF(COUNTIF(N10:S10,"--")=6,"--",IF(COUNTIF(N10:S10,"Yes")+COUNTIF(N10:S10,"--")=6,"Yes","No")))</f>
        <v/>
      </c>
      <c r="W10" s="115" t="n"/>
      <c r="X10" s="115" t="n"/>
      <c r="Y10" s="115" t="n"/>
      <c r="Z10" s="117">
        <f>IF($A10="","",COUNTIFS('RFI REGISTER'!$D$5:$D$250,$A10,'RFI REGISTER'!$A$5:$A$250,"RFI-*",'RFI REGISTER'!$C$5:$C$250,"&lt;&gt;Closed",'RFI REGISTER'!$C$5:$C$250,"&lt;&gt;Cancelled"))</f>
        <v/>
      </c>
      <c r="AA10" s="117">
        <f>IF($A10="","",COUNTIFS(ISSUES!$P$5:$P$200,"*"&amp;$A10&amp;"*",ISSUES!$H$5:$H$200,"&lt;&gt;Closed",ISSUES!$H$5:$H$200,"&lt;&gt;Resolved",ISSUES!$H$5:$H$200,"&lt;&gt;Cancelled",ISSUES!$H$5:$H$200,"&lt;&gt;",ISSUES!$A$5:$A$200,"&lt;&gt;"))</f>
        <v/>
      </c>
      <c r="AB10" s="115" t="n"/>
      <c r="AC10" s="117">
        <f>IF(A10="","",IF(COUNTIF('WORK PACKAGES'!$A$2:$A$100,A10)=0,"NOT IN WORK PACKAGES",IF(COUNTIF($A$2:$A$100,A10)&gt;1,"DUPLICATE","OK")))</f>
        <v/>
      </c>
    </row>
    <row r="11">
      <c r="A11" s="51" t="n"/>
      <c r="B11" s="117">
        <f>IF($A11="","",IFERROR(IF(INDEX('WORK PACKAGES'!$B$2:$B$100,MATCH($A11,'WORK PACKAGES'!$A$2:$A$100,0))="","",INDEX('WORK PACKAGES'!$B$2:$B$100,MATCH($A11,'WORK PACKAGES'!$A$2:$A$100,0))),""))</f>
        <v/>
      </c>
      <c r="C11" s="117">
        <f>IF($A11="","",IFERROR(IF(INDEX('WORK PACKAGES'!$G$2:$G$100,MATCH($A11,'WORK PACKAGES'!$A$2:$A$100,0))="","",INDEX('WORK PACKAGES'!$G$2:$G$100,MATCH($A11,'WORK PACKAGES'!$A$2:$A$100,0))),""))</f>
        <v/>
      </c>
      <c r="D11" s="117">
        <f>IF($A11="","",IFERROR(IF(INDEX('WORK PACKAGES'!$E$2:$E$100,MATCH($A11,'WORK PACKAGES'!$A$2:$A$100,0))="","",INDEX('WORK PACKAGES'!$E$2:$E$100,MATCH($A11,'WORK PACKAGES'!$A$2:$A$100,0))),""))</f>
        <v/>
      </c>
      <c r="E11" s="117">
        <f>IF(A11="","",IF(COUNTIFS('PUNCH LIST'!$G$3:$G$464,A11,'PUNCH LIST'!$Q$3:$Q$464,"Open")=0,"",COUNTIFS('PUNCH LIST'!$G$3:$G$464,A11,'PUNCH LIST'!$Q$3:$Q$464,"Open")))</f>
        <v/>
      </c>
      <c r="F11" s="116" t="n"/>
      <c r="G11" s="116" t="n"/>
      <c r="H11" s="116" t="n"/>
      <c r="I11" s="116" t="n"/>
      <c r="J11" s="116" t="n"/>
      <c r="K11" s="116" t="n"/>
      <c r="L11" s="115" t="n"/>
      <c r="M11" s="115" t="n"/>
      <c r="N11" s="117">
        <f>IF($A11="","",IF(ISBLANK(F11),"",IF(TRIM(F11)="--","--",IF(ISNUMBER(F11),IF(F11&gt;=1,"Yes",IF(F11=0,"No","PARTIAL")),"CHECK"))))</f>
        <v/>
      </c>
      <c r="O11" s="117">
        <f>IF($A11="","",IF(ISBLANK(G11),"",IF(TRIM(G11)="--","--",IF(ISNUMBER(G11),IF(G11&gt;=1,"Yes",IF(G11=0,"No","PARTIAL")),"CHECK"))))</f>
        <v/>
      </c>
      <c r="P11" s="117">
        <f>IF($A11="","",IF(ISBLANK(H11),"",IF(TRIM(H11)="--","--",IF(ISNUMBER(H11),IF(H11&gt;=1,"Yes",IF(H11=0,"No","PARTIAL")),"CHECK"))))</f>
        <v/>
      </c>
      <c r="Q11" s="117">
        <f>IF($A11="","",IF(ISBLANK(I11),"",IF(TRIM(I11)="--","--",IF(ISNUMBER(I11),IF(I11&gt;=1,"Yes",IF(I11=0,"No","PARTIAL")),"CHECK"))))</f>
        <v/>
      </c>
      <c r="R11" s="117">
        <f>IF($A11="","",IF(ISBLANK(J11),"",IF(TRIM(J11)="--","--",IF(ISNUMBER(J11),IF(J11&gt;=1,"Yes",IF(J11=0,"No","PARTIAL")),"CHECK"))))</f>
        <v/>
      </c>
      <c r="S11" s="117">
        <f>IF($A11="","",IF(ISBLANK(K11),"",IF(TRIM(K11)="--","--",IF(ISNUMBER(K11),IF(K11&gt;=1,"Yes",IF(K11=0,"No","PARTIAL")),"CHECK"))))</f>
        <v/>
      </c>
      <c r="T11" s="115" t="n"/>
      <c r="U11" s="115" t="n"/>
      <c r="V11" s="117">
        <f>IF($A11="","",IF(COUNTIF(N11:S11,"--")=6,"--",IF(COUNTIF(N11:S11,"Yes")+COUNTIF(N11:S11,"--")=6,"Yes","No")))</f>
        <v/>
      </c>
      <c r="W11" s="115" t="n"/>
      <c r="X11" s="115" t="n"/>
      <c r="Y11" s="115" t="n"/>
      <c r="Z11" s="117">
        <f>IF($A11="","",COUNTIFS('RFI REGISTER'!$D$5:$D$250,$A11,'RFI REGISTER'!$A$5:$A$250,"RFI-*",'RFI REGISTER'!$C$5:$C$250,"&lt;&gt;Closed",'RFI REGISTER'!$C$5:$C$250,"&lt;&gt;Cancelled"))</f>
        <v/>
      </c>
      <c r="AA11" s="117">
        <f>IF($A11="","",COUNTIFS(ISSUES!$P$5:$P$200,"*"&amp;$A11&amp;"*",ISSUES!$H$5:$H$200,"&lt;&gt;Closed",ISSUES!$H$5:$H$200,"&lt;&gt;Resolved",ISSUES!$H$5:$H$200,"&lt;&gt;Cancelled",ISSUES!$H$5:$H$200,"&lt;&gt;",ISSUES!$A$5:$A$200,"&lt;&gt;"))</f>
        <v/>
      </c>
      <c r="AB11" s="115" t="n"/>
      <c r="AC11" s="117">
        <f>IF(A11="","",IF(COUNTIF('WORK PACKAGES'!$A$2:$A$100,A11)=0,"NOT IN WORK PACKAGES",IF(COUNTIF($A$2:$A$100,A11)&gt;1,"DUPLICATE","OK")))</f>
        <v/>
      </c>
    </row>
    <row r="12">
      <c r="A12" s="51" t="n"/>
      <c r="B12" s="117">
        <f>IF($A12="","",IFERROR(IF(INDEX('WORK PACKAGES'!$B$2:$B$100,MATCH($A12,'WORK PACKAGES'!$A$2:$A$100,0))="","",INDEX('WORK PACKAGES'!$B$2:$B$100,MATCH($A12,'WORK PACKAGES'!$A$2:$A$100,0))),""))</f>
        <v/>
      </c>
      <c r="C12" s="117">
        <f>IF($A12="","",IFERROR(IF(INDEX('WORK PACKAGES'!$G$2:$G$100,MATCH($A12,'WORK PACKAGES'!$A$2:$A$100,0))="","",INDEX('WORK PACKAGES'!$G$2:$G$100,MATCH($A12,'WORK PACKAGES'!$A$2:$A$100,0))),""))</f>
        <v/>
      </c>
      <c r="D12" s="117">
        <f>IF($A12="","",IFERROR(IF(INDEX('WORK PACKAGES'!$E$2:$E$100,MATCH($A12,'WORK PACKAGES'!$A$2:$A$100,0))="","",INDEX('WORK PACKAGES'!$E$2:$E$100,MATCH($A12,'WORK PACKAGES'!$A$2:$A$100,0))),""))</f>
        <v/>
      </c>
      <c r="E12" s="117">
        <f>IF(A12="","",IF(COUNTIFS('PUNCH LIST'!$G$3:$G$464,A12,'PUNCH LIST'!$Q$3:$Q$464,"Open")=0,"",COUNTIFS('PUNCH LIST'!$G$3:$G$464,A12,'PUNCH LIST'!$Q$3:$Q$464,"Open")))</f>
        <v/>
      </c>
      <c r="F12" s="116" t="n"/>
      <c r="G12" s="116" t="n"/>
      <c r="H12" s="116" t="n"/>
      <c r="I12" s="116" t="n"/>
      <c r="J12" s="116" t="n"/>
      <c r="K12" s="116" t="n"/>
      <c r="L12" s="115" t="n"/>
      <c r="M12" s="115" t="n"/>
      <c r="N12" s="117">
        <f>IF($A12="","",IF(ISBLANK(F12),"",IF(TRIM(F12)="--","--",IF(ISNUMBER(F12),IF(F12&gt;=1,"Yes",IF(F12=0,"No","PARTIAL")),"CHECK"))))</f>
        <v/>
      </c>
      <c r="O12" s="117">
        <f>IF($A12="","",IF(ISBLANK(G12),"",IF(TRIM(G12)="--","--",IF(ISNUMBER(G12),IF(G12&gt;=1,"Yes",IF(G12=0,"No","PARTIAL")),"CHECK"))))</f>
        <v/>
      </c>
      <c r="P12" s="117">
        <f>IF($A12="","",IF(ISBLANK(H12),"",IF(TRIM(H12)="--","--",IF(ISNUMBER(H12),IF(H12&gt;=1,"Yes",IF(H12=0,"No","PARTIAL")),"CHECK"))))</f>
        <v/>
      </c>
      <c r="Q12" s="117">
        <f>IF($A12="","",IF(ISBLANK(I12),"",IF(TRIM(I12)="--","--",IF(ISNUMBER(I12),IF(I12&gt;=1,"Yes",IF(I12=0,"No","PARTIAL")),"CHECK"))))</f>
        <v/>
      </c>
      <c r="R12" s="117">
        <f>IF($A12="","",IF(ISBLANK(J12),"",IF(TRIM(J12)="--","--",IF(ISNUMBER(J12),IF(J12&gt;=1,"Yes",IF(J12=0,"No","PARTIAL")),"CHECK"))))</f>
        <v/>
      </c>
      <c r="S12" s="117">
        <f>IF($A12="","",IF(ISBLANK(K12),"",IF(TRIM(K12)="--","--",IF(ISNUMBER(K12),IF(K12&gt;=1,"Yes",IF(K12=0,"No","PARTIAL")),"CHECK"))))</f>
        <v/>
      </c>
      <c r="T12" s="115" t="n"/>
      <c r="U12" s="115" t="n"/>
      <c r="V12" s="117">
        <f>IF($A12="","",IF(COUNTIF(N12:S12,"--")=6,"--",IF(COUNTIF(N12:S12,"Yes")+COUNTIF(N12:S12,"--")=6,"Yes","No")))</f>
        <v/>
      </c>
      <c r="W12" s="115" t="n"/>
      <c r="X12" s="115" t="n"/>
      <c r="Y12" s="115" t="n"/>
      <c r="Z12" s="117">
        <f>IF($A12="","",COUNTIFS('RFI REGISTER'!$D$5:$D$250,$A12,'RFI REGISTER'!$A$5:$A$250,"RFI-*",'RFI REGISTER'!$C$5:$C$250,"&lt;&gt;Closed",'RFI REGISTER'!$C$5:$C$250,"&lt;&gt;Cancelled"))</f>
        <v/>
      </c>
      <c r="AA12" s="117">
        <f>IF($A12="","",COUNTIFS(ISSUES!$P$5:$P$200,"*"&amp;$A12&amp;"*",ISSUES!$H$5:$H$200,"&lt;&gt;Closed",ISSUES!$H$5:$H$200,"&lt;&gt;Resolved",ISSUES!$H$5:$H$200,"&lt;&gt;Cancelled",ISSUES!$H$5:$H$200,"&lt;&gt;",ISSUES!$A$5:$A$200,"&lt;&gt;"))</f>
        <v/>
      </c>
      <c r="AB12" s="115" t="n"/>
      <c r="AC12" s="117">
        <f>IF(A12="","",IF(COUNTIF('WORK PACKAGES'!$A$2:$A$100,A12)=0,"NOT IN WORK PACKAGES",IF(COUNTIF($A$2:$A$100,A12)&gt;1,"DUPLICATE","OK")))</f>
        <v/>
      </c>
    </row>
    <row r="13">
      <c r="A13" s="51" t="n"/>
      <c r="B13" s="117">
        <f>IF($A13="","",IFERROR(IF(INDEX('WORK PACKAGES'!$B$2:$B$100,MATCH($A13,'WORK PACKAGES'!$A$2:$A$100,0))="","",INDEX('WORK PACKAGES'!$B$2:$B$100,MATCH($A13,'WORK PACKAGES'!$A$2:$A$100,0))),""))</f>
        <v/>
      </c>
      <c r="C13" s="117">
        <f>IF($A13="","",IFERROR(IF(INDEX('WORK PACKAGES'!$G$2:$G$100,MATCH($A13,'WORK PACKAGES'!$A$2:$A$100,0))="","",INDEX('WORK PACKAGES'!$G$2:$G$100,MATCH($A13,'WORK PACKAGES'!$A$2:$A$100,0))),""))</f>
        <v/>
      </c>
      <c r="D13" s="117">
        <f>IF($A13="","",IFERROR(IF(INDEX('WORK PACKAGES'!$E$2:$E$100,MATCH($A13,'WORK PACKAGES'!$A$2:$A$100,0))="","",INDEX('WORK PACKAGES'!$E$2:$E$100,MATCH($A13,'WORK PACKAGES'!$A$2:$A$100,0))),""))</f>
        <v/>
      </c>
      <c r="E13" s="117">
        <f>IF(A13="","",IF(COUNTIFS('PUNCH LIST'!$G$3:$G$464,A13,'PUNCH LIST'!$Q$3:$Q$464,"Open")=0,"",COUNTIFS('PUNCH LIST'!$G$3:$G$464,A13,'PUNCH LIST'!$Q$3:$Q$464,"Open")))</f>
        <v/>
      </c>
      <c r="F13" s="116" t="n"/>
      <c r="G13" s="116" t="n"/>
      <c r="H13" s="116" t="n"/>
      <c r="I13" s="116" t="n"/>
      <c r="J13" s="116" t="n"/>
      <c r="K13" s="116" t="n"/>
      <c r="L13" s="115" t="n"/>
      <c r="M13" s="115" t="n"/>
      <c r="N13" s="117">
        <f>IF($A13="","",IF(ISBLANK(F13),"",IF(TRIM(F13)="--","--",IF(ISNUMBER(F13),IF(F13&gt;=1,"Yes",IF(F13=0,"No","PARTIAL")),"CHECK"))))</f>
        <v/>
      </c>
      <c r="O13" s="117">
        <f>IF($A13="","",IF(ISBLANK(G13),"",IF(TRIM(G13)="--","--",IF(ISNUMBER(G13),IF(G13&gt;=1,"Yes",IF(G13=0,"No","PARTIAL")),"CHECK"))))</f>
        <v/>
      </c>
      <c r="P13" s="117">
        <f>IF($A13="","",IF(ISBLANK(H13),"",IF(TRIM(H13)="--","--",IF(ISNUMBER(H13),IF(H13&gt;=1,"Yes",IF(H13=0,"No","PARTIAL")),"CHECK"))))</f>
        <v/>
      </c>
      <c r="Q13" s="117">
        <f>IF($A13="","",IF(ISBLANK(I13),"",IF(TRIM(I13)="--","--",IF(ISNUMBER(I13),IF(I13&gt;=1,"Yes",IF(I13=0,"No","PARTIAL")),"CHECK"))))</f>
        <v/>
      </c>
      <c r="R13" s="117">
        <f>IF($A13="","",IF(ISBLANK(J13),"",IF(TRIM(J13)="--","--",IF(ISNUMBER(J13),IF(J13&gt;=1,"Yes",IF(J13=0,"No","PARTIAL")),"CHECK"))))</f>
        <v/>
      </c>
      <c r="S13" s="117">
        <f>IF($A13="","",IF(ISBLANK(K13),"",IF(TRIM(K13)="--","--",IF(ISNUMBER(K13),IF(K13&gt;=1,"Yes",IF(K13=0,"No","PARTIAL")),"CHECK"))))</f>
        <v/>
      </c>
      <c r="T13" s="115" t="n"/>
      <c r="U13" s="115" t="n"/>
      <c r="V13" s="117">
        <f>IF($A13="","",IF(COUNTIF(N13:S13,"--")=6,"--",IF(COUNTIF(N13:S13,"Yes")+COUNTIF(N13:S13,"--")=6,"Yes","No")))</f>
        <v/>
      </c>
      <c r="W13" s="115" t="n"/>
      <c r="X13" s="115" t="n"/>
      <c r="Y13" s="115" t="n"/>
      <c r="Z13" s="117">
        <f>IF($A13="","",COUNTIFS('RFI REGISTER'!$D$5:$D$250,$A13,'RFI REGISTER'!$A$5:$A$250,"RFI-*",'RFI REGISTER'!$C$5:$C$250,"&lt;&gt;Closed",'RFI REGISTER'!$C$5:$C$250,"&lt;&gt;Cancelled"))</f>
        <v/>
      </c>
      <c r="AA13" s="117">
        <f>IF($A13="","",COUNTIFS(ISSUES!$P$5:$P$200,"*"&amp;$A13&amp;"*",ISSUES!$H$5:$H$200,"&lt;&gt;Closed",ISSUES!$H$5:$H$200,"&lt;&gt;Resolved",ISSUES!$H$5:$H$200,"&lt;&gt;Cancelled",ISSUES!$H$5:$H$200,"&lt;&gt;",ISSUES!$A$5:$A$200,"&lt;&gt;"))</f>
        <v/>
      </c>
      <c r="AB13" s="115" t="n"/>
      <c r="AC13" s="117">
        <f>IF(A13="","",IF(COUNTIF('WORK PACKAGES'!$A$2:$A$100,A13)=0,"NOT IN WORK PACKAGES",IF(COUNTIF($A$2:$A$100,A13)&gt;1,"DUPLICATE","OK")))</f>
        <v/>
      </c>
    </row>
    <row r="14">
      <c r="A14" s="51" t="n"/>
      <c r="B14" s="117">
        <f>IF($A14="","",IFERROR(IF(INDEX('WORK PACKAGES'!$B$2:$B$100,MATCH($A14,'WORK PACKAGES'!$A$2:$A$100,0))="","",INDEX('WORK PACKAGES'!$B$2:$B$100,MATCH($A14,'WORK PACKAGES'!$A$2:$A$100,0))),""))</f>
        <v/>
      </c>
      <c r="C14" s="117">
        <f>IF($A14="","",IFERROR(IF(INDEX('WORK PACKAGES'!$G$2:$G$100,MATCH($A14,'WORK PACKAGES'!$A$2:$A$100,0))="","",INDEX('WORK PACKAGES'!$G$2:$G$100,MATCH($A14,'WORK PACKAGES'!$A$2:$A$100,0))),""))</f>
        <v/>
      </c>
      <c r="D14" s="117">
        <f>IF($A14="","",IFERROR(IF(INDEX('WORK PACKAGES'!$E$2:$E$100,MATCH($A14,'WORK PACKAGES'!$A$2:$A$100,0))="","",INDEX('WORK PACKAGES'!$E$2:$E$100,MATCH($A14,'WORK PACKAGES'!$A$2:$A$100,0))),""))</f>
        <v/>
      </c>
      <c r="E14" s="117">
        <f>IF(A14="","",IF(COUNTIFS('PUNCH LIST'!$G$3:$G$464,A14,'PUNCH LIST'!$Q$3:$Q$464,"Open")=0,"",COUNTIFS('PUNCH LIST'!$G$3:$G$464,A14,'PUNCH LIST'!$Q$3:$Q$464,"Open")))</f>
        <v/>
      </c>
      <c r="F14" s="116" t="n"/>
      <c r="G14" s="116" t="n"/>
      <c r="H14" s="116" t="n"/>
      <c r="I14" s="116" t="n"/>
      <c r="J14" s="116" t="n"/>
      <c r="K14" s="116" t="n"/>
      <c r="L14" s="115" t="n"/>
      <c r="M14" s="115" t="n"/>
      <c r="N14" s="117">
        <f>IF($A14="","",IF(ISBLANK(F14),"",IF(TRIM(F14)="--","--",IF(ISNUMBER(F14),IF(F14&gt;=1,"Yes",IF(F14=0,"No","PARTIAL")),"CHECK"))))</f>
        <v/>
      </c>
      <c r="O14" s="117">
        <f>IF($A14="","",IF(ISBLANK(G14),"",IF(TRIM(G14)="--","--",IF(ISNUMBER(G14),IF(G14&gt;=1,"Yes",IF(G14=0,"No","PARTIAL")),"CHECK"))))</f>
        <v/>
      </c>
      <c r="P14" s="117">
        <f>IF($A14="","",IF(ISBLANK(H14),"",IF(TRIM(H14)="--","--",IF(ISNUMBER(H14),IF(H14&gt;=1,"Yes",IF(H14=0,"No","PARTIAL")),"CHECK"))))</f>
        <v/>
      </c>
      <c r="Q14" s="117">
        <f>IF($A14="","",IF(ISBLANK(I14),"",IF(TRIM(I14)="--","--",IF(ISNUMBER(I14),IF(I14&gt;=1,"Yes",IF(I14=0,"No","PARTIAL")),"CHECK"))))</f>
        <v/>
      </c>
      <c r="R14" s="117">
        <f>IF($A14="","",IF(ISBLANK(J14),"",IF(TRIM(J14)="--","--",IF(ISNUMBER(J14),IF(J14&gt;=1,"Yes",IF(J14=0,"No","PARTIAL")),"CHECK"))))</f>
        <v/>
      </c>
      <c r="S14" s="117">
        <f>IF($A14="","",IF(ISBLANK(K14),"",IF(TRIM(K14)="--","--",IF(ISNUMBER(K14),IF(K14&gt;=1,"Yes",IF(K14=0,"No","PARTIAL")),"CHECK"))))</f>
        <v/>
      </c>
      <c r="T14" s="115" t="n"/>
      <c r="U14" s="115" t="n"/>
      <c r="V14" s="117">
        <f>IF($A14="","",IF(COUNTIF(N14:S14,"--")=6,"--",IF(COUNTIF(N14:S14,"Yes")+COUNTIF(N14:S14,"--")=6,"Yes","No")))</f>
        <v/>
      </c>
      <c r="W14" s="115" t="n"/>
      <c r="X14" s="115" t="n"/>
      <c r="Y14" s="115" t="n"/>
      <c r="Z14" s="117">
        <f>IF($A14="","",COUNTIFS('RFI REGISTER'!$D$5:$D$250,$A14,'RFI REGISTER'!$A$5:$A$250,"RFI-*",'RFI REGISTER'!$C$5:$C$250,"&lt;&gt;Closed",'RFI REGISTER'!$C$5:$C$250,"&lt;&gt;Cancelled"))</f>
        <v/>
      </c>
      <c r="AA14" s="117">
        <f>IF($A14="","",COUNTIFS(ISSUES!$P$5:$P$200,"*"&amp;$A14&amp;"*",ISSUES!$H$5:$H$200,"&lt;&gt;Closed",ISSUES!$H$5:$H$200,"&lt;&gt;Resolved",ISSUES!$H$5:$H$200,"&lt;&gt;Cancelled",ISSUES!$H$5:$H$200,"&lt;&gt;",ISSUES!$A$5:$A$200,"&lt;&gt;"))</f>
        <v/>
      </c>
      <c r="AB14" s="115" t="n"/>
      <c r="AC14" s="117">
        <f>IF(A14="","",IF(COUNTIF('WORK PACKAGES'!$A$2:$A$100,A14)=0,"NOT IN WORK PACKAGES",IF(COUNTIF($A$2:$A$100,A14)&gt;1,"DUPLICATE","OK")))</f>
        <v/>
      </c>
    </row>
    <row r="15">
      <c r="A15" s="51" t="n"/>
      <c r="B15" s="117">
        <f>IF($A15="","",IFERROR(IF(INDEX('WORK PACKAGES'!$B$2:$B$100,MATCH($A15,'WORK PACKAGES'!$A$2:$A$100,0))="","",INDEX('WORK PACKAGES'!$B$2:$B$100,MATCH($A15,'WORK PACKAGES'!$A$2:$A$100,0))),""))</f>
        <v/>
      </c>
      <c r="C15" s="117">
        <f>IF($A15="","",IFERROR(IF(INDEX('WORK PACKAGES'!$G$2:$G$100,MATCH($A15,'WORK PACKAGES'!$A$2:$A$100,0))="","",INDEX('WORK PACKAGES'!$G$2:$G$100,MATCH($A15,'WORK PACKAGES'!$A$2:$A$100,0))),""))</f>
        <v/>
      </c>
      <c r="D15" s="117">
        <f>IF($A15="","",IFERROR(IF(INDEX('WORK PACKAGES'!$E$2:$E$100,MATCH($A15,'WORK PACKAGES'!$A$2:$A$100,0))="","",INDEX('WORK PACKAGES'!$E$2:$E$100,MATCH($A15,'WORK PACKAGES'!$A$2:$A$100,0))),""))</f>
        <v/>
      </c>
      <c r="E15" s="117">
        <f>IF(A15="","",IF(COUNTIFS('PUNCH LIST'!$G$3:$G$464,A15,'PUNCH LIST'!$Q$3:$Q$464,"Open")=0,"",COUNTIFS('PUNCH LIST'!$G$3:$G$464,A15,'PUNCH LIST'!$Q$3:$Q$464,"Open")))</f>
        <v/>
      </c>
      <c r="F15" s="116" t="n"/>
      <c r="G15" s="116" t="n"/>
      <c r="H15" s="116" t="n"/>
      <c r="I15" s="116" t="n"/>
      <c r="J15" s="116" t="n"/>
      <c r="K15" s="116" t="n"/>
      <c r="L15" s="115" t="n"/>
      <c r="M15" s="115" t="n"/>
      <c r="N15" s="117">
        <f>IF($A15="","",IF(ISBLANK(F15),"",IF(TRIM(F15)="--","--",IF(ISNUMBER(F15),IF(F15&gt;=1,"Yes",IF(F15=0,"No","PARTIAL")),"CHECK"))))</f>
        <v/>
      </c>
      <c r="O15" s="117">
        <f>IF($A15="","",IF(ISBLANK(G15),"",IF(TRIM(G15)="--","--",IF(ISNUMBER(G15),IF(G15&gt;=1,"Yes",IF(G15=0,"No","PARTIAL")),"CHECK"))))</f>
        <v/>
      </c>
      <c r="P15" s="117">
        <f>IF($A15="","",IF(ISBLANK(H15),"",IF(TRIM(H15)="--","--",IF(ISNUMBER(H15),IF(H15&gt;=1,"Yes",IF(H15=0,"No","PARTIAL")),"CHECK"))))</f>
        <v/>
      </c>
      <c r="Q15" s="117">
        <f>IF($A15="","",IF(ISBLANK(I15),"",IF(TRIM(I15)="--","--",IF(ISNUMBER(I15),IF(I15&gt;=1,"Yes",IF(I15=0,"No","PARTIAL")),"CHECK"))))</f>
        <v/>
      </c>
      <c r="R15" s="117">
        <f>IF($A15="","",IF(ISBLANK(J15),"",IF(TRIM(J15)="--","--",IF(ISNUMBER(J15),IF(J15&gt;=1,"Yes",IF(J15=0,"No","PARTIAL")),"CHECK"))))</f>
        <v/>
      </c>
      <c r="S15" s="117">
        <f>IF($A15="","",IF(ISBLANK(K15),"",IF(TRIM(K15)="--","--",IF(ISNUMBER(K15),IF(K15&gt;=1,"Yes",IF(K15=0,"No","PARTIAL")),"CHECK"))))</f>
        <v/>
      </c>
      <c r="T15" s="115" t="n"/>
      <c r="U15" s="115" t="n"/>
      <c r="V15" s="117">
        <f>IF($A15="","",IF(COUNTIF(N15:S15,"--")=6,"--",IF(COUNTIF(N15:S15,"Yes")+COUNTIF(N15:S15,"--")=6,"Yes","No")))</f>
        <v/>
      </c>
      <c r="W15" s="115" t="n"/>
      <c r="X15" s="115" t="n"/>
      <c r="Y15" s="115" t="n"/>
      <c r="Z15" s="117">
        <f>IF($A15="","",COUNTIFS('RFI REGISTER'!$D$5:$D$250,$A15,'RFI REGISTER'!$A$5:$A$250,"RFI-*",'RFI REGISTER'!$C$5:$C$250,"&lt;&gt;Closed",'RFI REGISTER'!$C$5:$C$250,"&lt;&gt;Cancelled"))</f>
        <v/>
      </c>
      <c r="AA15" s="117">
        <f>IF($A15="","",COUNTIFS(ISSUES!$P$5:$P$200,"*"&amp;$A15&amp;"*",ISSUES!$H$5:$H$200,"&lt;&gt;Closed",ISSUES!$H$5:$H$200,"&lt;&gt;Resolved",ISSUES!$H$5:$H$200,"&lt;&gt;Cancelled",ISSUES!$H$5:$H$200,"&lt;&gt;",ISSUES!$A$5:$A$200,"&lt;&gt;"))</f>
        <v/>
      </c>
      <c r="AB15" s="115" t="n"/>
      <c r="AC15" s="117">
        <f>IF(A15="","",IF(COUNTIF('WORK PACKAGES'!$A$2:$A$100,A15)=0,"NOT IN WORK PACKAGES",IF(COUNTIF($A$2:$A$100,A15)&gt;1,"DUPLICATE","OK")))</f>
        <v/>
      </c>
    </row>
    <row r="16">
      <c r="A16" s="51" t="n"/>
      <c r="B16" s="117">
        <f>IF($A16="","",IFERROR(IF(INDEX('WORK PACKAGES'!$B$2:$B$100,MATCH($A16,'WORK PACKAGES'!$A$2:$A$100,0))="","",INDEX('WORK PACKAGES'!$B$2:$B$100,MATCH($A16,'WORK PACKAGES'!$A$2:$A$100,0))),""))</f>
        <v/>
      </c>
      <c r="C16" s="117">
        <f>IF($A16="","",IFERROR(IF(INDEX('WORK PACKAGES'!$G$2:$G$100,MATCH($A16,'WORK PACKAGES'!$A$2:$A$100,0))="","",INDEX('WORK PACKAGES'!$G$2:$G$100,MATCH($A16,'WORK PACKAGES'!$A$2:$A$100,0))),""))</f>
        <v/>
      </c>
      <c r="D16" s="117">
        <f>IF($A16="","",IFERROR(IF(INDEX('WORK PACKAGES'!$E$2:$E$100,MATCH($A16,'WORK PACKAGES'!$A$2:$A$100,0))="","",INDEX('WORK PACKAGES'!$E$2:$E$100,MATCH($A16,'WORK PACKAGES'!$A$2:$A$100,0))),""))</f>
        <v/>
      </c>
      <c r="E16" s="117">
        <f>IF(A16="","",IF(COUNTIFS('PUNCH LIST'!$G$3:$G$464,A16,'PUNCH LIST'!$Q$3:$Q$464,"Open")=0,"",COUNTIFS('PUNCH LIST'!$G$3:$G$464,A16,'PUNCH LIST'!$Q$3:$Q$464,"Open")))</f>
        <v/>
      </c>
      <c r="F16" s="116" t="n"/>
      <c r="G16" s="116" t="n"/>
      <c r="H16" s="116" t="n"/>
      <c r="I16" s="116" t="n"/>
      <c r="J16" s="116" t="n"/>
      <c r="K16" s="116" t="n"/>
      <c r="L16" s="115" t="n"/>
      <c r="M16" s="115" t="n"/>
      <c r="N16" s="117">
        <f>IF($A16="","",IF(ISBLANK(F16),"",IF(TRIM(F16)="--","--",IF(ISNUMBER(F16),IF(F16&gt;=1,"Yes",IF(F16=0,"No","PARTIAL")),"CHECK"))))</f>
        <v/>
      </c>
      <c r="O16" s="117">
        <f>IF($A16="","",IF(ISBLANK(G16),"",IF(TRIM(G16)="--","--",IF(ISNUMBER(G16),IF(G16&gt;=1,"Yes",IF(G16=0,"No","PARTIAL")),"CHECK"))))</f>
        <v/>
      </c>
      <c r="P16" s="117">
        <f>IF($A16="","",IF(ISBLANK(H16),"",IF(TRIM(H16)="--","--",IF(ISNUMBER(H16),IF(H16&gt;=1,"Yes",IF(H16=0,"No","PARTIAL")),"CHECK"))))</f>
        <v/>
      </c>
      <c r="Q16" s="117">
        <f>IF($A16="","",IF(ISBLANK(I16),"",IF(TRIM(I16)="--","--",IF(ISNUMBER(I16),IF(I16&gt;=1,"Yes",IF(I16=0,"No","PARTIAL")),"CHECK"))))</f>
        <v/>
      </c>
      <c r="R16" s="117">
        <f>IF($A16="","",IF(ISBLANK(J16),"",IF(TRIM(J16)="--","--",IF(ISNUMBER(J16),IF(J16&gt;=1,"Yes",IF(J16=0,"No","PARTIAL")),"CHECK"))))</f>
        <v/>
      </c>
      <c r="S16" s="117">
        <f>IF($A16="","",IF(ISBLANK(K16),"",IF(TRIM(K16)="--","--",IF(ISNUMBER(K16),IF(K16&gt;=1,"Yes",IF(K16=0,"No","PARTIAL")),"CHECK"))))</f>
        <v/>
      </c>
      <c r="T16" s="115" t="n"/>
      <c r="U16" s="115" t="n"/>
      <c r="V16" s="117">
        <f>IF($A16="","",IF(COUNTIF(N16:S16,"--")=6,"--",IF(COUNTIF(N16:S16,"Yes")+COUNTIF(N16:S16,"--")=6,"Yes","No")))</f>
        <v/>
      </c>
      <c r="W16" s="115" t="n"/>
      <c r="X16" s="115" t="n"/>
      <c r="Y16" s="115" t="n"/>
      <c r="Z16" s="117">
        <f>IF($A16="","",COUNTIFS('RFI REGISTER'!$D$5:$D$250,$A16,'RFI REGISTER'!$A$5:$A$250,"RFI-*",'RFI REGISTER'!$C$5:$C$250,"&lt;&gt;Closed",'RFI REGISTER'!$C$5:$C$250,"&lt;&gt;Cancelled"))</f>
        <v/>
      </c>
      <c r="AA16" s="117">
        <f>IF($A16="","",COUNTIFS(ISSUES!$P$5:$P$200,"*"&amp;$A16&amp;"*",ISSUES!$H$5:$H$200,"&lt;&gt;Closed",ISSUES!$H$5:$H$200,"&lt;&gt;Resolved",ISSUES!$H$5:$H$200,"&lt;&gt;Cancelled",ISSUES!$H$5:$H$200,"&lt;&gt;",ISSUES!$A$5:$A$200,"&lt;&gt;"))</f>
        <v/>
      </c>
      <c r="AB16" s="115" t="n"/>
      <c r="AC16" s="117">
        <f>IF(A16="","",IF(COUNTIF('WORK PACKAGES'!$A$2:$A$100,A16)=0,"NOT IN WORK PACKAGES",IF(COUNTIF($A$2:$A$100,A16)&gt;1,"DUPLICATE","OK")))</f>
        <v/>
      </c>
    </row>
    <row r="17">
      <c r="A17" s="51" t="n"/>
      <c r="B17" s="117">
        <f>IF($A17="","",IFERROR(IF(INDEX('WORK PACKAGES'!$B$2:$B$100,MATCH($A17,'WORK PACKAGES'!$A$2:$A$100,0))="","",INDEX('WORK PACKAGES'!$B$2:$B$100,MATCH($A17,'WORK PACKAGES'!$A$2:$A$100,0))),""))</f>
        <v/>
      </c>
      <c r="C17" s="117">
        <f>IF($A17="","",IFERROR(IF(INDEX('WORK PACKAGES'!$G$2:$G$100,MATCH($A17,'WORK PACKAGES'!$A$2:$A$100,0))="","",INDEX('WORK PACKAGES'!$G$2:$G$100,MATCH($A17,'WORK PACKAGES'!$A$2:$A$100,0))),""))</f>
        <v/>
      </c>
      <c r="D17" s="117">
        <f>IF($A17="","",IFERROR(IF(INDEX('WORK PACKAGES'!$E$2:$E$100,MATCH($A17,'WORK PACKAGES'!$A$2:$A$100,0))="","",INDEX('WORK PACKAGES'!$E$2:$E$100,MATCH($A17,'WORK PACKAGES'!$A$2:$A$100,0))),""))</f>
        <v/>
      </c>
      <c r="E17" s="117">
        <f>IF(A17="","",IF(COUNTIFS('PUNCH LIST'!$G$3:$G$464,A17,'PUNCH LIST'!$Q$3:$Q$464,"Open")=0,"",COUNTIFS('PUNCH LIST'!$G$3:$G$464,A17,'PUNCH LIST'!$Q$3:$Q$464,"Open")))</f>
        <v/>
      </c>
      <c r="F17" s="116" t="n"/>
      <c r="G17" s="116" t="n"/>
      <c r="H17" s="116" t="n"/>
      <c r="I17" s="116" t="n"/>
      <c r="J17" s="116" t="n"/>
      <c r="K17" s="116" t="n"/>
      <c r="L17" s="115" t="n"/>
      <c r="M17" s="115" t="n"/>
      <c r="N17" s="117">
        <f>IF($A17="","",IF(ISBLANK(F17),"",IF(TRIM(F17)="--","--",IF(ISNUMBER(F17),IF(F17&gt;=1,"Yes",IF(F17=0,"No","PARTIAL")),"CHECK"))))</f>
        <v/>
      </c>
      <c r="O17" s="117">
        <f>IF($A17="","",IF(ISBLANK(G17),"",IF(TRIM(G17)="--","--",IF(ISNUMBER(G17),IF(G17&gt;=1,"Yes",IF(G17=0,"No","PARTIAL")),"CHECK"))))</f>
        <v/>
      </c>
      <c r="P17" s="117">
        <f>IF($A17="","",IF(ISBLANK(H17),"",IF(TRIM(H17)="--","--",IF(ISNUMBER(H17),IF(H17&gt;=1,"Yes",IF(H17=0,"No","PARTIAL")),"CHECK"))))</f>
        <v/>
      </c>
      <c r="Q17" s="117">
        <f>IF($A17="","",IF(ISBLANK(I17),"",IF(TRIM(I17)="--","--",IF(ISNUMBER(I17),IF(I17&gt;=1,"Yes",IF(I17=0,"No","PARTIAL")),"CHECK"))))</f>
        <v/>
      </c>
      <c r="R17" s="117">
        <f>IF($A17="","",IF(ISBLANK(J17),"",IF(TRIM(J17)="--","--",IF(ISNUMBER(J17),IF(J17&gt;=1,"Yes",IF(J17=0,"No","PARTIAL")),"CHECK"))))</f>
        <v/>
      </c>
      <c r="S17" s="117">
        <f>IF($A17="","",IF(ISBLANK(K17),"",IF(TRIM(K17)="--","--",IF(ISNUMBER(K17),IF(K17&gt;=1,"Yes",IF(K17=0,"No","PARTIAL")),"CHECK"))))</f>
        <v/>
      </c>
      <c r="T17" s="115" t="n"/>
      <c r="U17" s="115" t="n"/>
      <c r="V17" s="117">
        <f>IF($A17="","",IF(COUNTIF(N17:S17,"--")=6,"--",IF(COUNTIF(N17:S17,"Yes")+COUNTIF(N17:S17,"--")=6,"Yes","No")))</f>
        <v/>
      </c>
      <c r="W17" s="115" t="n"/>
      <c r="X17" s="115" t="n"/>
      <c r="Y17" s="115" t="n"/>
      <c r="Z17" s="117">
        <f>IF($A17="","",COUNTIFS('RFI REGISTER'!$D$5:$D$250,$A17,'RFI REGISTER'!$A$5:$A$250,"RFI-*",'RFI REGISTER'!$C$5:$C$250,"&lt;&gt;Closed",'RFI REGISTER'!$C$5:$C$250,"&lt;&gt;Cancelled"))</f>
        <v/>
      </c>
      <c r="AA17" s="117">
        <f>IF($A17="","",COUNTIFS(ISSUES!$P$5:$P$200,"*"&amp;$A17&amp;"*",ISSUES!$H$5:$H$200,"&lt;&gt;Closed",ISSUES!$H$5:$H$200,"&lt;&gt;Resolved",ISSUES!$H$5:$H$200,"&lt;&gt;Cancelled",ISSUES!$H$5:$H$200,"&lt;&gt;",ISSUES!$A$5:$A$200,"&lt;&gt;"))</f>
        <v/>
      </c>
      <c r="AB17" s="115" t="n"/>
      <c r="AC17" s="117">
        <f>IF(A17="","",IF(COUNTIF('WORK PACKAGES'!$A$2:$A$100,A17)=0,"NOT IN WORK PACKAGES",IF(COUNTIF($A$2:$A$100,A17)&gt;1,"DUPLICATE","OK")))</f>
        <v/>
      </c>
    </row>
    <row r="18">
      <c r="A18" s="51" t="n"/>
      <c r="B18" s="117">
        <f>IF($A18="","",IFERROR(IF(INDEX('WORK PACKAGES'!$B$2:$B$100,MATCH($A18,'WORK PACKAGES'!$A$2:$A$100,0))="","",INDEX('WORK PACKAGES'!$B$2:$B$100,MATCH($A18,'WORK PACKAGES'!$A$2:$A$100,0))),""))</f>
        <v/>
      </c>
      <c r="C18" s="117">
        <f>IF($A18="","",IFERROR(IF(INDEX('WORK PACKAGES'!$G$2:$G$100,MATCH($A18,'WORK PACKAGES'!$A$2:$A$100,0))="","",INDEX('WORK PACKAGES'!$G$2:$G$100,MATCH($A18,'WORK PACKAGES'!$A$2:$A$100,0))),""))</f>
        <v/>
      </c>
      <c r="D18" s="117">
        <f>IF($A18="","",IFERROR(IF(INDEX('WORK PACKAGES'!$E$2:$E$100,MATCH($A18,'WORK PACKAGES'!$A$2:$A$100,0))="","",INDEX('WORK PACKAGES'!$E$2:$E$100,MATCH($A18,'WORK PACKAGES'!$A$2:$A$100,0))),""))</f>
        <v/>
      </c>
      <c r="E18" s="117">
        <f>IF(A18="","",IF(COUNTIFS('PUNCH LIST'!$G$3:$G$464,A18,'PUNCH LIST'!$Q$3:$Q$464,"Open")=0,"",COUNTIFS('PUNCH LIST'!$G$3:$G$464,A18,'PUNCH LIST'!$Q$3:$Q$464,"Open")))</f>
        <v/>
      </c>
      <c r="F18" s="116" t="n"/>
      <c r="G18" s="116" t="n"/>
      <c r="H18" s="116" t="n"/>
      <c r="I18" s="116" t="n"/>
      <c r="J18" s="116" t="n"/>
      <c r="K18" s="116" t="n"/>
      <c r="L18" s="115" t="n"/>
      <c r="M18" s="115" t="n"/>
      <c r="N18" s="117">
        <f>IF($A18="","",IF(ISBLANK(F18),"",IF(TRIM(F18)="--","--",IF(ISNUMBER(F18),IF(F18&gt;=1,"Yes",IF(F18=0,"No","PARTIAL")),"CHECK"))))</f>
        <v/>
      </c>
      <c r="O18" s="117">
        <f>IF($A18="","",IF(ISBLANK(G18),"",IF(TRIM(G18)="--","--",IF(ISNUMBER(G18),IF(G18&gt;=1,"Yes",IF(G18=0,"No","PARTIAL")),"CHECK"))))</f>
        <v/>
      </c>
      <c r="P18" s="117">
        <f>IF($A18="","",IF(ISBLANK(H18),"",IF(TRIM(H18)="--","--",IF(ISNUMBER(H18),IF(H18&gt;=1,"Yes",IF(H18=0,"No","PARTIAL")),"CHECK"))))</f>
        <v/>
      </c>
      <c r="Q18" s="117">
        <f>IF($A18="","",IF(ISBLANK(I18),"",IF(TRIM(I18)="--","--",IF(ISNUMBER(I18),IF(I18&gt;=1,"Yes",IF(I18=0,"No","PARTIAL")),"CHECK"))))</f>
        <v/>
      </c>
      <c r="R18" s="117">
        <f>IF($A18="","",IF(ISBLANK(J18),"",IF(TRIM(J18)="--","--",IF(ISNUMBER(J18),IF(J18&gt;=1,"Yes",IF(J18=0,"No","PARTIAL")),"CHECK"))))</f>
        <v/>
      </c>
      <c r="S18" s="117">
        <f>IF($A18="","",IF(ISBLANK(K18),"",IF(TRIM(K18)="--","--",IF(ISNUMBER(K18),IF(K18&gt;=1,"Yes",IF(K18=0,"No","PARTIAL")),"CHECK"))))</f>
        <v/>
      </c>
      <c r="T18" s="115" t="n"/>
      <c r="U18" s="115" t="n"/>
      <c r="V18" s="117">
        <f>IF($A18="","",IF(COUNTIF(N18:S18,"--")=6,"--",IF(COUNTIF(N18:S18,"Yes")+COUNTIF(N18:S18,"--")=6,"Yes","No")))</f>
        <v/>
      </c>
      <c r="W18" s="115" t="n"/>
      <c r="X18" s="115" t="n"/>
      <c r="Y18" s="115" t="n"/>
      <c r="Z18" s="117">
        <f>IF($A18="","",COUNTIFS('RFI REGISTER'!$D$5:$D$250,$A18,'RFI REGISTER'!$A$5:$A$250,"RFI-*",'RFI REGISTER'!$C$5:$C$250,"&lt;&gt;Closed",'RFI REGISTER'!$C$5:$C$250,"&lt;&gt;Cancelled"))</f>
        <v/>
      </c>
      <c r="AA18" s="117">
        <f>IF($A18="","",COUNTIFS(ISSUES!$P$5:$P$200,"*"&amp;$A18&amp;"*",ISSUES!$H$5:$H$200,"&lt;&gt;Closed",ISSUES!$H$5:$H$200,"&lt;&gt;Resolved",ISSUES!$H$5:$H$200,"&lt;&gt;Cancelled",ISSUES!$H$5:$H$200,"&lt;&gt;",ISSUES!$A$5:$A$200,"&lt;&gt;"))</f>
        <v/>
      </c>
      <c r="AB18" s="115" t="n"/>
      <c r="AC18" s="117">
        <f>IF(A18="","",IF(COUNTIF('WORK PACKAGES'!$A$2:$A$100,A18)=0,"NOT IN WORK PACKAGES",IF(COUNTIF($A$2:$A$100,A18)&gt;1,"DUPLICATE","OK")))</f>
        <v/>
      </c>
    </row>
    <row r="19">
      <c r="A19" s="51" t="n"/>
      <c r="B19" s="117">
        <f>IF($A19="","",IFERROR(IF(INDEX('WORK PACKAGES'!$B$2:$B$100,MATCH($A19,'WORK PACKAGES'!$A$2:$A$100,0))="","",INDEX('WORK PACKAGES'!$B$2:$B$100,MATCH($A19,'WORK PACKAGES'!$A$2:$A$100,0))),""))</f>
        <v/>
      </c>
      <c r="C19" s="117">
        <f>IF($A19="","",IFERROR(IF(INDEX('WORK PACKAGES'!$G$2:$G$100,MATCH($A19,'WORK PACKAGES'!$A$2:$A$100,0))="","",INDEX('WORK PACKAGES'!$G$2:$G$100,MATCH($A19,'WORK PACKAGES'!$A$2:$A$100,0))),""))</f>
        <v/>
      </c>
      <c r="D19" s="117">
        <f>IF($A19="","",IFERROR(IF(INDEX('WORK PACKAGES'!$E$2:$E$100,MATCH($A19,'WORK PACKAGES'!$A$2:$A$100,0))="","",INDEX('WORK PACKAGES'!$E$2:$E$100,MATCH($A19,'WORK PACKAGES'!$A$2:$A$100,0))),""))</f>
        <v/>
      </c>
      <c r="E19" s="117">
        <f>IF(A19="","",IF(COUNTIFS('PUNCH LIST'!$G$3:$G$464,A19,'PUNCH LIST'!$Q$3:$Q$464,"Open")=0,"",COUNTIFS('PUNCH LIST'!$G$3:$G$464,A19,'PUNCH LIST'!$Q$3:$Q$464,"Open")))</f>
        <v/>
      </c>
      <c r="F19" s="116" t="n"/>
      <c r="G19" s="116" t="n"/>
      <c r="H19" s="116" t="n"/>
      <c r="I19" s="116" t="n"/>
      <c r="J19" s="116" t="n"/>
      <c r="K19" s="116" t="n"/>
      <c r="L19" s="115" t="n"/>
      <c r="M19" s="115" t="n"/>
      <c r="N19" s="117">
        <f>IF($A19="","",IF(ISBLANK(F19),"",IF(TRIM(F19)="--","--",IF(ISNUMBER(F19),IF(F19&gt;=1,"Yes",IF(F19=0,"No","PARTIAL")),"CHECK"))))</f>
        <v/>
      </c>
      <c r="O19" s="117">
        <f>IF($A19="","",IF(ISBLANK(G19),"",IF(TRIM(G19)="--","--",IF(ISNUMBER(G19),IF(G19&gt;=1,"Yes",IF(G19=0,"No","PARTIAL")),"CHECK"))))</f>
        <v/>
      </c>
      <c r="P19" s="117">
        <f>IF($A19="","",IF(ISBLANK(H19),"",IF(TRIM(H19)="--","--",IF(ISNUMBER(H19),IF(H19&gt;=1,"Yes",IF(H19=0,"No","PARTIAL")),"CHECK"))))</f>
        <v/>
      </c>
      <c r="Q19" s="117">
        <f>IF($A19="","",IF(ISBLANK(I19),"",IF(TRIM(I19)="--","--",IF(ISNUMBER(I19),IF(I19&gt;=1,"Yes",IF(I19=0,"No","PARTIAL")),"CHECK"))))</f>
        <v/>
      </c>
      <c r="R19" s="117">
        <f>IF($A19="","",IF(ISBLANK(J19),"",IF(TRIM(J19)="--","--",IF(ISNUMBER(J19),IF(J19&gt;=1,"Yes",IF(J19=0,"No","PARTIAL")),"CHECK"))))</f>
        <v/>
      </c>
      <c r="S19" s="117">
        <f>IF($A19="","",IF(ISBLANK(K19),"",IF(TRIM(K19)="--","--",IF(ISNUMBER(K19),IF(K19&gt;=1,"Yes",IF(K19=0,"No","PARTIAL")),"CHECK"))))</f>
        <v/>
      </c>
      <c r="T19" s="115" t="n"/>
      <c r="U19" s="115" t="n"/>
      <c r="V19" s="117">
        <f>IF($A19="","",IF(COUNTIF(N19:S19,"--")=6,"--",IF(COUNTIF(N19:S19,"Yes")+COUNTIF(N19:S19,"--")=6,"Yes","No")))</f>
        <v/>
      </c>
      <c r="W19" s="115" t="n"/>
      <c r="X19" s="115" t="n"/>
      <c r="Y19" s="115" t="n"/>
      <c r="Z19" s="117">
        <f>IF($A19="","",COUNTIFS('RFI REGISTER'!$D$5:$D$250,$A19,'RFI REGISTER'!$A$5:$A$250,"RFI-*",'RFI REGISTER'!$C$5:$C$250,"&lt;&gt;Closed",'RFI REGISTER'!$C$5:$C$250,"&lt;&gt;Cancelled"))</f>
        <v/>
      </c>
      <c r="AA19" s="117">
        <f>IF($A19="","",COUNTIFS(ISSUES!$P$5:$P$200,"*"&amp;$A19&amp;"*",ISSUES!$H$5:$H$200,"&lt;&gt;Closed",ISSUES!$H$5:$H$200,"&lt;&gt;Resolved",ISSUES!$H$5:$H$200,"&lt;&gt;Cancelled",ISSUES!$H$5:$H$200,"&lt;&gt;",ISSUES!$A$5:$A$200,"&lt;&gt;"))</f>
        <v/>
      </c>
      <c r="AB19" s="115" t="n"/>
      <c r="AC19" s="117">
        <f>IF(A19="","",IF(COUNTIF('WORK PACKAGES'!$A$2:$A$100,A19)=0,"NOT IN WORK PACKAGES",IF(COUNTIF($A$2:$A$100,A19)&gt;1,"DUPLICATE","OK")))</f>
        <v/>
      </c>
    </row>
    <row r="20">
      <c r="A20" s="51" t="n"/>
      <c r="B20" s="117">
        <f>IF($A20="","",IFERROR(IF(INDEX('WORK PACKAGES'!$B$2:$B$100,MATCH($A20,'WORK PACKAGES'!$A$2:$A$100,0))="","",INDEX('WORK PACKAGES'!$B$2:$B$100,MATCH($A20,'WORK PACKAGES'!$A$2:$A$100,0))),""))</f>
        <v/>
      </c>
      <c r="C20" s="117">
        <f>IF($A20="","",IFERROR(IF(INDEX('WORK PACKAGES'!$G$2:$G$100,MATCH($A20,'WORK PACKAGES'!$A$2:$A$100,0))="","",INDEX('WORK PACKAGES'!$G$2:$G$100,MATCH($A20,'WORK PACKAGES'!$A$2:$A$100,0))),""))</f>
        <v/>
      </c>
      <c r="D20" s="117">
        <f>IF($A20="","",IFERROR(IF(INDEX('WORK PACKAGES'!$E$2:$E$100,MATCH($A20,'WORK PACKAGES'!$A$2:$A$100,0))="","",INDEX('WORK PACKAGES'!$E$2:$E$100,MATCH($A20,'WORK PACKAGES'!$A$2:$A$100,0))),""))</f>
        <v/>
      </c>
      <c r="E20" s="117">
        <f>IF(A20="","",IF(COUNTIFS('PUNCH LIST'!$G$3:$G$464,A20,'PUNCH LIST'!$Q$3:$Q$464,"Open")=0,"",COUNTIFS('PUNCH LIST'!$G$3:$G$464,A20,'PUNCH LIST'!$Q$3:$Q$464,"Open")))</f>
        <v/>
      </c>
      <c r="F20" s="116" t="n"/>
      <c r="G20" s="116" t="n"/>
      <c r="H20" s="116" t="n"/>
      <c r="I20" s="116" t="n"/>
      <c r="J20" s="116" t="n"/>
      <c r="K20" s="116" t="n"/>
      <c r="L20" s="115" t="n"/>
      <c r="M20" s="115" t="n"/>
      <c r="N20" s="117">
        <f>IF($A20="","",IF(ISBLANK(F20),"",IF(TRIM(F20)="--","--",IF(ISNUMBER(F20),IF(F20&gt;=1,"Yes",IF(F20=0,"No","PARTIAL")),"CHECK"))))</f>
        <v/>
      </c>
      <c r="O20" s="117">
        <f>IF($A20="","",IF(ISBLANK(G20),"",IF(TRIM(G20)="--","--",IF(ISNUMBER(G20),IF(G20&gt;=1,"Yes",IF(G20=0,"No","PARTIAL")),"CHECK"))))</f>
        <v/>
      </c>
      <c r="P20" s="117">
        <f>IF($A20="","",IF(ISBLANK(H20),"",IF(TRIM(H20)="--","--",IF(ISNUMBER(H20),IF(H20&gt;=1,"Yes",IF(H20=0,"No","PARTIAL")),"CHECK"))))</f>
        <v/>
      </c>
      <c r="Q20" s="117">
        <f>IF($A20="","",IF(ISBLANK(I20),"",IF(TRIM(I20)="--","--",IF(ISNUMBER(I20),IF(I20&gt;=1,"Yes",IF(I20=0,"No","PARTIAL")),"CHECK"))))</f>
        <v/>
      </c>
      <c r="R20" s="117">
        <f>IF($A20="","",IF(ISBLANK(J20),"",IF(TRIM(J20)="--","--",IF(ISNUMBER(J20),IF(J20&gt;=1,"Yes",IF(J20=0,"No","PARTIAL")),"CHECK"))))</f>
        <v/>
      </c>
      <c r="S20" s="117">
        <f>IF($A20="","",IF(ISBLANK(K20),"",IF(TRIM(K20)="--","--",IF(ISNUMBER(K20),IF(K20&gt;=1,"Yes",IF(K20=0,"No","PARTIAL")),"CHECK"))))</f>
        <v/>
      </c>
      <c r="T20" s="115" t="n"/>
      <c r="U20" s="115" t="n"/>
      <c r="V20" s="117">
        <f>IF($A20="","",IF(COUNTIF(N20:S20,"--")=6,"--",IF(COUNTIF(N20:S20,"Yes")+COUNTIF(N20:S20,"--")=6,"Yes","No")))</f>
        <v/>
      </c>
      <c r="W20" s="115" t="n"/>
      <c r="X20" s="115" t="n"/>
      <c r="Y20" s="115" t="n"/>
      <c r="Z20" s="117">
        <f>IF($A20="","",COUNTIFS('RFI REGISTER'!$D$5:$D$250,$A20,'RFI REGISTER'!$A$5:$A$250,"RFI-*",'RFI REGISTER'!$C$5:$C$250,"&lt;&gt;Closed",'RFI REGISTER'!$C$5:$C$250,"&lt;&gt;Cancelled"))</f>
        <v/>
      </c>
      <c r="AA20" s="117">
        <f>IF($A20="","",COUNTIFS(ISSUES!$P$5:$P$200,"*"&amp;$A20&amp;"*",ISSUES!$H$5:$H$200,"&lt;&gt;Closed",ISSUES!$H$5:$H$200,"&lt;&gt;Resolved",ISSUES!$H$5:$H$200,"&lt;&gt;Cancelled",ISSUES!$H$5:$H$200,"&lt;&gt;",ISSUES!$A$5:$A$200,"&lt;&gt;"))</f>
        <v/>
      </c>
      <c r="AB20" s="115" t="n"/>
      <c r="AC20" s="117">
        <f>IF(A20="","",IF(COUNTIF('WORK PACKAGES'!$A$2:$A$100,A20)=0,"NOT IN WORK PACKAGES",IF(COUNTIF($A$2:$A$100,A20)&gt;1,"DUPLICATE","OK")))</f>
        <v/>
      </c>
    </row>
    <row r="21">
      <c r="A21" s="51" t="n"/>
      <c r="B21" s="117">
        <f>IF($A21="","",IFERROR(IF(INDEX('WORK PACKAGES'!$B$2:$B$100,MATCH($A21,'WORK PACKAGES'!$A$2:$A$100,0))="","",INDEX('WORK PACKAGES'!$B$2:$B$100,MATCH($A21,'WORK PACKAGES'!$A$2:$A$100,0))),""))</f>
        <v/>
      </c>
      <c r="C21" s="117">
        <f>IF($A21="","",IFERROR(IF(INDEX('WORK PACKAGES'!$G$2:$G$100,MATCH($A21,'WORK PACKAGES'!$A$2:$A$100,0))="","",INDEX('WORK PACKAGES'!$G$2:$G$100,MATCH($A21,'WORK PACKAGES'!$A$2:$A$100,0))),""))</f>
        <v/>
      </c>
      <c r="D21" s="117">
        <f>IF($A21="","",IFERROR(IF(INDEX('WORK PACKAGES'!$E$2:$E$100,MATCH($A21,'WORK PACKAGES'!$A$2:$A$100,0))="","",INDEX('WORK PACKAGES'!$E$2:$E$100,MATCH($A21,'WORK PACKAGES'!$A$2:$A$100,0))),""))</f>
        <v/>
      </c>
      <c r="E21" s="117">
        <f>IF(A21="","",IF(COUNTIFS('PUNCH LIST'!$G$3:$G$464,A21,'PUNCH LIST'!$Q$3:$Q$464,"Open")=0,"",COUNTIFS('PUNCH LIST'!$G$3:$G$464,A21,'PUNCH LIST'!$Q$3:$Q$464,"Open")))</f>
        <v/>
      </c>
      <c r="F21" s="116" t="n"/>
      <c r="G21" s="116" t="n"/>
      <c r="H21" s="116" t="n"/>
      <c r="I21" s="116" t="n"/>
      <c r="J21" s="116" t="n"/>
      <c r="K21" s="116" t="n"/>
      <c r="L21" s="115" t="n"/>
      <c r="M21" s="115" t="n"/>
      <c r="N21" s="117">
        <f>IF($A21="","",IF(ISBLANK(F21),"",IF(TRIM(F21)="--","--",IF(ISNUMBER(F21),IF(F21&gt;=1,"Yes",IF(F21=0,"No","PARTIAL")),"CHECK"))))</f>
        <v/>
      </c>
      <c r="O21" s="117">
        <f>IF($A21="","",IF(ISBLANK(G21),"",IF(TRIM(G21)="--","--",IF(ISNUMBER(G21),IF(G21&gt;=1,"Yes",IF(G21=0,"No","PARTIAL")),"CHECK"))))</f>
        <v/>
      </c>
      <c r="P21" s="117">
        <f>IF($A21="","",IF(ISBLANK(H21),"",IF(TRIM(H21)="--","--",IF(ISNUMBER(H21),IF(H21&gt;=1,"Yes",IF(H21=0,"No","PARTIAL")),"CHECK"))))</f>
        <v/>
      </c>
      <c r="Q21" s="117">
        <f>IF($A21="","",IF(ISBLANK(I21),"",IF(TRIM(I21)="--","--",IF(ISNUMBER(I21),IF(I21&gt;=1,"Yes",IF(I21=0,"No","PARTIAL")),"CHECK"))))</f>
        <v/>
      </c>
      <c r="R21" s="117">
        <f>IF($A21="","",IF(ISBLANK(J21),"",IF(TRIM(J21)="--","--",IF(ISNUMBER(J21),IF(J21&gt;=1,"Yes",IF(J21=0,"No","PARTIAL")),"CHECK"))))</f>
        <v/>
      </c>
      <c r="S21" s="117">
        <f>IF($A21="","",IF(ISBLANK(K21),"",IF(TRIM(K21)="--","--",IF(ISNUMBER(K21),IF(K21&gt;=1,"Yes",IF(K21=0,"No","PARTIAL")),"CHECK"))))</f>
        <v/>
      </c>
      <c r="T21" s="115" t="n"/>
      <c r="U21" s="115" t="n"/>
      <c r="V21" s="117">
        <f>IF($A21="","",IF(COUNTIF(N21:S21,"--")=6,"--",IF(COUNTIF(N21:S21,"Yes")+COUNTIF(N21:S21,"--")=6,"Yes","No")))</f>
        <v/>
      </c>
      <c r="W21" s="115" t="n"/>
      <c r="X21" s="115" t="n"/>
      <c r="Y21" s="115" t="n"/>
      <c r="Z21" s="117">
        <f>IF($A21="","",COUNTIFS('RFI REGISTER'!$D$5:$D$250,$A21,'RFI REGISTER'!$A$5:$A$250,"RFI-*",'RFI REGISTER'!$C$5:$C$250,"&lt;&gt;Closed",'RFI REGISTER'!$C$5:$C$250,"&lt;&gt;Cancelled"))</f>
        <v/>
      </c>
      <c r="AA21" s="117">
        <f>IF($A21="","",COUNTIFS(ISSUES!$P$5:$P$200,"*"&amp;$A21&amp;"*",ISSUES!$H$5:$H$200,"&lt;&gt;Closed",ISSUES!$H$5:$H$200,"&lt;&gt;Resolved",ISSUES!$H$5:$H$200,"&lt;&gt;Cancelled",ISSUES!$H$5:$H$200,"&lt;&gt;",ISSUES!$A$5:$A$200,"&lt;&gt;"))</f>
        <v/>
      </c>
      <c r="AB21" s="115" t="n"/>
      <c r="AC21" s="117">
        <f>IF(A21="","",IF(COUNTIF('WORK PACKAGES'!$A$2:$A$100,A21)=0,"NOT IN WORK PACKAGES",IF(COUNTIF($A$2:$A$100,A21)&gt;1,"DUPLICATE","OK")))</f>
        <v/>
      </c>
    </row>
    <row r="22">
      <c r="A22" s="51" t="n"/>
      <c r="B22" s="117">
        <f>IF($A22="","",IFERROR(IF(INDEX('WORK PACKAGES'!$B$2:$B$100,MATCH($A22,'WORK PACKAGES'!$A$2:$A$100,0))="","",INDEX('WORK PACKAGES'!$B$2:$B$100,MATCH($A22,'WORK PACKAGES'!$A$2:$A$100,0))),""))</f>
        <v/>
      </c>
      <c r="C22" s="117">
        <f>IF($A22="","",IFERROR(IF(INDEX('WORK PACKAGES'!$G$2:$G$100,MATCH($A22,'WORK PACKAGES'!$A$2:$A$100,0))="","",INDEX('WORK PACKAGES'!$G$2:$G$100,MATCH($A22,'WORK PACKAGES'!$A$2:$A$100,0))),""))</f>
        <v/>
      </c>
      <c r="D22" s="117">
        <f>IF($A22="","",IFERROR(IF(INDEX('WORK PACKAGES'!$E$2:$E$100,MATCH($A22,'WORK PACKAGES'!$A$2:$A$100,0))="","",INDEX('WORK PACKAGES'!$E$2:$E$100,MATCH($A22,'WORK PACKAGES'!$A$2:$A$100,0))),""))</f>
        <v/>
      </c>
      <c r="E22" s="117">
        <f>IF(A22="","",IF(COUNTIFS('PUNCH LIST'!$G$3:$G$464,A22,'PUNCH LIST'!$Q$3:$Q$464,"Open")=0,"",COUNTIFS('PUNCH LIST'!$G$3:$G$464,A22,'PUNCH LIST'!$Q$3:$Q$464,"Open")))</f>
        <v/>
      </c>
      <c r="F22" s="116" t="n"/>
      <c r="G22" s="116" t="n"/>
      <c r="H22" s="116" t="n"/>
      <c r="I22" s="116" t="n"/>
      <c r="J22" s="116" t="n"/>
      <c r="K22" s="116" t="n"/>
      <c r="L22" s="115" t="n"/>
      <c r="M22" s="115" t="n"/>
      <c r="N22" s="117">
        <f>IF($A22="","",IF(ISBLANK(F22),"",IF(TRIM(F22)="--","--",IF(ISNUMBER(F22),IF(F22&gt;=1,"Yes",IF(F22=0,"No","PARTIAL")),"CHECK"))))</f>
        <v/>
      </c>
      <c r="O22" s="117">
        <f>IF($A22="","",IF(ISBLANK(G22),"",IF(TRIM(G22)="--","--",IF(ISNUMBER(G22),IF(G22&gt;=1,"Yes",IF(G22=0,"No","PARTIAL")),"CHECK"))))</f>
        <v/>
      </c>
      <c r="P22" s="117">
        <f>IF($A22="","",IF(ISBLANK(H22),"",IF(TRIM(H22)="--","--",IF(ISNUMBER(H22),IF(H22&gt;=1,"Yes",IF(H22=0,"No","PARTIAL")),"CHECK"))))</f>
        <v/>
      </c>
      <c r="Q22" s="117">
        <f>IF($A22="","",IF(ISBLANK(I22),"",IF(TRIM(I22)="--","--",IF(ISNUMBER(I22),IF(I22&gt;=1,"Yes",IF(I22=0,"No","PARTIAL")),"CHECK"))))</f>
        <v/>
      </c>
      <c r="R22" s="117">
        <f>IF($A22="","",IF(ISBLANK(J22),"",IF(TRIM(J22)="--","--",IF(ISNUMBER(J22),IF(J22&gt;=1,"Yes",IF(J22=0,"No","PARTIAL")),"CHECK"))))</f>
        <v/>
      </c>
      <c r="S22" s="117">
        <f>IF($A22="","",IF(ISBLANK(K22),"",IF(TRIM(K22)="--","--",IF(ISNUMBER(K22),IF(K22&gt;=1,"Yes",IF(K22=0,"No","PARTIAL")),"CHECK"))))</f>
        <v/>
      </c>
      <c r="T22" s="115" t="n"/>
      <c r="U22" s="115" t="n"/>
      <c r="V22" s="117">
        <f>IF($A22="","",IF(COUNTIF(N22:S22,"--")=6,"--",IF(COUNTIF(N22:S22,"Yes")+COUNTIF(N22:S22,"--")=6,"Yes","No")))</f>
        <v/>
      </c>
      <c r="W22" s="115" t="n"/>
      <c r="X22" s="115" t="n"/>
      <c r="Y22" s="115" t="n"/>
      <c r="Z22" s="117">
        <f>IF($A22="","",COUNTIFS('RFI REGISTER'!$D$5:$D$250,$A22,'RFI REGISTER'!$A$5:$A$250,"RFI-*",'RFI REGISTER'!$C$5:$C$250,"&lt;&gt;Closed",'RFI REGISTER'!$C$5:$C$250,"&lt;&gt;Cancelled"))</f>
        <v/>
      </c>
      <c r="AA22" s="117">
        <f>IF($A22="","",COUNTIFS(ISSUES!$P$5:$P$200,"*"&amp;$A22&amp;"*",ISSUES!$H$5:$H$200,"&lt;&gt;Closed",ISSUES!$H$5:$H$200,"&lt;&gt;Resolved",ISSUES!$H$5:$H$200,"&lt;&gt;Cancelled",ISSUES!$H$5:$H$200,"&lt;&gt;",ISSUES!$A$5:$A$200,"&lt;&gt;"))</f>
        <v/>
      </c>
      <c r="AB22" s="115" t="n"/>
      <c r="AC22" s="117">
        <f>IF(A22="","",IF(COUNTIF('WORK PACKAGES'!$A$2:$A$100,A22)=0,"NOT IN WORK PACKAGES",IF(COUNTIF($A$2:$A$100,A22)&gt;1,"DUPLICATE","OK")))</f>
        <v/>
      </c>
    </row>
    <row r="23">
      <c r="A23" s="51" t="n"/>
      <c r="B23" s="117">
        <f>IF($A23="","",IFERROR(IF(INDEX('WORK PACKAGES'!$B$2:$B$100,MATCH($A23,'WORK PACKAGES'!$A$2:$A$100,0))="","",INDEX('WORK PACKAGES'!$B$2:$B$100,MATCH($A23,'WORK PACKAGES'!$A$2:$A$100,0))),""))</f>
        <v/>
      </c>
      <c r="C23" s="117">
        <f>IF($A23="","",IFERROR(IF(INDEX('WORK PACKAGES'!$G$2:$G$100,MATCH($A23,'WORK PACKAGES'!$A$2:$A$100,0))="","",INDEX('WORK PACKAGES'!$G$2:$G$100,MATCH($A23,'WORK PACKAGES'!$A$2:$A$100,0))),""))</f>
        <v/>
      </c>
      <c r="D23" s="117">
        <f>IF($A23="","",IFERROR(IF(INDEX('WORK PACKAGES'!$E$2:$E$100,MATCH($A23,'WORK PACKAGES'!$A$2:$A$100,0))="","",INDEX('WORK PACKAGES'!$E$2:$E$100,MATCH($A23,'WORK PACKAGES'!$A$2:$A$100,0))),""))</f>
        <v/>
      </c>
      <c r="E23" s="117">
        <f>IF(A23="","",IF(COUNTIFS('PUNCH LIST'!$G$3:$G$464,A23,'PUNCH LIST'!$Q$3:$Q$464,"Open")=0,"",COUNTIFS('PUNCH LIST'!$G$3:$G$464,A23,'PUNCH LIST'!$Q$3:$Q$464,"Open")))</f>
        <v/>
      </c>
      <c r="F23" s="116" t="n"/>
      <c r="G23" s="116" t="n"/>
      <c r="H23" s="116" t="n"/>
      <c r="I23" s="116" t="n"/>
      <c r="J23" s="116" t="n"/>
      <c r="K23" s="116" t="n"/>
      <c r="L23" s="115" t="n"/>
      <c r="M23" s="115" t="n"/>
      <c r="N23" s="117">
        <f>IF($A23="","",IF(ISBLANK(F23),"",IF(TRIM(F23)="--","--",IF(ISNUMBER(F23),IF(F23&gt;=1,"Yes",IF(F23=0,"No","PARTIAL")),"CHECK"))))</f>
        <v/>
      </c>
      <c r="O23" s="117">
        <f>IF($A23="","",IF(ISBLANK(G23),"",IF(TRIM(G23)="--","--",IF(ISNUMBER(G23),IF(G23&gt;=1,"Yes",IF(G23=0,"No","PARTIAL")),"CHECK"))))</f>
        <v/>
      </c>
      <c r="P23" s="117">
        <f>IF($A23="","",IF(ISBLANK(H23),"",IF(TRIM(H23)="--","--",IF(ISNUMBER(H23),IF(H23&gt;=1,"Yes",IF(H23=0,"No","PARTIAL")),"CHECK"))))</f>
        <v/>
      </c>
      <c r="Q23" s="117">
        <f>IF($A23="","",IF(ISBLANK(I23),"",IF(TRIM(I23)="--","--",IF(ISNUMBER(I23),IF(I23&gt;=1,"Yes",IF(I23=0,"No","PARTIAL")),"CHECK"))))</f>
        <v/>
      </c>
      <c r="R23" s="117">
        <f>IF($A23="","",IF(ISBLANK(J23),"",IF(TRIM(J23)="--","--",IF(ISNUMBER(J23),IF(J23&gt;=1,"Yes",IF(J23=0,"No","PARTIAL")),"CHECK"))))</f>
        <v/>
      </c>
      <c r="S23" s="117">
        <f>IF($A23="","",IF(ISBLANK(K23),"",IF(TRIM(K23)="--","--",IF(ISNUMBER(K23),IF(K23&gt;=1,"Yes",IF(K23=0,"No","PARTIAL")),"CHECK"))))</f>
        <v/>
      </c>
      <c r="T23" s="115" t="n"/>
      <c r="U23" s="115" t="n"/>
      <c r="V23" s="117">
        <f>IF($A23="","",IF(COUNTIF(N23:S23,"--")=6,"--",IF(COUNTIF(N23:S23,"Yes")+COUNTIF(N23:S23,"--")=6,"Yes","No")))</f>
        <v/>
      </c>
      <c r="W23" s="115" t="n"/>
      <c r="X23" s="115" t="n"/>
      <c r="Y23" s="115" t="n"/>
      <c r="Z23" s="117">
        <f>IF($A23="","",COUNTIFS('RFI REGISTER'!$D$5:$D$250,$A23,'RFI REGISTER'!$A$5:$A$250,"RFI-*",'RFI REGISTER'!$C$5:$C$250,"&lt;&gt;Closed",'RFI REGISTER'!$C$5:$C$250,"&lt;&gt;Cancelled"))</f>
        <v/>
      </c>
      <c r="AA23" s="117">
        <f>IF($A23="","",COUNTIFS(ISSUES!$P$5:$P$200,"*"&amp;$A23&amp;"*",ISSUES!$H$5:$H$200,"&lt;&gt;Closed",ISSUES!$H$5:$H$200,"&lt;&gt;Resolved",ISSUES!$H$5:$H$200,"&lt;&gt;Cancelled",ISSUES!$H$5:$H$200,"&lt;&gt;",ISSUES!$A$5:$A$200,"&lt;&gt;"))</f>
        <v/>
      </c>
      <c r="AB23" s="115" t="n"/>
      <c r="AC23" s="117">
        <f>IF(A23="","",IF(COUNTIF('WORK PACKAGES'!$A$2:$A$100,A23)=0,"NOT IN WORK PACKAGES",IF(COUNTIF($A$2:$A$100,A23)&gt;1,"DUPLICATE","OK")))</f>
        <v/>
      </c>
    </row>
    <row r="24">
      <c r="A24" s="51" t="n"/>
      <c r="B24" s="117">
        <f>IF($A24="","",IFERROR(IF(INDEX('WORK PACKAGES'!$B$2:$B$100,MATCH($A24,'WORK PACKAGES'!$A$2:$A$100,0))="","",INDEX('WORK PACKAGES'!$B$2:$B$100,MATCH($A24,'WORK PACKAGES'!$A$2:$A$100,0))),""))</f>
        <v/>
      </c>
      <c r="C24" s="117">
        <f>IF($A24="","",IFERROR(IF(INDEX('WORK PACKAGES'!$G$2:$G$100,MATCH($A24,'WORK PACKAGES'!$A$2:$A$100,0))="","",INDEX('WORK PACKAGES'!$G$2:$G$100,MATCH($A24,'WORK PACKAGES'!$A$2:$A$100,0))),""))</f>
        <v/>
      </c>
      <c r="D24" s="117">
        <f>IF($A24="","",IFERROR(IF(INDEX('WORK PACKAGES'!$E$2:$E$100,MATCH($A24,'WORK PACKAGES'!$A$2:$A$100,0))="","",INDEX('WORK PACKAGES'!$E$2:$E$100,MATCH($A24,'WORK PACKAGES'!$A$2:$A$100,0))),""))</f>
        <v/>
      </c>
      <c r="E24" s="117">
        <f>IF(A24="","",IF(COUNTIFS('PUNCH LIST'!$G$3:$G$464,A24,'PUNCH LIST'!$Q$3:$Q$464,"Open")=0,"",COUNTIFS('PUNCH LIST'!$G$3:$G$464,A24,'PUNCH LIST'!$Q$3:$Q$464,"Open")))</f>
        <v/>
      </c>
      <c r="F24" s="116" t="n"/>
      <c r="G24" s="116" t="n"/>
      <c r="H24" s="116" t="n"/>
      <c r="I24" s="116" t="n"/>
      <c r="J24" s="116" t="n"/>
      <c r="K24" s="116" t="n"/>
      <c r="L24" s="115" t="n"/>
      <c r="M24" s="115" t="n"/>
      <c r="N24" s="117">
        <f>IF($A24="","",IF(ISBLANK(F24),"",IF(TRIM(F24)="--","--",IF(ISNUMBER(F24),IF(F24&gt;=1,"Yes",IF(F24=0,"No","PARTIAL")),"CHECK"))))</f>
        <v/>
      </c>
      <c r="O24" s="117">
        <f>IF($A24="","",IF(ISBLANK(G24),"",IF(TRIM(G24)="--","--",IF(ISNUMBER(G24),IF(G24&gt;=1,"Yes",IF(G24=0,"No","PARTIAL")),"CHECK"))))</f>
        <v/>
      </c>
      <c r="P24" s="117">
        <f>IF($A24="","",IF(ISBLANK(H24),"",IF(TRIM(H24)="--","--",IF(ISNUMBER(H24),IF(H24&gt;=1,"Yes",IF(H24=0,"No","PARTIAL")),"CHECK"))))</f>
        <v/>
      </c>
      <c r="Q24" s="117">
        <f>IF($A24="","",IF(ISBLANK(I24),"",IF(TRIM(I24)="--","--",IF(ISNUMBER(I24),IF(I24&gt;=1,"Yes",IF(I24=0,"No","PARTIAL")),"CHECK"))))</f>
        <v/>
      </c>
      <c r="R24" s="117">
        <f>IF($A24="","",IF(ISBLANK(J24),"",IF(TRIM(J24)="--","--",IF(ISNUMBER(J24),IF(J24&gt;=1,"Yes",IF(J24=0,"No","PARTIAL")),"CHECK"))))</f>
        <v/>
      </c>
      <c r="S24" s="117">
        <f>IF($A24="","",IF(ISBLANK(K24),"",IF(TRIM(K24)="--","--",IF(ISNUMBER(K24),IF(K24&gt;=1,"Yes",IF(K24=0,"No","PARTIAL")),"CHECK"))))</f>
        <v/>
      </c>
      <c r="T24" s="115" t="n"/>
      <c r="U24" s="115" t="n"/>
      <c r="V24" s="117">
        <f>IF($A24="","",IF(COUNTIF(N24:S24,"--")=6,"--",IF(COUNTIF(N24:S24,"Yes")+COUNTIF(N24:S24,"--")=6,"Yes","No")))</f>
        <v/>
      </c>
      <c r="W24" s="115" t="n"/>
      <c r="X24" s="115" t="n"/>
      <c r="Y24" s="115" t="n"/>
      <c r="Z24" s="117">
        <f>IF($A24="","",COUNTIFS('RFI REGISTER'!$D$5:$D$250,$A24,'RFI REGISTER'!$A$5:$A$250,"RFI-*",'RFI REGISTER'!$C$5:$C$250,"&lt;&gt;Closed",'RFI REGISTER'!$C$5:$C$250,"&lt;&gt;Cancelled"))</f>
        <v/>
      </c>
      <c r="AA24" s="117">
        <f>IF($A24="","",COUNTIFS(ISSUES!$P$5:$P$200,"*"&amp;$A24&amp;"*",ISSUES!$H$5:$H$200,"&lt;&gt;Closed",ISSUES!$H$5:$H$200,"&lt;&gt;Resolved",ISSUES!$H$5:$H$200,"&lt;&gt;Cancelled",ISSUES!$H$5:$H$200,"&lt;&gt;",ISSUES!$A$5:$A$200,"&lt;&gt;"))</f>
        <v/>
      </c>
      <c r="AB24" s="115" t="n"/>
      <c r="AC24" s="117">
        <f>IF(A24="","",IF(COUNTIF('WORK PACKAGES'!$A$2:$A$100,A24)=0,"NOT IN WORK PACKAGES",IF(COUNTIF($A$2:$A$100,A24)&gt;1,"DUPLICATE","OK")))</f>
        <v/>
      </c>
    </row>
    <row r="25">
      <c r="A25" s="51" t="n"/>
      <c r="B25" s="117">
        <f>IF($A25="","",IFERROR(IF(INDEX('WORK PACKAGES'!$B$2:$B$100,MATCH($A25,'WORK PACKAGES'!$A$2:$A$100,0))="","",INDEX('WORK PACKAGES'!$B$2:$B$100,MATCH($A25,'WORK PACKAGES'!$A$2:$A$100,0))),""))</f>
        <v/>
      </c>
      <c r="C25" s="117">
        <f>IF($A25="","",IFERROR(IF(INDEX('WORK PACKAGES'!$G$2:$G$100,MATCH($A25,'WORK PACKAGES'!$A$2:$A$100,0))="","",INDEX('WORK PACKAGES'!$G$2:$G$100,MATCH($A25,'WORK PACKAGES'!$A$2:$A$100,0))),""))</f>
        <v/>
      </c>
      <c r="D25" s="117">
        <f>IF($A25="","",IFERROR(IF(INDEX('WORK PACKAGES'!$E$2:$E$100,MATCH($A25,'WORK PACKAGES'!$A$2:$A$100,0))="","",INDEX('WORK PACKAGES'!$E$2:$E$100,MATCH($A25,'WORK PACKAGES'!$A$2:$A$100,0))),""))</f>
        <v/>
      </c>
      <c r="E25" s="117">
        <f>IF(A25="","",IF(COUNTIFS('PUNCH LIST'!$G$3:$G$464,A25,'PUNCH LIST'!$Q$3:$Q$464,"Open")=0,"",COUNTIFS('PUNCH LIST'!$G$3:$G$464,A25,'PUNCH LIST'!$Q$3:$Q$464,"Open")))</f>
        <v/>
      </c>
      <c r="F25" s="116" t="n"/>
      <c r="G25" s="116" t="n"/>
      <c r="H25" s="116" t="n"/>
      <c r="I25" s="116" t="n"/>
      <c r="J25" s="116" t="n"/>
      <c r="K25" s="116" t="n"/>
      <c r="L25" s="115" t="n"/>
      <c r="M25" s="115" t="n"/>
      <c r="N25" s="117">
        <f>IF($A25="","",IF(ISBLANK(F25),"",IF(TRIM(F25)="--","--",IF(ISNUMBER(F25),IF(F25&gt;=1,"Yes",IF(F25=0,"No","PARTIAL")),"CHECK"))))</f>
        <v/>
      </c>
      <c r="O25" s="117">
        <f>IF($A25="","",IF(ISBLANK(G25),"",IF(TRIM(G25)="--","--",IF(ISNUMBER(G25),IF(G25&gt;=1,"Yes",IF(G25=0,"No","PARTIAL")),"CHECK"))))</f>
        <v/>
      </c>
      <c r="P25" s="117">
        <f>IF($A25="","",IF(ISBLANK(H25),"",IF(TRIM(H25)="--","--",IF(ISNUMBER(H25),IF(H25&gt;=1,"Yes",IF(H25=0,"No","PARTIAL")),"CHECK"))))</f>
        <v/>
      </c>
      <c r="Q25" s="117">
        <f>IF($A25="","",IF(ISBLANK(I25),"",IF(TRIM(I25)="--","--",IF(ISNUMBER(I25),IF(I25&gt;=1,"Yes",IF(I25=0,"No","PARTIAL")),"CHECK"))))</f>
        <v/>
      </c>
      <c r="R25" s="117">
        <f>IF($A25="","",IF(ISBLANK(J25),"",IF(TRIM(J25)="--","--",IF(ISNUMBER(J25),IF(J25&gt;=1,"Yes",IF(J25=0,"No","PARTIAL")),"CHECK"))))</f>
        <v/>
      </c>
      <c r="S25" s="117">
        <f>IF($A25="","",IF(ISBLANK(K25),"",IF(TRIM(K25)="--","--",IF(ISNUMBER(K25),IF(K25&gt;=1,"Yes",IF(K25=0,"No","PARTIAL")),"CHECK"))))</f>
        <v/>
      </c>
      <c r="T25" s="115" t="n"/>
      <c r="U25" s="115" t="n"/>
      <c r="V25" s="117">
        <f>IF($A25="","",IF(COUNTIF(N25:S25,"--")=6,"--",IF(COUNTIF(N25:S25,"Yes")+COUNTIF(N25:S25,"--")=6,"Yes","No")))</f>
        <v/>
      </c>
      <c r="W25" s="115" t="n"/>
      <c r="X25" s="115" t="n"/>
      <c r="Y25" s="115" t="n"/>
      <c r="Z25" s="117">
        <f>IF($A25="","",COUNTIFS('RFI REGISTER'!$D$5:$D$250,$A25,'RFI REGISTER'!$A$5:$A$250,"RFI-*",'RFI REGISTER'!$C$5:$C$250,"&lt;&gt;Closed",'RFI REGISTER'!$C$5:$C$250,"&lt;&gt;Cancelled"))</f>
        <v/>
      </c>
      <c r="AA25" s="117">
        <f>IF($A25="","",COUNTIFS(ISSUES!$P$5:$P$200,"*"&amp;$A25&amp;"*",ISSUES!$H$5:$H$200,"&lt;&gt;Closed",ISSUES!$H$5:$H$200,"&lt;&gt;Resolved",ISSUES!$H$5:$H$200,"&lt;&gt;Cancelled",ISSUES!$H$5:$H$200,"&lt;&gt;",ISSUES!$A$5:$A$200,"&lt;&gt;"))</f>
        <v/>
      </c>
      <c r="AB25" s="115" t="n"/>
      <c r="AC25" s="117">
        <f>IF(A25="","",IF(COUNTIF('WORK PACKAGES'!$A$2:$A$100,A25)=0,"NOT IN WORK PACKAGES",IF(COUNTIF($A$2:$A$100,A25)&gt;1,"DUPLICATE","OK")))</f>
        <v/>
      </c>
    </row>
    <row r="26">
      <c r="A26" s="51" t="n"/>
      <c r="B26" s="117">
        <f>IF($A26="","",IFERROR(IF(INDEX('WORK PACKAGES'!$B$2:$B$100,MATCH($A26,'WORK PACKAGES'!$A$2:$A$100,0))="","",INDEX('WORK PACKAGES'!$B$2:$B$100,MATCH($A26,'WORK PACKAGES'!$A$2:$A$100,0))),""))</f>
        <v/>
      </c>
      <c r="C26" s="117">
        <f>IF($A26="","",IFERROR(IF(INDEX('WORK PACKAGES'!$G$2:$G$100,MATCH($A26,'WORK PACKAGES'!$A$2:$A$100,0))="","",INDEX('WORK PACKAGES'!$G$2:$G$100,MATCH($A26,'WORK PACKAGES'!$A$2:$A$100,0))),""))</f>
        <v/>
      </c>
      <c r="D26" s="117">
        <f>IF($A26="","",IFERROR(IF(INDEX('WORK PACKAGES'!$E$2:$E$100,MATCH($A26,'WORK PACKAGES'!$A$2:$A$100,0))="","",INDEX('WORK PACKAGES'!$E$2:$E$100,MATCH($A26,'WORK PACKAGES'!$A$2:$A$100,0))),""))</f>
        <v/>
      </c>
      <c r="E26" s="117">
        <f>IF(A26="","",IF(COUNTIFS('PUNCH LIST'!$G$3:$G$464,A26,'PUNCH LIST'!$Q$3:$Q$464,"Open")=0,"",COUNTIFS('PUNCH LIST'!$G$3:$G$464,A26,'PUNCH LIST'!$Q$3:$Q$464,"Open")))</f>
        <v/>
      </c>
      <c r="F26" s="116" t="n"/>
      <c r="G26" s="116" t="n"/>
      <c r="H26" s="116" t="n"/>
      <c r="I26" s="116" t="n"/>
      <c r="J26" s="116" t="n"/>
      <c r="K26" s="116" t="n"/>
      <c r="L26" s="115" t="n"/>
      <c r="M26" s="115" t="n"/>
      <c r="N26" s="117">
        <f>IF($A26="","",IF(ISBLANK(F26),"",IF(TRIM(F26)="--","--",IF(ISNUMBER(F26),IF(F26&gt;=1,"Yes",IF(F26=0,"No","PARTIAL")),"CHECK"))))</f>
        <v/>
      </c>
      <c r="O26" s="117">
        <f>IF($A26="","",IF(ISBLANK(G26),"",IF(TRIM(G26)="--","--",IF(ISNUMBER(G26),IF(G26&gt;=1,"Yes",IF(G26=0,"No","PARTIAL")),"CHECK"))))</f>
        <v/>
      </c>
      <c r="P26" s="117">
        <f>IF($A26="","",IF(ISBLANK(H26),"",IF(TRIM(H26)="--","--",IF(ISNUMBER(H26),IF(H26&gt;=1,"Yes",IF(H26=0,"No","PARTIAL")),"CHECK"))))</f>
        <v/>
      </c>
      <c r="Q26" s="117">
        <f>IF($A26="","",IF(ISBLANK(I26),"",IF(TRIM(I26)="--","--",IF(ISNUMBER(I26),IF(I26&gt;=1,"Yes",IF(I26=0,"No","PARTIAL")),"CHECK"))))</f>
        <v/>
      </c>
      <c r="R26" s="117">
        <f>IF($A26="","",IF(ISBLANK(J26),"",IF(TRIM(J26)="--","--",IF(ISNUMBER(J26),IF(J26&gt;=1,"Yes",IF(J26=0,"No","PARTIAL")),"CHECK"))))</f>
        <v/>
      </c>
      <c r="S26" s="117">
        <f>IF($A26="","",IF(ISBLANK(K26),"",IF(TRIM(K26)="--","--",IF(ISNUMBER(K26),IF(K26&gt;=1,"Yes",IF(K26=0,"No","PARTIAL")),"CHECK"))))</f>
        <v/>
      </c>
      <c r="T26" s="115" t="n"/>
      <c r="U26" s="115" t="n"/>
      <c r="V26" s="117">
        <f>IF($A26="","",IF(COUNTIF(N26:S26,"--")=6,"--",IF(COUNTIF(N26:S26,"Yes")+COUNTIF(N26:S26,"--")=6,"Yes","No")))</f>
        <v/>
      </c>
      <c r="W26" s="115" t="n"/>
      <c r="X26" s="115" t="n"/>
      <c r="Y26" s="115" t="n"/>
      <c r="Z26" s="117">
        <f>IF($A26="","",COUNTIFS('RFI REGISTER'!$D$5:$D$250,$A26,'RFI REGISTER'!$A$5:$A$250,"RFI-*",'RFI REGISTER'!$C$5:$C$250,"&lt;&gt;Closed",'RFI REGISTER'!$C$5:$C$250,"&lt;&gt;Cancelled"))</f>
        <v/>
      </c>
      <c r="AA26" s="117">
        <f>IF($A26="","",COUNTIFS(ISSUES!$P$5:$P$200,"*"&amp;$A26&amp;"*",ISSUES!$H$5:$H$200,"&lt;&gt;Closed",ISSUES!$H$5:$H$200,"&lt;&gt;Resolved",ISSUES!$H$5:$H$200,"&lt;&gt;Cancelled",ISSUES!$H$5:$H$200,"&lt;&gt;",ISSUES!$A$5:$A$200,"&lt;&gt;"))</f>
        <v/>
      </c>
      <c r="AB26" s="115" t="n"/>
      <c r="AC26" s="117">
        <f>IF(A26="","",IF(COUNTIF('WORK PACKAGES'!$A$2:$A$100,A26)=0,"NOT IN WORK PACKAGES",IF(COUNTIF($A$2:$A$100,A26)&gt;1,"DUPLICATE","OK")))</f>
        <v/>
      </c>
    </row>
    <row r="27">
      <c r="A27" s="51" t="n"/>
      <c r="B27" s="117">
        <f>IF($A27="","",IFERROR(IF(INDEX('WORK PACKAGES'!$B$2:$B$100,MATCH($A27,'WORK PACKAGES'!$A$2:$A$100,0))="","",INDEX('WORK PACKAGES'!$B$2:$B$100,MATCH($A27,'WORK PACKAGES'!$A$2:$A$100,0))),""))</f>
        <v/>
      </c>
      <c r="C27" s="117">
        <f>IF($A27="","",IFERROR(IF(INDEX('WORK PACKAGES'!$G$2:$G$100,MATCH($A27,'WORK PACKAGES'!$A$2:$A$100,0))="","",INDEX('WORK PACKAGES'!$G$2:$G$100,MATCH($A27,'WORK PACKAGES'!$A$2:$A$100,0))),""))</f>
        <v/>
      </c>
      <c r="D27" s="117">
        <f>IF($A27="","",IFERROR(IF(INDEX('WORK PACKAGES'!$E$2:$E$100,MATCH($A27,'WORK PACKAGES'!$A$2:$A$100,0))="","",INDEX('WORK PACKAGES'!$E$2:$E$100,MATCH($A27,'WORK PACKAGES'!$A$2:$A$100,0))),""))</f>
        <v/>
      </c>
      <c r="E27" s="117">
        <f>IF(A27="","",IF(COUNTIFS('PUNCH LIST'!$G$3:$G$464,A27,'PUNCH LIST'!$Q$3:$Q$464,"Open")=0,"",COUNTIFS('PUNCH LIST'!$G$3:$G$464,A27,'PUNCH LIST'!$Q$3:$Q$464,"Open")))</f>
        <v/>
      </c>
      <c r="F27" s="116" t="n"/>
      <c r="G27" s="116" t="n"/>
      <c r="H27" s="116" t="n"/>
      <c r="I27" s="116" t="n"/>
      <c r="J27" s="116" t="n"/>
      <c r="K27" s="116" t="n"/>
      <c r="L27" s="115" t="n"/>
      <c r="M27" s="115" t="n"/>
      <c r="N27" s="117">
        <f>IF($A27="","",IF(ISBLANK(F27),"",IF(TRIM(F27)="--","--",IF(ISNUMBER(F27),IF(F27&gt;=1,"Yes",IF(F27=0,"No","PARTIAL")),"CHECK"))))</f>
        <v/>
      </c>
      <c r="O27" s="117">
        <f>IF($A27="","",IF(ISBLANK(G27),"",IF(TRIM(G27)="--","--",IF(ISNUMBER(G27),IF(G27&gt;=1,"Yes",IF(G27=0,"No","PARTIAL")),"CHECK"))))</f>
        <v/>
      </c>
      <c r="P27" s="117">
        <f>IF($A27="","",IF(ISBLANK(H27),"",IF(TRIM(H27)="--","--",IF(ISNUMBER(H27),IF(H27&gt;=1,"Yes",IF(H27=0,"No","PARTIAL")),"CHECK"))))</f>
        <v/>
      </c>
      <c r="Q27" s="117">
        <f>IF($A27="","",IF(ISBLANK(I27),"",IF(TRIM(I27)="--","--",IF(ISNUMBER(I27),IF(I27&gt;=1,"Yes",IF(I27=0,"No","PARTIAL")),"CHECK"))))</f>
        <v/>
      </c>
      <c r="R27" s="117">
        <f>IF($A27="","",IF(ISBLANK(J27),"",IF(TRIM(J27)="--","--",IF(ISNUMBER(J27),IF(J27&gt;=1,"Yes",IF(J27=0,"No","PARTIAL")),"CHECK"))))</f>
        <v/>
      </c>
      <c r="S27" s="117">
        <f>IF($A27="","",IF(ISBLANK(K27),"",IF(TRIM(K27)="--","--",IF(ISNUMBER(K27),IF(K27&gt;=1,"Yes",IF(K27=0,"No","PARTIAL")),"CHECK"))))</f>
        <v/>
      </c>
      <c r="T27" s="115" t="n"/>
      <c r="U27" s="115" t="n"/>
      <c r="V27" s="117">
        <f>IF($A27="","",IF(COUNTIF(N27:S27,"--")=6,"--",IF(COUNTIF(N27:S27,"Yes")+COUNTIF(N27:S27,"--")=6,"Yes","No")))</f>
        <v/>
      </c>
      <c r="W27" s="115" t="n"/>
      <c r="X27" s="115" t="n"/>
      <c r="Y27" s="115" t="n"/>
      <c r="Z27" s="117">
        <f>IF($A27="","",COUNTIFS('RFI REGISTER'!$D$5:$D$250,$A27,'RFI REGISTER'!$A$5:$A$250,"RFI-*",'RFI REGISTER'!$C$5:$C$250,"&lt;&gt;Closed",'RFI REGISTER'!$C$5:$C$250,"&lt;&gt;Cancelled"))</f>
        <v/>
      </c>
      <c r="AA27" s="117">
        <f>IF($A27="","",COUNTIFS(ISSUES!$P$5:$P$200,"*"&amp;$A27&amp;"*",ISSUES!$H$5:$H$200,"&lt;&gt;Closed",ISSUES!$H$5:$H$200,"&lt;&gt;Resolved",ISSUES!$H$5:$H$200,"&lt;&gt;Cancelled",ISSUES!$H$5:$H$200,"&lt;&gt;",ISSUES!$A$5:$A$200,"&lt;&gt;"))</f>
        <v/>
      </c>
      <c r="AB27" s="115" t="n"/>
      <c r="AC27" s="117">
        <f>IF(A27="","",IF(COUNTIF('WORK PACKAGES'!$A$2:$A$100,A27)=0,"NOT IN WORK PACKAGES",IF(COUNTIF($A$2:$A$100,A27)&gt;1,"DUPLICATE","OK")))</f>
        <v/>
      </c>
    </row>
    <row r="28">
      <c r="A28" s="51" t="n"/>
      <c r="B28" s="117">
        <f>IF($A28="","",IFERROR(IF(INDEX('WORK PACKAGES'!$B$2:$B$100,MATCH($A28,'WORK PACKAGES'!$A$2:$A$100,0))="","",INDEX('WORK PACKAGES'!$B$2:$B$100,MATCH($A28,'WORK PACKAGES'!$A$2:$A$100,0))),""))</f>
        <v/>
      </c>
      <c r="C28" s="117">
        <f>IF($A28="","",IFERROR(IF(INDEX('WORK PACKAGES'!$G$2:$G$100,MATCH($A28,'WORK PACKAGES'!$A$2:$A$100,0))="","",INDEX('WORK PACKAGES'!$G$2:$G$100,MATCH($A28,'WORK PACKAGES'!$A$2:$A$100,0))),""))</f>
        <v/>
      </c>
      <c r="D28" s="117">
        <f>IF($A28="","",IFERROR(IF(INDEX('WORK PACKAGES'!$E$2:$E$100,MATCH($A28,'WORK PACKAGES'!$A$2:$A$100,0))="","",INDEX('WORK PACKAGES'!$E$2:$E$100,MATCH($A28,'WORK PACKAGES'!$A$2:$A$100,0))),""))</f>
        <v/>
      </c>
      <c r="E28" s="117">
        <f>IF(A28="","",IF(COUNTIFS('PUNCH LIST'!$G$3:$G$464,A28,'PUNCH LIST'!$Q$3:$Q$464,"Open")=0,"",COUNTIFS('PUNCH LIST'!$G$3:$G$464,A28,'PUNCH LIST'!$Q$3:$Q$464,"Open")))</f>
        <v/>
      </c>
      <c r="F28" s="116" t="n"/>
      <c r="G28" s="116" t="n"/>
      <c r="H28" s="116" t="n"/>
      <c r="I28" s="116" t="n"/>
      <c r="J28" s="116" t="n"/>
      <c r="K28" s="116" t="n"/>
      <c r="L28" s="115" t="n"/>
      <c r="M28" s="115" t="n"/>
      <c r="N28" s="117">
        <f>IF($A28="","",IF(ISBLANK(F28),"",IF(TRIM(F28)="--","--",IF(ISNUMBER(F28),IF(F28&gt;=1,"Yes",IF(F28=0,"No","PARTIAL")),"CHECK"))))</f>
        <v/>
      </c>
      <c r="O28" s="117">
        <f>IF($A28="","",IF(ISBLANK(G28),"",IF(TRIM(G28)="--","--",IF(ISNUMBER(G28),IF(G28&gt;=1,"Yes",IF(G28=0,"No","PARTIAL")),"CHECK"))))</f>
        <v/>
      </c>
      <c r="P28" s="117">
        <f>IF($A28="","",IF(ISBLANK(H28),"",IF(TRIM(H28)="--","--",IF(ISNUMBER(H28),IF(H28&gt;=1,"Yes",IF(H28=0,"No","PARTIAL")),"CHECK"))))</f>
        <v/>
      </c>
      <c r="Q28" s="117">
        <f>IF($A28="","",IF(ISBLANK(I28),"",IF(TRIM(I28)="--","--",IF(ISNUMBER(I28),IF(I28&gt;=1,"Yes",IF(I28=0,"No","PARTIAL")),"CHECK"))))</f>
        <v/>
      </c>
      <c r="R28" s="117">
        <f>IF($A28="","",IF(ISBLANK(J28),"",IF(TRIM(J28)="--","--",IF(ISNUMBER(J28),IF(J28&gt;=1,"Yes",IF(J28=0,"No","PARTIAL")),"CHECK"))))</f>
        <v/>
      </c>
      <c r="S28" s="117">
        <f>IF($A28="","",IF(ISBLANK(K28),"",IF(TRIM(K28)="--","--",IF(ISNUMBER(K28),IF(K28&gt;=1,"Yes",IF(K28=0,"No","PARTIAL")),"CHECK"))))</f>
        <v/>
      </c>
      <c r="T28" s="115" t="n"/>
      <c r="U28" s="115" t="n"/>
      <c r="V28" s="117">
        <f>IF($A28="","",IF(COUNTIF(N28:S28,"--")=6,"--",IF(COUNTIF(N28:S28,"Yes")+COUNTIF(N28:S28,"--")=6,"Yes","No")))</f>
        <v/>
      </c>
      <c r="W28" s="115" t="n"/>
      <c r="X28" s="115" t="n"/>
      <c r="Y28" s="115" t="n"/>
      <c r="Z28" s="117">
        <f>IF($A28="","",COUNTIFS('RFI REGISTER'!$D$5:$D$250,$A28,'RFI REGISTER'!$A$5:$A$250,"RFI-*",'RFI REGISTER'!$C$5:$C$250,"&lt;&gt;Closed",'RFI REGISTER'!$C$5:$C$250,"&lt;&gt;Cancelled"))</f>
        <v/>
      </c>
      <c r="AA28" s="117">
        <f>IF($A28="","",COUNTIFS(ISSUES!$P$5:$P$200,"*"&amp;$A28&amp;"*",ISSUES!$H$5:$H$200,"&lt;&gt;Closed",ISSUES!$H$5:$H$200,"&lt;&gt;Resolved",ISSUES!$H$5:$H$200,"&lt;&gt;Cancelled",ISSUES!$H$5:$H$200,"&lt;&gt;",ISSUES!$A$5:$A$200,"&lt;&gt;"))</f>
        <v/>
      </c>
      <c r="AB28" s="115" t="n"/>
      <c r="AC28" s="117">
        <f>IF(A28="","",IF(COUNTIF('WORK PACKAGES'!$A$2:$A$100,A28)=0,"NOT IN WORK PACKAGES",IF(COUNTIF($A$2:$A$100,A28)&gt;1,"DUPLICATE","OK")))</f>
        <v/>
      </c>
    </row>
    <row r="29">
      <c r="A29" s="51" t="n"/>
      <c r="B29" s="117">
        <f>IF($A29="","",IFERROR(IF(INDEX('WORK PACKAGES'!$B$2:$B$100,MATCH($A29,'WORK PACKAGES'!$A$2:$A$100,0))="","",INDEX('WORK PACKAGES'!$B$2:$B$100,MATCH($A29,'WORK PACKAGES'!$A$2:$A$100,0))),""))</f>
        <v/>
      </c>
      <c r="C29" s="117">
        <f>IF($A29="","",IFERROR(IF(INDEX('WORK PACKAGES'!$G$2:$G$100,MATCH($A29,'WORK PACKAGES'!$A$2:$A$100,0))="","",INDEX('WORK PACKAGES'!$G$2:$G$100,MATCH($A29,'WORK PACKAGES'!$A$2:$A$100,0))),""))</f>
        <v/>
      </c>
      <c r="D29" s="117">
        <f>IF($A29="","",IFERROR(IF(INDEX('WORK PACKAGES'!$E$2:$E$100,MATCH($A29,'WORK PACKAGES'!$A$2:$A$100,0))="","",INDEX('WORK PACKAGES'!$E$2:$E$100,MATCH($A29,'WORK PACKAGES'!$A$2:$A$100,0))),""))</f>
        <v/>
      </c>
      <c r="E29" s="117">
        <f>IF(A29="","",IF(COUNTIFS('PUNCH LIST'!$G$3:$G$464,A29,'PUNCH LIST'!$Q$3:$Q$464,"Open")=0,"",COUNTIFS('PUNCH LIST'!$G$3:$G$464,A29,'PUNCH LIST'!$Q$3:$Q$464,"Open")))</f>
        <v/>
      </c>
      <c r="F29" s="116" t="n"/>
      <c r="G29" s="116" t="n"/>
      <c r="H29" s="116" t="n"/>
      <c r="I29" s="116" t="n"/>
      <c r="J29" s="116" t="n"/>
      <c r="K29" s="116" t="n"/>
      <c r="L29" s="115" t="n"/>
      <c r="M29" s="115" t="n"/>
      <c r="N29" s="117">
        <f>IF($A29="","",IF(ISBLANK(F29),"",IF(TRIM(F29)="--","--",IF(ISNUMBER(F29),IF(F29&gt;=1,"Yes",IF(F29=0,"No","PARTIAL")),"CHECK"))))</f>
        <v/>
      </c>
      <c r="O29" s="117">
        <f>IF($A29="","",IF(ISBLANK(G29),"",IF(TRIM(G29)="--","--",IF(ISNUMBER(G29),IF(G29&gt;=1,"Yes",IF(G29=0,"No","PARTIAL")),"CHECK"))))</f>
        <v/>
      </c>
      <c r="P29" s="117">
        <f>IF($A29="","",IF(ISBLANK(H29),"",IF(TRIM(H29)="--","--",IF(ISNUMBER(H29),IF(H29&gt;=1,"Yes",IF(H29=0,"No","PARTIAL")),"CHECK"))))</f>
        <v/>
      </c>
      <c r="Q29" s="117">
        <f>IF($A29="","",IF(ISBLANK(I29),"",IF(TRIM(I29)="--","--",IF(ISNUMBER(I29),IF(I29&gt;=1,"Yes",IF(I29=0,"No","PARTIAL")),"CHECK"))))</f>
        <v/>
      </c>
      <c r="R29" s="117">
        <f>IF($A29="","",IF(ISBLANK(J29),"",IF(TRIM(J29)="--","--",IF(ISNUMBER(J29),IF(J29&gt;=1,"Yes",IF(J29=0,"No","PARTIAL")),"CHECK"))))</f>
        <v/>
      </c>
      <c r="S29" s="117">
        <f>IF($A29="","",IF(ISBLANK(K29),"",IF(TRIM(K29)="--","--",IF(ISNUMBER(K29),IF(K29&gt;=1,"Yes",IF(K29=0,"No","PARTIAL")),"CHECK"))))</f>
        <v/>
      </c>
      <c r="T29" s="115" t="n"/>
      <c r="U29" s="115" t="n"/>
      <c r="V29" s="117">
        <f>IF($A29="","",IF(COUNTIF(N29:S29,"--")=6,"--",IF(COUNTIF(N29:S29,"Yes")+COUNTIF(N29:S29,"--")=6,"Yes","No")))</f>
        <v/>
      </c>
      <c r="W29" s="115" t="n"/>
      <c r="X29" s="115" t="n"/>
      <c r="Y29" s="115" t="n"/>
      <c r="Z29" s="117">
        <f>IF($A29="","",COUNTIFS('RFI REGISTER'!$D$5:$D$250,$A29,'RFI REGISTER'!$A$5:$A$250,"RFI-*",'RFI REGISTER'!$C$5:$C$250,"&lt;&gt;Closed",'RFI REGISTER'!$C$5:$C$250,"&lt;&gt;Cancelled"))</f>
        <v/>
      </c>
      <c r="AA29" s="117">
        <f>IF($A29="","",COUNTIFS(ISSUES!$P$5:$P$200,"*"&amp;$A29&amp;"*",ISSUES!$H$5:$H$200,"&lt;&gt;Closed",ISSUES!$H$5:$H$200,"&lt;&gt;Resolved",ISSUES!$H$5:$H$200,"&lt;&gt;Cancelled",ISSUES!$H$5:$H$200,"&lt;&gt;",ISSUES!$A$5:$A$200,"&lt;&gt;"))</f>
        <v/>
      </c>
      <c r="AB29" s="115" t="n"/>
      <c r="AC29" s="117">
        <f>IF(A29="","",IF(COUNTIF('WORK PACKAGES'!$A$2:$A$100,A29)=0,"NOT IN WORK PACKAGES",IF(COUNTIF($A$2:$A$100,A29)&gt;1,"DUPLICATE","OK")))</f>
        <v/>
      </c>
    </row>
    <row r="30">
      <c r="A30" s="51" t="n"/>
      <c r="B30" s="117">
        <f>IF($A30="","",IFERROR(IF(INDEX('WORK PACKAGES'!$B$2:$B$100,MATCH($A30,'WORK PACKAGES'!$A$2:$A$100,0))="","",INDEX('WORK PACKAGES'!$B$2:$B$100,MATCH($A30,'WORK PACKAGES'!$A$2:$A$100,0))),""))</f>
        <v/>
      </c>
      <c r="C30" s="117">
        <f>IF($A30="","",IFERROR(IF(INDEX('WORK PACKAGES'!$G$2:$G$100,MATCH($A30,'WORK PACKAGES'!$A$2:$A$100,0))="","",INDEX('WORK PACKAGES'!$G$2:$G$100,MATCH($A30,'WORK PACKAGES'!$A$2:$A$100,0))),""))</f>
        <v/>
      </c>
      <c r="D30" s="117">
        <f>IF($A30="","",IFERROR(IF(INDEX('WORK PACKAGES'!$E$2:$E$100,MATCH($A30,'WORK PACKAGES'!$A$2:$A$100,0))="","",INDEX('WORK PACKAGES'!$E$2:$E$100,MATCH($A30,'WORK PACKAGES'!$A$2:$A$100,0))),""))</f>
        <v/>
      </c>
      <c r="E30" s="117">
        <f>IF(A30="","",IF(COUNTIFS('PUNCH LIST'!$G$3:$G$464,A30,'PUNCH LIST'!$Q$3:$Q$464,"Open")=0,"",COUNTIFS('PUNCH LIST'!$G$3:$G$464,A30,'PUNCH LIST'!$Q$3:$Q$464,"Open")))</f>
        <v/>
      </c>
      <c r="F30" s="116" t="n"/>
      <c r="G30" s="116" t="n"/>
      <c r="H30" s="116" t="n"/>
      <c r="I30" s="116" t="n"/>
      <c r="J30" s="116" t="n"/>
      <c r="K30" s="116" t="n"/>
      <c r="L30" s="115" t="n"/>
      <c r="M30" s="115" t="n"/>
      <c r="N30" s="117">
        <f>IF($A30="","",IF(ISBLANK(F30),"",IF(TRIM(F30)="--","--",IF(ISNUMBER(F30),IF(F30&gt;=1,"Yes",IF(F30=0,"No","PARTIAL")),"CHECK"))))</f>
        <v/>
      </c>
      <c r="O30" s="117">
        <f>IF($A30="","",IF(ISBLANK(G30),"",IF(TRIM(G30)="--","--",IF(ISNUMBER(G30),IF(G30&gt;=1,"Yes",IF(G30=0,"No","PARTIAL")),"CHECK"))))</f>
        <v/>
      </c>
      <c r="P30" s="117">
        <f>IF($A30="","",IF(ISBLANK(H30),"",IF(TRIM(H30)="--","--",IF(ISNUMBER(H30),IF(H30&gt;=1,"Yes",IF(H30=0,"No","PARTIAL")),"CHECK"))))</f>
        <v/>
      </c>
      <c r="Q30" s="117">
        <f>IF($A30="","",IF(ISBLANK(I30),"",IF(TRIM(I30)="--","--",IF(ISNUMBER(I30),IF(I30&gt;=1,"Yes",IF(I30=0,"No","PARTIAL")),"CHECK"))))</f>
        <v/>
      </c>
      <c r="R30" s="117">
        <f>IF($A30="","",IF(ISBLANK(J30),"",IF(TRIM(J30)="--","--",IF(ISNUMBER(J30),IF(J30&gt;=1,"Yes",IF(J30=0,"No","PARTIAL")),"CHECK"))))</f>
        <v/>
      </c>
      <c r="S30" s="117">
        <f>IF($A30="","",IF(ISBLANK(K30),"",IF(TRIM(K30)="--","--",IF(ISNUMBER(K30),IF(K30&gt;=1,"Yes",IF(K30=0,"No","PARTIAL")),"CHECK"))))</f>
        <v/>
      </c>
      <c r="T30" s="115" t="n"/>
      <c r="U30" s="115" t="n"/>
      <c r="V30" s="117">
        <f>IF($A30="","",IF(COUNTIF(N30:S30,"--")=6,"--",IF(COUNTIF(N30:S30,"Yes")+COUNTIF(N30:S30,"--")=6,"Yes","No")))</f>
        <v/>
      </c>
      <c r="W30" s="115" t="n"/>
      <c r="X30" s="115" t="n"/>
      <c r="Y30" s="115" t="n"/>
      <c r="Z30" s="117">
        <f>IF($A30="","",COUNTIFS('RFI REGISTER'!$D$5:$D$250,$A30,'RFI REGISTER'!$A$5:$A$250,"RFI-*",'RFI REGISTER'!$C$5:$C$250,"&lt;&gt;Closed",'RFI REGISTER'!$C$5:$C$250,"&lt;&gt;Cancelled"))</f>
        <v/>
      </c>
      <c r="AA30" s="117">
        <f>IF($A30="","",COUNTIFS(ISSUES!$P$5:$P$200,"*"&amp;$A30&amp;"*",ISSUES!$H$5:$H$200,"&lt;&gt;Closed",ISSUES!$H$5:$H$200,"&lt;&gt;Resolved",ISSUES!$H$5:$H$200,"&lt;&gt;Cancelled",ISSUES!$H$5:$H$200,"&lt;&gt;",ISSUES!$A$5:$A$200,"&lt;&gt;"))</f>
        <v/>
      </c>
      <c r="AB30" s="115" t="n"/>
      <c r="AC30" s="117">
        <f>IF(A30="","",IF(COUNTIF('WORK PACKAGES'!$A$2:$A$100,A30)=0,"NOT IN WORK PACKAGES",IF(COUNTIF($A$2:$A$100,A30)&gt;1,"DUPLICATE","OK")))</f>
        <v/>
      </c>
    </row>
    <row r="31">
      <c r="A31" s="51" t="n"/>
      <c r="B31" s="117">
        <f>IF($A31="","",IFERROR(IF(INDEX('WORK PACKAGES'!$B$2:$B$100,MATCH($A31,'WORK PACKAGES'!$A$2:$A$100,0))="","",INDEX('WORK PACKAGES'!$B$2:$B$100,MATCH($A31,'WORK PACKAGES'!$A$2:$A$100,0))),""))</f>
        <v/>
      </c>
      <c r="C31" s="117">
        <f>IF($A31="","",IFERROR(IF(INDEX('WORK PACKAGES'!$G$2:$G$100,MATCH($A31,'WORK PACKAGES'!$A$2:$A$100,0))="","",INDEX('WORK PACKAGES'!$G$2:$G$100,MATCH($A31,'WORK PACKAGES'!$A$2:$A$100,0))),""))</f>
        <v/>
      </c>
      <c r="D31" s="117">
        <f>IF($A31="","",IFERROR(IF(INDEX('WORK PACKAGES'!$E$2:$E$100,MATCH($A31,'WORK PACKAGES'!$A$2:$A$100,0))="","",INDEX('WORK PACKAGES'!$E$2:$E$100,MATCH($A31,'WORK PACKAGES'!$A$2:$A$100,0))),""))</f>
        <v/>
      </c>
      <c r="E31" s="117">
        <f>IF(A31="","",IF(COUNTIFS('PUNCH LIST'!$G$3:$G$464,A31,'PUNCH LIST'!$Q$3:$Q$464,"Open")=0,"",COUNTIFS('PUNCH LIST'!$G$3:$G$464,A31,'PUNCH LIST'!$Q$3:$Q$464,"Open")))</f>
        <v/>
      </c>
      <c r="F31" s="116" t="n"/>
      <c r="G31" s="116" t="n"/>
      <c r="H31" s="116" t="n"/>
      <c r="I31" s="116" t="n"/>
      <c r="J31" s="116" t="n"/>
      <c r="K31" s="116" t="n"/>
      <c r="L31" s="115" t="n"/>
      <c r="M31" s="115" t="n"/>
      <c r="N31" s="117">
        <f>IF($A31="","",IF(ISBLANK(F31),"",IF(TRIM(F31)="--","--",IF(ISNUMBER(F31),IF(F31&gt;=1,"Yes",IF(F31=0,"No","PARTIAL")),"CHECK"))))</f>
        <v/>
      </c>
      <c r="O31" s="117">
        <f>IF($A31="","",IF(ISBLANK(G31),"",IF(TRIM(G31)="--","--",IF(ISNUMBER(G31),IF(G31&gt;=1,"Yes",IF(G31=0,"No","PARTIAL")),"CHECK"))))</f>
        <v/>
      </c>
      <c r="P31" s="117">
        <f>IF($A31="","",IF(ISBLANK(H31),"",IF(TRIM(H31)="--","--",IF(ISNUMBER(H31),IF(H31&gt;=1,"Yes",IF(H31=0,"No","PARTIAL")),"CHECK"))))</f>
        <v/>
      </c>
      <c r="Q31" s="117">
        <f>IF($A31="","",IF(ISBLANK(I31),"",IF(TRIM(I31)="--","--",IF(ISNUMBER(I31),IF(I31&gt;=1,"Yes",IF(I31=0,"No","PARTIAL")),"CHECK"))))</f>
        <v/>
      </c>
      <c r="R31" s="117">
        <f>IF($A31="","",IF(ISBLANK(J31),"",IF(TRIM(J31)="--","--",IF(ISNUMBER(J31),IF(J31&gt;=1,"Yes",IF(J31=0,"No","PARTIAL")),"CHECK"))))</f>
        <v/>
      </c>
      <c r="S31" s="117">
        <f>IF($A31="","",IF(ISBLANK(K31),"",IF(TRIM(K31)="--","--",IF(ISNUMBER(K31),IF(K31&gt;=1,"Yes",IF(K31=0,"No","PARTIAL")),"CHECK"))))</f>
        <v/>
      </c>
      <c r="T31" s="115" t="n"/>
      <c r="U31" s="115" t="n"/>
      <c r="V31" s="117">
        <f>IF($A31="","",IF(COUNTIF(N31:S31,"--")=6,"--",IF(COUNTIF(N31:S31,"Yes")+COUNTIF(N31:S31,"--")=6,"Yes","No")))</f>
        <v/>
      </c>
      <c r="W31" s="115" t="n"/>
      <c r="X31" s="115" t="n"/>
      <c r="Y31" s="115" t="n"/>
      <c r="Z31" s="117">
        <f>IF($A31="","",COUNTIFS('RFI REGISTER'!$D$5:$D$250,$A31,'RFI REGISTER'!$A$5:$A$250,"RFI-*",'RFI REGISTER'!$C$5:$C$250,"&lt;&gt;Closed",'RFI REGISTER'!$C$5:$C$250,"&lt;&gt;Cancelled"))</f>
        <v/>
      </c>
      <c r="AA31" s="117">
        <f>IF($A31="","",COUNTIFS(ISSUES!$P$5:$P$200,"*"&amp;$A31&amp;"*",ISSUES!$H$5:$H$200,"&lt;&gt;Closed",ISSUES!$H$5:$H$200,"&lt;&gt;Resolved",ISSUES!$H$5:$H$200,"&lt;&gt;Cancelled",ISSUES!$H$5:$H$200,"&lt;&gt;",ISSUES!$A$5:$A$200,"&lt;&gt;"))</f>
        <v/>
      </c>
      <c r="AB31" s="115" t="n"/>
      <c r="AC31" s="117">
        <f>IF(A31="","",IF(COUNTIF('WORK PACKAGES'!$A$2:$A$100,A31)=0,"NOT IN WORK PACKAGES",IF(COUNTIF($A$2:$A$100,A31)&gt;1,"DUPLICATE","OK")))</f>
        <v/>
      </c>
    </row>
    <row r="32">
      <c r="A32" s="51" t="n"/>
      <c r="B32" s="117">
        <f>IF($A32="","",IFERROR(IF(INDEX('WORK PACKAGES'!$B$2:$B$100,MATCH($A32,'WORK PACKAGES'!$A$2:$A$100,0))="","",INDEX('WORK PACKAGES'!$B$2:$B$100,MATCH($A32,'WORK PACKAGES'!$A$2:$A$100,0))),""))</f>
        <v/>
      </c>
      <c r="C32" s="117">
        <f>IF($A32="","",IFERROR(IF(INDEX('WORK PACKAGES'!$G$2:$G$100,MATCH($A32,'WORK PACKAGES'!$A$2:$A$100,0))="","",INDEX('WORK PACKAGES'!$G$2:$G$100,MATCH($A32,'WORK PACKAGES'!$A$2:$A$100,0))),""))</f>
        <v/>
      </c>
      <c r="D32" s="117">
        <f>IF($A32="","",IFERROR(IF(INDEX('WORK PACKAGES'!$E$2:$E$100,MATCH($A32,'WORK PACKAGES'!$A$2:$A$100,0))="","",INDEX('WORK PACKAGES'!$E$2:$E$100,MATCH($A32,'WORK PACKAGES'!$A$2:$A$100,0))),""))</f>
        <v/>
      </c>
      <c r="E32" s="117">
        <f>IF(A32="","",IF(COUNTIFS('PUNCH LIST'!$G$3:$G$464,A32,'PUNCH LIST'!$Q$3:$Q$464,"Open")=0,"",COUNTIFS('PUNCH LIST'!$G$3:$G$464,A32,'PUNCH LIST'!$Q$3:$Q$464,"Open")))</f>
        <v/>
      </c>
      <c r="F32" s="116" t="n"/>
      <c r="G32" s="116" t="n"/>
      <c r="H32" s="116" t="n"/>
      <c r="I32" s="116" t="n"/>
      <c r="J32" s="116" t="n"/>
      <c r="K32" s="116" t="n"/>
      <c r="L32" s="115" t="n"/>
      <c r="M32" s="115" t="n"/>
      <c r="N32" s="117">
        <f>IF($A32="","",IF(ISBLANK(F32),"",IF(TRIM(F32)="--","--",IF(ISNUMBER(F32),IF(F32&gt;=1,"Yes",IF(F32=0,"No","PARTIAL")),"CHECK"))))</f>
        <v/>
      </c>
      <c r="O32" s="117">
        <f>IF($A32="","",IF(ISBLANK(G32),"",IF(TRIM(G32)="--","--",IF(ISNUMBER(G32),IF(G32&gt;=1,"Yes",IF(G32=0,"No","PARTIAL")),"CHECK"))))</f>
        <v/>
      </c>
      <c r="P32" s="117">
        <f>IF($A32="","",IF(ISBLANK(H32),"",IF(TRIM(H32)="--","--",IF(ISNUMBER(H32),IF(H32&gt;=1,"Yes",IF(H32=0,"No","PARTIAL")),"CHECK"))))</f>
        <v/>
      </c>
      <c r="Q32" s="117">
        <f>IF($A32="","",IF(ISBLANK(I32),"",IF(TRIM(I32)="--","--",IF(ISNUMBER(I32),IF(I32&gt;=1,"Yes",IF(I32=0,"No","PARTIAL")),"CHECK"))))</f>
        <v/>
      </c>
      <c r="R32" s="117">
        <f>IF($A32="","",IF(ISBLANK(J32),"",IF(TRIM(J32)="--","--",IF(ISNUMBER(J32),IF(J32&gt;=1,"Yes",IF(J32=0,"No","PARTIAL")),"CHECK"))))</f>
        <v/>
      </c>
      <c r="S32" s="117">
        <f>IF($A32="","",IF(ISBLANK(K32),"",IF(TRIM(K32)="--","--",IF(ISNUMBER(K32),IF(K32&gt;=1,"Yes",IF(K32=0,"No","PARTIAL")),"CHECK"))))</f>
        <v/>
      </c>
      <c r="T32" s="115" t="n"/>
      <c r="U32" s="115" t="n"/>
      <c r="V32" s="117">
        <f>IF($A32="","",IF(COUNTIF(N32:S32,"--")=6,"--",IF(COUNTIF(N32:S32,"Yes")+COUNTIF(N32:S32,"--")=6,"Yes","No")))</f>
        <v/>
      </c>
      <c r="W32" s="115" t="n"/>
      <c r="X32" s="115" t="n"/>
      <c r="Y32" s="115" t="n"/>
      <c r="Z32" s="117">
        <f>IF($A32="","",COUNTIFS('RFI REGISTER'!$D$5:$D$250,$A32,'RFI REGISTER'!$A$5:$A$250,"RFI-*",'RFI REGISTER'!$C$5:$C$250,"&lt;&gt;Closed",'RFI REGISTER'!$C$5:$C$250,"&lt;&gt;Cancelled"))</f>
        <v/>
      </c>
      <c r="AA32" s="117">
        <f>IF($A32="","",COUNTIFS(ISSUES!$P$5:$P$200,"*"&amp;$A32&amp;"*",ISSUES!$H$5:$H$200,"&lt;&gt;Closed",ISSUES!$H$5:$H$200,"&lt;&gt;Resolved",ISSUES!$H$5:$H$200,"&lt;&gt;Cancelled",ISSUES!$H$5:$H$200,"&lt;&gt;",ISSUES!$A$5:$A$200,"&lt;&gt;"))</f>
        <v/>
      </c>
      <c r="AB32" s="115" t="n"/>
      <c r="AC32" s="117">
        <f>IF(A32="","",IF(COUNTIF('WORK PACKAGES'!$A$2:$A$100,A32)=0,"NOT IN WORK PACKAGES",IF(COUNTIF($A$2:$A$100,A32)&gt;1,"DUPLICATE","OK")))</f>
        <v/>
      </c>
    </row>
    <row r="33">
      <c r="A33" s="51" t="n"/>
      <c r="B33" s="117">
        <f>IF($A33="","",IFERROR(IF(INDEX('WORK PACKAGES'!$B$2:$B$100,MATCH($A33,'WORK PACKAGES'!$A$2:$A$100,0))="","",INDEX('WORK PACKAGES'!$B$2:$B$100,MATCH($A33,'WORK PACKAGES'!$A$2:$A$100,0))),""))</f>
        <v/>
      </c>
      <c r="C33" s="117">
        <f>IF($A33="","",IFERROR(IF(INDEX('WORK PACKAGES'!$G$2:$G$100,MATCH($A33,'WORK PACKAGES'!$A$2:$A$100,0))="","",INDEX('WORK PACKAGES'!$G$2:$G$100,MATCH($A33,'WORK PACKAGES'!$A$2:$A$100,0))),""))</f>
        <v/>
      </c>
      <c r="D33" s="117">
        <f>IF($A33="","",IFERROR(IF(INDEX('WORK PACKAGES'!$E$2:$E$100,MATCH($A33,'WORK PACKAGES'!$A$2:$A$100,0))="","",INDEX('WORK PACKAGES'!$E$2:$E$100,MATCH($A33,'WORK PACKAGES'!$A$2:$A$100,0))),""))</f>
        <v/>
      </c>
      <c r="E33" s="117">
        <f>IF(A33="","",IF(COUNTIFS('PUNCH LIST'!$G$3:$G$464,A33,'PUNCH LIST'!$Q$3:$Q$464,"Open")=0,"",COUNTIFS('PUNCH LIST'!$G$3:$G$464,A33,'PUNCH LIST'!$Q$3:$Q$464,"Open")))</f>
        <v/>
      </c>
      <c r="F33" s="116" t="n"/>
      <c r="G33" s="116" t="n"/>
      <c r="H33" s="116" t="n"/>
      <c r="I33" s="116" t="n"/>
      <c r="J33" s="116" t="n"/>
      <c r="K33" s="116" t="n"/>
      <c r="L33" s="115" t="n"/>
      <c r="M33" s="115" t="n"/>
      <c r="N33" s="117">
        <f>IF($A33="","",IF(ISBLANK(F33),"",IF(TRIM(F33)="--","--",IF(ISNUMBER(F33),IF(F33&gt;=1,"Yes",IF(F33=0,"No","PARTIAL")),"CHECK"))))</f>
        <v/>
      </c>
      <c r="O33" s="117">
        <f>IF($A33="","",IF(ISBLANK(G33),"",IF(TRIM(G33)="--","--",IF(ISNUMBER(G33),IF(G33&gt;=1,"Yes",IF(G33=0,"No","PARTIAL")),"CHECK"))))</f>
        <v/>
      </c>
      <c r="P33" s="117">
        <f>IF($A33="","",IF(ISBLANK(H33),"",IF(TRIM(H33)="--","--",IF(ISNUMBER(H33),IF(H33&gt;=1,"Yes",IF(H33=0,"No","PARTIAL")),"CHECK"))))</f>
        <v/>
      </c>
      <c r="Q33" s="117">
        <f>IF($A33="","",IF(ISBLANK(I33),"",IF(TRIM(I33)="--","--",IF(ISNUMBER(I33),IF(I33&gt;=1,"Yes",IF(I33=0,"No","PARTIAL")),"CHECK"))))</f>
        <v/>
      </c>
      <c r="R33" s="117">
        <f>IF($A33="","",IF(ISBLANK(J33),"",IF(TRIM(J33)="--","--",IF(ISNUMBER(J33),IF(J33&gt;=1,"Yes",IF(J33=0,"No","PARTIAL")),"CHECK"))))</f>
        <v/>
      </c>
      <c r="S33" s="117">
        <f>IF($A33="","",IF(ISBLANK(K33),"",IF(TRIM(K33)="--","--",IF(ISNUMBER(K33),IF(K33&gt;=1,"Yes",IF(K33=0,"No","PARTIAL")),"CHECK"))))</f>
        <v/>
      </c>
      <c r="T33" s="115" t="n"/>
      <c r="U33" s="115" t="n"/>
      <c r="V33" s="117">
        <f>IF($A33="","",IF(COUNTIF(N33:S33,"--")=6,"--",IF(COUNTIF(N33:S33,"Yes")+COUNTIF(N33:S33,"--")=6,"Yes","No")))</f>
        <v/>
      </c>
      <c r="W33" s="115" t="n"/>
      <c r="X33" s="115" t="n"/>
      <c r="Y33" s="115" t="n"/>
      <c r="Z33" s="117">
        <f>IF($A33="","",COUNTIFS('RFI REGISTER'!$D$5:$D$250,$A33,'RFI REGISTER'!$A$5:$A$250,"RFI-*",'RFI REGISTER'!$C$5:$C$250,"&lt;&gt;Closed",'RFI REGISTER'!$C$5:$C$250,"&lt;&gt;Cancelled"))</f>
        <v/>
      </c>
      <c r="AA33" s="117">
        <f>IF($A33="","",COUNTIFS(ISSUES!$P$5:$P$200,"*"&amp;$A33&amp;"*",ISSUES!$H$5:$H$200,"&lt;&gt;Closed",ISSUES!$H$5:$H$200,"&lt;&gt;Resolved",ISSUES!$H$5:$H$200,"&lt;&gt;Cancelled",ISSUES!$H$5:$H$200,"&lt;&gt;",ISSUES!$A$5:$A$200,"&lt;&gt;"))</f>
        <v/>
      </c>
      <c r="AB33" s="115" t="n"/>
      <c r="AC33" s="117">
        <f>IF(A33="","",IF(COUNTIF('WORK PACKAGES'!$A$2:$A$100,A33)=0,"NOT IN WORK PACKAGES",IF(COUNTIF($A$2:$A$100,A33)&gt;1,"DUPLICATE","OK")))</f>
        <v/>
      </c>
    </row>
    <row r="34">
      <c r="A34" s="51" t="n"/>
      <c r="B34" s="117">
        <f>IF($A34="","",IFERROR(IF(INDEX('WORK PACKAGES'!$B$2:$B$100,MATCH($A34,'WORK PACKAGES'!$A$2:$A$100,0))="","",INDEX('WORK PACKAGES'!$B$2:$B$100,MATCH($A34,'WORK PACKAGES'!$A$2:$A$100,0))),""))</f>
        <v/>
      </c>
      <c r="C34" s="117">
        <f>IF($A34="","",IFERROR(IF(INDEX('WORK PACKAGES'!$G$2:$G$100,MATCH($A34,'WORK PACKAGES'!$A$2:$A$100,0))="","",INDEX('WORK PACKAGES'!$G$2:$G$100,MATCH($A34,'WORK PACKAGES'!$A$2:$A$100,0))),""))</f>
        <v/>
      </c>
      <c r="D34" s="117">
        <f>IF($A34="","",IFERROR(IF(INDEX('WORK PACKAGES'!$E$2:$E$100,MATCH($A34,'WORK PACKAGES'!$A$2:$A$100,0))="","",INDEX('WORK PACKAGES'!$E$2:$E$100,MATCH($A34,'WORK PACKAGES'!$A$2:$A$100,0))),""))</f>
        <v/>
      </c>
      <c r="E34" s="117">
        <f>IF(A34="","",IF(COUNTIFS('PUNCH LIST'!$G$3:$G$464,A34,'PUNCH LIST'!$Q$3:$Q$464,"Open")=0,"",COUNTIFS('PUNCH LIST'!$G$3:$G$464,A34,'PUNCH LIST'!$Q$3:$Q$464,"Open")))</f>
        <v/>
      </c>
      <c r="F34" s="116" t="n"/>
      <c r="G34" s="116" t="n"/>
      <c r="H34" s="116" t="n"/>
      <c r="I34" s="116" t="n"/>
      <c r="J34" s="116" t="n"/>
      <c r="K34" s="116" t="n"/>
      <c r="L34" s="115" t="n"/>
      <c r="M34" s="115" t="n"/>
      <c r="N34" s="117">
        <f>IF($A34="","",IF(ISBLANK(F34),"",IF(TRIM(F34)="--","--",IF(ISNUMBER(F34),IF(F34&gt;=1,"Yes",IF(F34=0,"No","PARTIAL")),"CHECK"))))</f>
        <v/>
      </c>
      <c r="O34" s="117">
        <f>IF($A34="","",IF(ISBLANK(G34),"",IF(TRIM(G34)="--","--",IF(ISNUMBER(G34),IF(G34&gt;=1,"Yes",IF(G34=0,"No","PARTIAL")),"CHECK"))))</f>
        <v/>
      </c>
      <c r="P34" s="117">
        <f>IF($A34="","",IF(ISBLANK(H34),"",IF(TRIM(H34)="--","--",IF(ISNUMBER(H34),IF(H34&gt;=1,"Yes",IF(H34=0,"No","PARTIAL")),"CHECK"))))</f>
        <v/>
      </c>
      <c r="Q34" s="117">
        <f>IF($A34="","",IF(ISBLANK(I34),"",IF(TRIM(I34)="--","--",IF(ISNUMBER(I34),IF(I34&gt;=1,"Yes",IF(I34=0,"No","PARTIAL")),"CHECK"))))</f>
        <v/>
      </c>
      <c r="R34" s="117">
        <f>IF($A34="","",IF(ISBLANK(J34),"",IF(TRIM(J34)="--","--",IF(ISNUMBER(J34),IF(J34&gt;=1,"Yes",IF(J34=0,"No","PARTIAL")),"CHECK"))))</f>
        <v/>
      </c>
      <c r="S34" s="117">
        <f>IF($A34="","",IF(ISBLANK(K34),"",IF(TRIM(K34)="--","--",IF(ISNUMBER(K34),IF(K34&gt;=1,"Yes",IF(K34=0,"No","PARTIAL")),"CHECK"))))</f>
        <v/>
      </c>
      <c r="T34" s="115" t="n"/>
      <c r="U34" s="115" t="n"/>
      <c r="V34" s="117">
        <f>IF($A34="","",IF(COUNTIF(N34:S34,"--")=6,"--",IF(COUNTIF(N34:S34,"Yes")+COUNTIF(N34:S34,"--")=6,"Yes","No")))</f>
        <v/>
      </c>
      <c r="W34" s="115" t="n"/>
      <c r="X34" s="115" t="n"/>
      <c r="Y34" s="115" t="n"/>
      <c r="Z34" s="117">
        <f>IF($A34="","",COUNTIFS('RFI REGISTER'!$D$5:$D$250,$A34,'RFI REGISTER'!$A$5:$A$250,"RFI-*",'RFI REGISTER'!$C$5:$C$250,"&lt;&gt;Closed",'RFI REGISTER'!$C$5:$C$250,"&lt;&gt;Cancelled"))</f>
        <v/>
      </c>
      <c r="AA34" s="117">
        <f>IF($A34="","",COUNTIFS(ISSUES!$P$5:$P$200,"*"&amp;$A34&amp;"*",ISSUES!$H$5:$H$200,"&lt;&gt;Closed",ISSUES!$H$5:$H$200,"&lt;&gt;Resolved",ISSUES!$H$5:$H$200,"&lt;&gt;Cancelled",ISSUES!$H$5:$H$200,"&lt;&gt;",ISSUES!$A$5:$A$200,"&lt;&gt;"))</f>
        <v/>
      </c>
      <c r="AB34" s="115" t="n"/>
      <c r="AC34" s="117">
        <f>IF(A34="","",IF(COUNTIF('WORK PACKAGES'!$A$2:$A$100,A34)=0,"NOT IN WORK PACKAGES",IF(COUNTIF($A$2:$A$100,A34)&gt;1,"DUPLICATE","OK")))</f>
        <v/>
      </c>
    </row>
    <row r="35">
      <c r="A35" s="51" t="n"/>
      <c r="B35" s="117">
        <f>IF($A35="","",IFERROR(IF(INDEX('WORK PACKAGES'!$B$2:$B$100,MATCH($A35,'WORK PACKAGES'!$A$2:$A$100,0))="","",INDEX('WORK PACKAGES'!$B$2:$B$100,MATCH($A35,'WORK PACKAGES'!$A$2:$A$100,0))),""))</f>
        <v/>
      </c>
      <c r="C35" s="117">
        <f>IF($A35="","",IFERROR(IF(INDEX('WORK PACKAGES'!$G$2:$G$100,MATCH($A35,'WORK PACKAGES'!$A$2:$A$100,0))="","",INDEX('WORK PACKAGES'!$G$2:$G$100,MATCH($A35,'WORK PACKAGES'!$A$2:$A$100,0))),""))</f>
        <v/>
      </c>
      <c r="D35" s="117">
        <f>IF($A35="","",IFERROR(IF(INDEX('WORK PACKAGES'!$E$2:$E$100,MATCH($A35,'WORK PACKAGES'!$A$2:$A$100,0))="","",INDEX('WORK PACKAGES'!$E$2:$E$100,MATCH($A35,'WORK PACKAGES'!$A$2:$A$100,0))),""))</f>
        <v/>
      </c>
      <c r="E35" s="117">
        <f>IF(A35="","",IF(COUNTIFS('PUNCH LIST'!$G$3:$G$464,A35,'PUNCH LIST'!$Q$3:$Q$464,"Open")=0,"",COUNTIFS('PUNCH LIST'!$G$3:$G$464,A35,'PUNCH LIST'!$Q$3:$Q$464,"Open")))</f>
        <v/>
      </c>
      <c r="F35" s="116" t="n"/>
      <c r="G35" s="116" t="n"/>
      <c r="H35" s="116" t="n"/>
      <c r="I35" s="116" t="n"/>
      <c r="J35" s="116" t="n"/>
      <c r="K35" s="116" t="n"/>
      <c r="L35" s="115" t="n"/>
      <c r="M35" s="115" t="n"/>
      <c r="N35" s="117">
        <f>IF($A35="","",IF(ISBLANK(F35),"",IF(TRIM(F35)="--","--",IF(ISNUMBER(F35),IF(F35&gt;=1,"Yes",IF(F35=0,"No","PARTIAL")),"CHECK"))))</f>
        <v/>
      </c>
      <c r="O35" s="117">
        <f>IF($A35="","",IF(ISBLANK(G35),"",IF(TRIM(G35)="--","--",IF(ISNUMBER(G35),IF(G35&gt;=1,"Yes",IF(G35=0,"No","PARTIAL")),"CHECK"))))</f>
        <v/>
      </c>
      <c r="P35" s="117">
        <f>IF($A35="","",IF(ISBLANK(H35),"",IF(TRIM(H35)="--","--",IF(ISNUMBER(H35),IF(H35&gt;=1,"Yes",IF(H35=0,"No","PARTIAL")),"CHECK"))))</f>
        <v/>
      </c>
      <c r="Q35" s="117">
        <f>IF($A35="","",IF(ISBLANK(I35),"",IF(TRIM(I35)="--","--",IF(ISNUMBER(I35),IF(I35&gt;=1,"Yes",IF(I35=0,"No","PARTIAL")),"CHECK"))))</f>
        <v/>
      </c>
      <c r="R35" s="117">
        <f>IF($A35="","",IF(ISBLANK(J35),"",IF(TRIM(J35)="--","--",IF(ISNUMBER(J35),IF(J35&gt;=1,"Yes",IF(J35=0,"No","PARTIAL")),"CHECK"))))</f>
        <v/>
      </c>
      <c r="S35" s="117">
        <f>IF($A35="","",IF(ISBLANK(K35),"",IF(TRIM(K35)="--","--",IF(ISNUMBER(K35),IF(K35&gt;=1,"Yes",IF(K35=0,"No","PARTIAL")),"CHECK"))))</f>
        <v/>
      </c>
      <c r="T35" s="115" t="n"/>
      <c r="U35" s="115" t="n"/>
      <c r="V35" s="117">
        <f>IF($A35="","",IF(COUNTIF(N35:S35,"--")=6,"--",IF(COUNTIF(N35:S35,"Yes")+COUNTIF(N35:S35,"--")=6,"Yes","No")))</f>
        <v/>
      </c>
      <c r="W35" s="115" t="n"/>
      <c r="X35" s="115" t="n"/>
      <c r="Y35" s="115" t="n"/>
      <c r="Z35" s="117">
        <f>IF($A35="","",COUNTIFS('RFI REGISTER'!$D$5:$D$250,$A35,'RFI REGISTER'!$A$5:$A$250,"RFI-*",'RFI REGISTER'!$C$5:$C$250,"&lt;&gt;Closed",'RFI REGISTER'!$C$5:$C$250,"&lt;&gt;Cancelled"))</f>
        <v/>
      </c>
      <c r="AA35" s="117">
        <f>IF($A35="","",COUNTIFS(ISSUES!$P$5:$P$200,"*"&amp;$A35&amp;"*",ISSUES!$H$5:$H$200,"&lt;&gt;Closed",ISSUES!$H$5:$H$200,"&lt;&gt;Resolved",ISSUES!$H$5:$H$200,"&lt;&gt;Cancelled",ISSUES!$H$5:$H$200,"&lt;&gt;",ISSUES!$A$5:$A$200,"&lt;&gt;"))</f>
        <v/>
      </c>
      <c r="AB35" s="115" t="n"/>
      <c r="AC35" s="117">
        <f>IF(A35="","",IF(COUNTIF('WORK PACKAGES'!$A$2:$A$100,A35)=0,"NOT IN WORK PACKAGES",IF(COUNTIF($A$2:$A$100,A35)&gt;1,"DUPLICATE","OK")))</f>
        <v/>
      </c>
    </row>
    <row r="36">
      <c r="A36" s="51" t="n"/>
      <c r="B36" s="117">
        <f>IF($A36="","",IFERROR(IF(INDEX('WORK PACKAGES'!$B$2:$B$100,MATCH($A36,'WORK PACKAGES'!$A$2:$A$100,0))="","",INDEX('WORK PACKAGES'!$B$2:$B$100,MATCH($A36,'WORK PACKAGES'!$A$2:$A$100,0))),""))</f>
        <v/>
      </c>
      <c r="C36" s="117">
        <f>IF($A36="","",IFERROR(IF(INDEX('WORK PACKAGES'!$G$2:$G$100,MATCH($A36,'WORK PACKAGES'!$A$2:$A$100,0))="","",INDEX('WORK PACKAGES'!$G$2:$G$100,MATCH($A36,'WORK PACKAGES'!$A$2:$A$100,0))),""))</f>
        <v/>
      </c>
      <c r="D36" s="117">
        <f>IF($A36="","",IFERROR(IF(INDEX('WORK PACKAGES'!$E$2:$E$100,MATCH($A36,'WORK PACKAGES'!$A$2:$A$100,0))="","",INDEX('WORK PACKAGES'!$E$2:$E$100,MATCH($A36,'WORK PACKAGES'!$A$2:$A$100,0))),""))</f>
        <v/>
      </c>
      <c r="E36" s="117">
        <f>IF(A36="","",IF(COUNTIFS('PUNCH LIST'!$G$3:$G$464,A36,'PUNCH LIST'!$Q$3:$Q$464,"Open")=0,"",COUNTIFS('PUNCH LIST'!$G$3:$G$464,A36,'PUNCH LIST'!$Q$3:$Q$464,"Open")))</f>
        <v/>
      </c>
      <c r="F36" s="116" t="n"/>
      <c r="G36" s="116" t="n"/>
      <c r="H36" s="116" t="n"/>
      <c r="I36" s="116" t="n"/>
      <c r="J36" s="116" t="n"/>
      <c r="K36" s="116" t="n"/>
      <c r="L36" s="115" t="n"/>
      <c r="M36" s="115" t="n"/>
      <c r="N36" s="117">
        <f>IF($A36="","",IF(ISBLANK(F36),"",IF(TRIM(F36)="--","--",IF(ISNUMBER(F36),IF(F36&gt;=1,"Yes",IF(F36=0,"No","PARTIAL")),"CHECK"))))</f>
        <v/>
      </c>
      <c r="O36" s="117">
        <f>IF($A36="","",IF(ISBLANK(G36),"",IF(TRIM(G36)="--","--",IF(ISNUMBER(G36),IF(G36&gt;=1,"Yes",IF(G36=0,"No","PARTIAL")),"CHECK"))))</f>
        <v/>
      </c>
      <c r="P36" s="117">
        <f>IF($A36="","",IF(ISBLANK(H36),"",IF(TRIM(H36)="--","--",IF(ISNUMBER(H36),IF(H36&gt;=1,"Yes",IF(H36=0,"No","PARTIAL")),"CHECK"))))</f>
        <v/>
      </c>
      <c r="Q36" s="117">
        <f>IF($A36="","",IF(ISBLANK(I36),"",IF(TRIM(I36)="--","--",IF(ISNUMBER(I36),IF(I36&gt;=1,"Yes",IF(I36=0,"No","PARTIAL")),"CHECK"))))</f>
        <v/>
      </c>
      <c r="R36" s="117">
        <f>IF($A36="","",IF(ISBLANK(J36),"",IF(TRIM(J36)="--","--",IF(ISNUMBER(J36),IF(J36&gt;=1,"Yes",IF(J36=0,"No","PARTIAL")),"CHECK"))))</f>
        <v/>
      </c>
      <c r="S36" s="117">
        <f>IF($A36="","",IF(ISBLANK(K36),"",IF(TRIM(K36)="--","--",IF(ISNUMBER(K36),IF(K36&gt;=1,"Yes",IF(K36=0,"No","PARTIAL")),"CHECK"))))</f>
        <v/>
      </c>
      <c r="T36" s="115" t="n"/>
      <c r="U36" s="115" t="n"/>
      <c r="V36" s="117">
        <f>IF($A36="","",IF(COUNTIF(N36:S36,"--")=6,"--",IF(COUNTIF(N36:S36,"Yes")+COUNTIF(N36:S36,"--")=6,"Yes","No")))</f>
        <v/>
      </c>
      <c r="W36" s="115" t="n"/>
      <c r="X36" s="115" t="n"/>
      <c r="Y36" s="115" t="n"/>
      <c r="Z36" s="117">
        <f>IF($A36="","",COUNTIFS('RFI REGISTER'!$D$5:$D$250,$A36,'RFI REGISTER'!$A$5:$A$250,"RFI-*",'RFI REGISTER'!$C$5:$C$250,"&lt;&gt;Closed",'RFI REGISTER'!$C$5:$C$250,"&lt;&gt;Cancelled"))</f>
        <v/>
      </c>
      <c r="AA36" s="117">
        <f>IF($A36="","",COUNTIFS(ISSUES!$P$5:$P$200,"*"&amp;$A36&amp;"*",ISSUES!$H$5:$H$200,"&lt;&gt;Closed",ISSUES!$H$5:$H$200,"&lt;&gt;Resolved",ISSUES!$H$5:$H$200,"&lt;&gt;Cancelled",ISSUES!$H$5:$H$200,"&lt;&gt;",ISSUES!$A$5:$A$200,"&lt;&gt;"))</f>
        <v/>
      </c>
      <c r="AB36" s="115" t="n"/>
      <c r="AC36" s="117">
        <f>IF(A36="","",IF(COUNTIF('WORK PACKAGES'!$A$2:$A$100,A36)=0,"NOT IN WORK PACKAGES",IF(COUNTIF($A$2:$A$100,A36)&gt;1,"DUPLICATE","OK")))</f>
        <v/>
      </c>
    </row>
    <row r="37">
      <c r="A37" s="51" t="n"/>
      <c r="B37" s="117">
        <f>IF($A37="","",IFERROR(IF(INDEX('WORK PACKAGES'!$B$2:$B$100,MATCH($A37,'WORK PACKAGES'!$A$2:$A$100,0))="","",INDEX('WORK PACKAGES'!$B$2:$B$100,MATCH($A37,'WORK PACKAGES'!$A$2:$A$100,0))),""))</f>
        <v/>
      </c>
      <c r="C37" s="117">
        <f>IF($A37="","",IFERROR(IF(INDEX('WORK PACKAGES'!$G$2:$G$100,MATCH($A37,'WORK PACKAGES'!$A$2:$A$100,0))="","",INDEX('WORK PACKAGES'!$G$2:$G$100,MATCH($A37,'WORK PACKAGES'!$A$2:$A$100,0))),""))</f>
        <v/>
      </c>
      <c r="D37" s="117">
        <f>IF($A37="","",IFERROR(IF(INDEX('WORK PACKAGES'!$E$2:$E$100,MATCH($A37,'WORK PACKAGES'!$A$2:$A$100,0))="","",INDEX('WORK PACKAGES'!$E$2:$E$100,MATCH($A37,'WORK PACKAGES'!$A$2:$A$100,0))),""))</f>
        <v/>
      </c>
      <c r="E37" s="117">
        <f>IF(A37="","",IF(COUNTIFS('PUNCH LIST'!$G$3:$G$464,A37,'PUNCH LIST'!$Q$3:$Q$464,"Open")=0,"",COUNTIFS('PUNCH LIST'!$G$3:$G$464,A37,'PUNCH LIST'!$Q$3:$Q$464,"Open")))</f>
        <v/>
      </c>
      <c r="F37" s="116" t="n"/>
      <c r="G37" s="116" t="n"/>
      <c r="H37" s="116" t="n"/>
      <c r="I37" s="116" t="n"/>
      <c r="J37" s="116" t="n"/>
      <c r="K37" s="116" t="n"/>
      <c r="L37" s="115" t="n"/>
      <c r="M37" s="115" t="n"/>
      <c r="N37" s="117">
        <f>IF($A37="","",IF(ISBLANK(F37),"",IF(TRIM(F37)="--","--",IF(ISNUMBER(F37),IF(F37&gt;=1,"Yes",IF(F37=0,"No","PARTIAL")),"CHECK"))))</f>
        <v/>
      </c>
      <c r="O37" s="117">
        <f>IF($A37="","",IF(ISBLANK(G37),"",IF(TRIM(G37)="--","--",IF(ISNUMBER(G37),IF(G37&gt;=1,"Yes",IF(G37=0,"No","PARTIAL")),"CHECK"))))</f>
        <v/>
      </c>
      <c r="P37" s="117">
        <f>IF($A37="","",IF(ISBLANK(H37),"",IF(TRIM(H37)="--","--",IF(ISNUMBER(H37),IF(H37&gt;=1,"Yes",IF(H37=0,"No","PARTIAL")),"CHECK"))))</f>
        <v/>
      </c>
      <c r="Q37" s="117">
        <f>IF($A37="","",IF(ISBLANK(I37),"",IF(TRIM(I37)="--","--",IF(ISNUMBER(I37),IF(I37&gt;=1,"Yes",IF(I37=0,"No","PARTIAL")),"CHECK"))))</f>
        <v/>
      </c>
      <c r="R37" s="117">
        <f>IF($A37="","",IF(ISBLANK(J37),"",IF(TRIM(J37)="--","--",IF(ISNUMBER(J37),IF(J37&gt;=1,"Yes",IF(J37=0,"No","PARTIAL")),"CHECK"))))</f>
        <v/>
      </c>
      <c r="S37" s="117">
        <f>IF($A37="","",IF(ISBLANK(K37),"",IF(TRIM(K37)="--","--",IF(ISNUMBER(K37),IF(K37&gt;=1,"Yes",IF(K37=0,"No","PARTIAL")),"CHECK"))))</f>
        <v/>
      </c>
      <c r="T37" s="115" t="n"/>
      <c r="U37" s="115" t="n"/>
      <c r="V37" s="117">
        <f>IF($A37="","",IF(COUNTIF(N37:S37,"--")=6,"--",IF(COUNTIF(N37:S37,"Yes")+COUNTIF(N37:S37,"--")=6,"Yes","No")))</f>
        <v/>
      </c>
      <c r="W37" s="115" t="n"/>
      <c r="X37" s="115" t="n"/>
      <c r="Y37" s="115" t="n"/>
      <c r="Z37" s="117">
        <f>IF($A37="","",COUNTIFS('RFI REGISTER'!$D$5:$D$250,$A37,'RFI REGISTER'!$A$5:$A$250,"RFI-*",'RFI REGISTER'!$C$5:$C$250,"&lt;&gt;Closed",'RFI REGISTER'!$C$5:$C$250,"&lt;&gt;Cancelled"))</f>
        <v/>
      </c>
      <c r="AA37" s="117">
        <f>IF($A37="","",COUNTIFS(ISSUES!$P$5:$P$200,"*"&amp;$A37&amp;"*",ISSUES!$H$5:$H$200,"&lt;&gt;Closed",ISSUES!$H$5:$H$200,"&lt;&gt;Resolved",ISSUES!$H$5:$H$200,"&lt;&gt;Cancelled",ISSUES!$H$5:$H$200,"&lt;&gt;",ISSUES!$A$5:$A$200,"&lt;&gt;"))</f>
        <v/>
      </c>
      <c r="AB37" s="115" t="n"/>
      <c r="AC37" s="117">
        <f>IF(A37="","",IF(COUNTIF('WORK PACKAGES'!$A$2:$A$100,A37)=0,"NOT IN WORK PACKAGES",IF(COUNTIF($A$2:$A$100,A37)&gt;1,"DUPLICATE","OK")))</f>
        <v/>
      </c>
    </row>
    <row r="38">
      <c r="A38" s="51" t="n"/>
      <c r="B38" s="117">
        <f>IF($A38="","",IFERROR(IF(INDEX('WORK PACKAGES'!$B$2:$B$100,MATCH($A38,'WORK PACKAGES'!$A$2:$A$100,0))="","",INDEX('WORK PACKAGES'!$B$2:$B$100,MATCH($A38,'WORK PACKAGES'!$A$2:$A$100,0))),""))</f>
        <v/>
      </c>
      <c r="C38" s="117">
        <f>IF($A38="","",IFERROR(IF(INDEX('WORK PACKAGES'!$G$2:$G$100,MATCH($A38,'WORK PACKAGES'!$A$2:$A$100,0))="","",INDEX('WORK PACKAGES'!$G$2:$G$100,MATCH($A38,'WORK PACKAGES'!$A$2:$A$100,0))),""))</f>
        <v/>
      </c>
      <c r="D38" s="117">
        <f>IF($A38="","",IFERROR(IF(INDEX('WORK PACKAGES'!$E$2:$E$100,MATCH($A38,'WORK PACKAGES'!$A$2:$A$100,0))="","",INDEX('WORK PACKAGES'!$E$2:$E$100,MATCH($A38,'WORK PACKAGES'!$A$2:$A$100,0))),""))</f>
        <v/>
      </c>
      <c r="E38" s="117">
        <f>IF(A38="","",IF(COUNTIFS('PUNCH LIST'!$G$3:$G$464,A38,'PUNCH LIST'!$Q$3:$Q$464,"Open")=0,"",COUNTIFS('PUNCH LIST'!$G$3:$G$464,A38,'PUNCH LIST'!$Q$3:$Q$464,"Open")))</f>
        <v/>
      </c>
      <c r="F38" s="116" t="n"/>
      <c r="G38" s="116" t="n"/>
      <c r="H38" s="116" t="n"/>
      <c r="I38" s="116" t="n"/>
      <c r="J38" s="116" t="n"/>
      <c r="K38" s="116" t="n"/>
      <c r="L38" s="115" t="n"/>
      <c r="M38" s="115" t="n"/>
      <c r="N38" s="117">
        <f>IF($A38="","",IF(ISBLANK(F38),"",IF(TRIM(F38)="--","--",IF(ISNUMBER(F38),IF(F38&gt;=1,"Yes",IF(F38=0,"No","PARTIAL")),"CHECK"))))</f>
        <v/>
      </c>
      <c r="O38" s="117">
        <f>IF($A38="","",IF(ISBLANK(G38),"",IF(TRIM(G38)="--","--",IF(ISNUMBER(G38),IF(G38&gt;=1,"Yes",IF(G38=0,"No","PARTIAL")),"CHECK"))))</f>
        <v/>
      </c>
      <c r="P38" s="117">
        <f>IF($A38="","",IF(ISBLANK(H38),"",IF(TRIM(H38)="--","--",IF(ISNUMBER(H38),IF(H38&gt;=1,"Yes",IF(H38=0,"No","PARTIAL")),"CHECK"))))</f>
        <v/>
      </c>
      <c r="Q38" s="117">
        <f>IF($A38="","",IF(ISBLANK(I38),"",IF(TRIM(I38)="--","--",IF(ISNUMBER(I38),IF(I38&gt;=1,"Yes",IF(I38=0,"No","PARTIAL")),"CHECK"))))</f>
        <v/>
      </c>
      <c r="R38" s="117">
        <f>IF($A38="","",IF(ISBLANK(J38),"",IF(TRIM(J38)="--","--",IF(ISNUMBER(J38),IF(J38&gt;=1,"Yes",IF(J38=0,"No","PARTIAL")),"CHECK"))))</f>
        <v/>
      </c>
      <c r="S38" s="117">
        <f>IF($A38="","",IF(ISBLANK(K38),"",IF(TRIM(K38)="--","--",IF(ISNUMBER(K38),IF(K38&gt;=1,"Yes",IF(K38=0,"No","PARTIAL")),"CHECK"))))</f>
        <v/>
      </c>
      <c r="T38" s="115" t="n"/>
      <c r="U38" s="115" t="n"/>
      <c r="V38" s="117">
        <f>IF($A38="","",IF(COUNTIF(N38:S38,"--")=6,"--",IF(COUNTIF(N38:S38,"Yes")+COUNTIF(N38:S38,"--")=6,"Yes","No")))</f>
        <v/>
      </c>
      <c r="W38" s="115" t="n"/>
      <c r="X38" s="115" t="n"/>
      <c r="Y38" s="115" t="n"/>
      <c r="Z38" s="117">
        <f>IF($A38="","",COUNTIFS('RFI REGISTER'!$D$5:$D$250,$A38,'RFI REGISTER'!$A$5:$A$250,"RFI-*",'RFI REGISTER'!$C$5:$C$250,"&lt;&gt;Closed",'RFI REGISTER'!$C$5:$C$250,"&lt;&gt;Cancelled"))</f>
        <v/>
      </c>
      <c r="AA38" s="117">
        <f>IF($A38="","",COUNTIFS(ISSUES!$P$5:$P$200,"*"&amp;$A38&amp;"*",ISSUES!$H$5:$H$200,"&lt;&gt;Closed",ISSUES!$H$5:$H$200,"&lt;&gt;Resolved",ISSUES!$H$5:$H$200,"&lt;&gt;Cancelled",ISSUES!$H$5:$H$200,"&lt;&gt;",ISSUES!$A$5:$A$200,"&lt;&gt;"))</f>
        <v/>
      </c>
      <c r="AB38" s="115" t="n"/>
      <c r="AC38" s="117">
        <f>IF(A38="","",IF(COUNTIF('WORK PACKAGES'!$A$2:$A$100,A38)=0,"NOT IN WORK PACKAGES",IF(COUNTIF($A$2:$A$100,A38)&gt;1,"DUPLICATE","OK")))</f>
        <v/>
      </c>
    </row>
    <row r="39">
      <c r="A39" s="51" t="n"/>
      <c r="B39" s="117">
        <f>IF($A39="","",IFERROR(IF(INDEX('WORK PACKAGES'!$B$2:$B$100,MATCH($A39,'WORK PACKAGES'!$A$2:$A$100,0))="","",INDEX('WORK PACKAGES'!$B$2:$B$100,MATCH($A39,'WORK PACKAGES'!$A$2:$A$100,0))),""))</f>
        <v/>
      </c>
      <c r="C39" s="117">
        <f>IF($A39="","",IFERROR(IF(INDEX('WORK PACKAGES'!$G$2:$G$100,MATCH($A39,'WORK PACKAGES'!$A$2:$A$100,0))="","",INDEX('WORK PACKAGES'!$G$2:$G$100,MATCH($A39,'WORK PACKAGES'!$A$2:$A$100,0))),""))</f>
        <v/>
      </c>
      <c r="D39" s="117">
        <f>IF($A39="","",IFERROR(IF(INDEX('WORK PACKAGES'!$E$2:$E$100,MATCH($A39,'WORK PACKAGES'!$A$2:$A$100,0))="","",INDEX('WORK PACKAGES'!$E$2:$E$100,MATCH($A39,'WORK PACKAGES'!$A$2:$A$100,0))),""))</f>
        <v/>
      </c>
      <c r="E39" s="117">
        <f>IF(A39="","",IF(COUNTIFS('PUNCH LIST'!$G$3:$G$464,A39,'PUNCH LIST'!$Q$3:$Q$464,"Open")=0,"",COUNTIFS('PUNCH LIST'!$G$3:$G$464,A39,'PUNCH LIST'!$Q$3:$Q$464,"Open")))</f>
        <v/>
      </c>
      <c r="F39" s="116" t="n"/>
      <c r="G39" s="116" t="n"/>
      <c r="H39" s="116" t="n"/>
      <c r="I39" s="116" t="n"/>
      <c r="J39" s="116" t="n"/>
      <c r="K39" s="116" t="n"/>
      <c r="L39" s="115" t="n"/>
      <c r="M39" s="115" t="n"/>
      <c r="N39" s="117">
        <f>IF($A39="","",IF(ISBLANK(F39),"",IF(TRIM(F39)="--","--",IF(ISNUMBER(F39),IF(F39&gt;=1,"Yes",IF(F39=0,"No","PARTIAL")),"CHECK"))))</f>
        <v/>
      </c>
      <c r="O39" s="117">
        <f>IF($A39="","",IF(ISBLANK(G39),"",IF(TRIM(G39)="--","--",IF(ISNUMBER(G39),IF(G39&gt;=1,"Yes",IF(G39=0,"No","PARTIAL")),"CHECK"))))</f>
        <v/>
      </c>
      <c r="P39" s="117">
        <f>IF($A39="","",IF(ISBLANK(H39),"",IF(TRIM(H39)="--","--",IF(ISNUMBER(H39),IF(H39&gt;=1,"Yes",IF(H39=0,"No","PARTIAL")),"CHECK"))))</f>
        <v/>
      </c>
      <c r="Q39" s="117">
        <f>IF($A39="","",IF(ISBLANK(I39),"",IF(TRIM(I39)="--","--",IF(ISNUMBER(I39),IF(I39&gt;=1,"Yes",IF(I39=0,"No","PARTIAL")),"CHECK"))))</f>
        <v/>
      </c>
      <c r="R39" s="117">
        <f>IF($A39="","",IF(ISBLANK(J39),"",IF(TRIM(J39)="--","--",IF(ISNUMBER(J39),IF(J39&gt;=1,"Yes",IF(J39=0,"No","PARTIAL")),"CHECK"))))</f>
        <v/>
      </c>
      <c r="S39" s="117">
        <f>IF($A39="","",IF(ISBLANK(K39),"",IF(TRIM(K39)="--","--",IF(ISNUMBER(K39),IF(K39&gt;=1,"Yes",IF(K39=0,"No","PARTIAL")),"CHECK"))))</f>
        <v/>
      </c>
      <c r="T39" s="115" t="n"/>
      <c r="U39" s="115" t="n"/>
      <c r="V39" s="117">
        <f>IF($A39="","",IF(COUNTIF(N39:S39,"--")=6,"--",IF(COUNTIF(N39:S39,"Yes")+COUNTIF(N39:S39,"--")=6,"Yes","No")))</f>
        <v/>
      </c>
      <c r="W39" s="115" t="n"/>
      <c r="X39" s="115" t="n"/>
      <c r="Y39" s="115" t="n"/>
      <c r="Z39" s="117">
        <f>IF($A39="","",COUNTIFS('RFI REGISTER'!$D$5:$D$250,$A39,'RFI REGISTER'!$A$5:$A$250,"RFI-*",'RFI REGISTER'!$C$5:$C$250,"&lt;&gt;Closed",'RFI REGISTER'!$C$5:$C$250,"&lt;&gt;Cancelled"))</f>
        <v/>
      </c>
      <c r="AA39" s="117">
        <f>IF($A39="","",COUNTIFS(ISSUES!$P$5:$P$200,"*"&amp;$A39&amp;"*",ISSUES!$H$5:$H$200,"&lt;&gt;Closed",ISSUES!$H$5:$H$200,"&lt;&gt;Resolved",ISSUES!$H$5:$H$200,"&lt;&gt;Cancelled",ISSUES!$H$5:$H$200,"&lt;&gt;",ISSUES!$A$5:$A$200,"&lt;&gt;"))</f>
        <v/>
      </c>
      <c r="AB39" s="115" t="n"/>
      <c r="AC39" s="117">
        <f>IF(A39="","",IF(COUNTIF('WORK PACKAGES'!$A$2:$A$100,A39)=0,"NOT IN WORK PACKAGES",IF(COUNTIF($A$2:$A$100,A39)&gt;1,"DUPLICATE","OK")))</f>
        <v/>
      </c>
    </row>
    <row r="40">
      <c r="A40" s="51" t="n"/>
      <c r="B40" s="117">
        <f>IF($A40="","",IFERROR(IF(INDEX('WORK PACKAGES'!$B$2:$B$100,MATCH($A40,'WORK PACKAGES'!$A$2:$A$100,0))="","",INDEX('WORK PACKAGES'!$B$2:$B$100,MATCH($A40,'WORK PACKAGES'!$A$2:$A$100,0))),""))</f>
        <v/>
      </c>
      <c r="C40" s="117">
        <f>IF($A40="","",IFERROR(IF(INDEX('WORK PACKAGES'!$G$2:$G$100,MATCH($A40,'WORK PACKAGES'!$A$2:$A$100,0))="","",INDEX('WORK PACKAGES'!$G$2:$G$100,MATCH($A40,'WORK PACKAGES'!$A$2:$A$100,0))),""))</f>
        <v/>
      </c>
      <c r="D40" s="117">
        <f>IF($A40="","",IFERROR(IF(INDEX('WORK PACKAGES'!$E$2:$E$100,MATCH($A40,'WORK PACKAGES'!$A$2:$A$100,0))="","",INDEX('WORK PACKAGES'!$E$2:$E$100,MATCH($A40,'WORK PACKAGES'!$A$2:$A$100,0))),""))</f>
        <v/>
      </c>
      <c r="E40" s="117">
        <f>IF(A40="","",IF(COUNTIFS('PUNCH LIST'!$G$3:$G$464,A40,'PUNCH LIST'!$Q$3:$Q$464,"Open")=0,"",COUNTIFS('PUNCH LIST'!$G$3:$G$464,A40,'PUNCH LIST'!$Q$3:$Q$464,"Open")))</f>
        <v/>
      </c>
      <c r="F40" s="116" t="n"/>
      <c r="G40" s="116" t="n"/>
      <c r="H40" s="116" t="n"/>
      <c r="I40" s="116" t="n"/>
      <c r="J40" s="116" t="n"/>
      <c r="K40" s="116" t="n"/>
      <c r="L40" s="115" t="n"/>
      <c r="M40" s="115" t="n"/>
      <c r="N40" s="117">
        <f>IF($A40="","",IF(ISBLANK(F40),"",IF(TRIM(F40)="--","--",IF(ISNUMBER(F40),IF(F40&gt;=1,"Yes",IF(F40=0,"No","PARTIAL")),"CHECK"))))</f>
        <v/>
      </c>
      <c r="O40" s="117">
        <f>IF($A40="","",IF(ISBLANK(G40),"",IF(TRIM(G40)="--","--",IF(ISNUMBER(G40),IF(G40&gt;=1,"Yes",IF(G40=0,"No","PARTIAL")),"CHECK"))))</f>
        <v/>
      </c>
      <c r="P40" s="117">
        <f>IF($A40="","",IF(ISBLANK(H40),"",IF(TRIM(H40)="--","--",IF(ISNUMBER(H40),IF(H40&gt;=1,"Yes",IF(H40=0,"No","PARTIAL")),"CHECK"))))</f>
        <v/>
      </c>
      <c r="Q40" s="117">
        <f>IF($A40="","",IF(ISBLANK(I40),"",IF(TRIM(I40)="--","--",IF(ISNUMBER(I40),IF(I40&gt;=1,"Yes",IF(I40=0,"No","PARTIAL")),"CHECK"))))</f>
        <v/>
      </c>
      <c r="R40" s="117">
        <f>IF($A40="","",IF(ISBLANK(J40),"",IF(TRIM(J40)="--","--",IF(ISNUMBER(J40),IF(J40&gt;=1,"Yes",IF(J40=0,"No","PARTIAL")),"CHECK"))))</f>
        <v/>
      </c>
      <c r="S40" s="117">
        <f>IF($A40="","",IF(ISBLANK(K40),"",IF(TRIM(K40)="--","--",IF(ISNUMBER(K40),IF(K40&gt;=1,"Yes",IF(K40=0,"No","PARTIAL")),"CHECK"))))</f>
        <v/>
      </c>
      <c r="T40" s="115" t="n"/>
      <c r="U40" s="115" t="n"/>
      <c r="V40" s="117">
        <f>IF($A40="","",IF(COUNTIF(N40:S40,"--")=6,"--",IF(COUNTIF(N40:S40,"Yes")+COUNTIF(N40:S40,"--")=6,"Yes","No")))</f>
        <v/>
      </c>
      <c r="W40" s="115" t="n"/>
      <c r="X40" s="115" t="n"/>
      <c r="Y40" s="115" t="n"/>
      <c r="Z40" s="117">
        <f>IF($A40="","",COUNTIFS('RFI REGISTER'!$D$5:$D$250,$A40,'RFI REGISTER'!$A$5:$A$250,"RFI-*",'RFI REGISTER'!$C$5:$C$250,"&lt;&gt;Closed",'RFI REGISTER'!$C$5:$C$250,"&lt;&gt;Cancelled"))</f>
        <v/>
      </c>
      <c r="AA40" s="117">
        <f>IF($A40="","",COUNTIFS(ISSUES!$P$5:$P$200,"*"&amp;$A40&amp;"*",ISSUES!$H$5:$H$200,"&lt;&gt;Closed",ISSUES!$H$5:$H$200,"&lt;&gt;Resolved",ISSUES!$H$5:$H$200,"&lt;&gt;Cancelled",ISSUES!$H$5:$H$200,"&lt;&gt;",ISSUES!$A$5:$A$200,"&lt;&gt;"))</f>
        <v/>
      </c>
      <c r="AB40" s="115" t="n"/>
      <c r="AC40" s="117">
        <f>IF(A40="","",IF(COUNTIF('WORK PACKAGES'!$A$2:$A$100,A40)=0,"NOT IN WORK PACKAGES",IF(COUNTIF($A$2:$A$100,A40)&gt;1,"DUPLICATE","OK")))</f>
        <v/>
      </c>
    </row>
    <row r="41">
      <c r="A41" s="51" t="n"/>
      <c r="B41" s="117">
        <f>IF($A41="","",IFERROR(IF(INDEX('WORK PACKAGES'!$B$2:$B$100,MATCH($A41,'WORK PACKAGES'!$A$2:$A$100,0))="","",INDEX('WORK PACKAGES'!$B$2:$B$100,MATCH($A41,'WORK PACKAGES'!$A$2:$A$100,0))),""))</f>
        <v/>
      </c>
      <c r="C41" s="117">
        <f>IF($A41="","",IFERROR(IF(INDEX('WORK PACKAGES'!$G$2:$G$100,MATCH($A41,'WORK PACKAGES'!$A$2:$A$100,0))="","",INDEX('WORK PACKAGES'!$G$2:$G$100,MATCH($A41,'WORK PACKAGES'!$A$2:$A$100,0))),""))</f>
        <v/>
      </c>
      <c r="D41" s="117">
        <f>IF($A41="","",IFERROR(IF(INDEX('WORK PACKAGES'!$E$2:$E$100,MATCH($A41,'WORK PACKAGES'!$A$2:$A$100,0))="","",INDEX('WORK PACKAGES'!$E$2:$E$100,MATCH($A41,'WORK PACKAGES'!$A$2:$A$100,0))),""))</f>
        <v/>
      </c>
      <c r="E41" s="117">
        <f>IF(A41="","",IF(COUNTIFS('PUNCH LIST'!$G$3:$G$464,A41,'PUNCH LIST'!$Q$3:$Q$464,"Open")=0,"",COUNTIFS('PUNCH LIST'!$G$3:$G$464,A41,'PUNCH LIST'!$Q$3:$Q$464,"Open")))</f>
        <v/>
      </c>
      <c r="F41" s="116" t="n"/>
      <c r="G41" s="116" t="n"/>
      <c r="H41" s="116" t="n"/>
      <c r="I41" s="116" t="n"/>
      <c r="J41" s="116" t="n"/>
      <c r="K41" s="116" t="n"/>
      <c r="L41" s="115" t="n"/>
      <c r="M41" s="115" t="n"/>
      <c r="N41" s="117">
        <f>IF($A41="","",IF(ISBLANK(F41),"",IF(TRIM(F41)="--","--",IF(ISNUMBER(F41),IF(F41&gt;=1,"Yes",IF(F41=0,"No","PARTIAL")),"CHECK"))))</f>
        <v/>
      </c>
      <c r="O41" s="117">
        <f>IF($A41="","",IF(ISBLANK(G41),"",IF(TRIM(G41)="--","--",IF(ISNUMBER(G41),IF(G41&gt;=1,"Yes",IF(G41=0,"No","PARTIAL")),"CHECK"))))</f>
        <v/>
      </c>
      <c r="P41" s="117">
        <f>IF($A41="","",IF(ISBLANK(H41),"",IF(TRIM(H41)="--","--",IF(ISNUMBER(H41),IF(H41&gt;=1,"Yes",IF(H41=0,"No","PARTIAL")),"CHECK"))))</f>
        <v/>
      </c>
      <c r="Q41" s="117">
        <f>IF($A41="","",IF(ISBLANK(I41),"",IF(TRIM(I41)="--","--",IF(ISNUMBER(I41),IF(I41&gt;=1,"Yes",IF(I41=0,"No","PARTIAL")),"CHECK"))))</f>
        <v/>
      </c>
      <c r="R41" s="117">
        <f>IF($A41="","",IF(ISBLANK(J41),"",IF(TRIM(J41)="--","--",IF(ISNUMBER(J41),IF(J41&gt;=1,"Yes",IF(J41=0,"No","PARTIAL")),"CHECK"))))</f>
        <v/>
      </c>
      <c r="S41" s="117">
        <f>IF($A41="","",IF(ISBLANK(K41),"",IF(TRIM(K41)="--","--",IF(ISNUMBER(K41),IF(K41&gt;=1,"Yes",IF(K41=0,"No","PARTIAL")),"CHECK"))))</f>
        <v/>
      </c>
      <c r="T41" s="115" t="n"/>
      <c r="U41" s="115" t="n"/>
      <c r="V41" s="117">
        <f>IF($A41="","",IF(COUNTIF(N41:S41,"--")=6,"--",IF(COUNTIF(N41:S41,"Yes")+COUNTIF(N41:S41,"--")=6,"Yes","No")))</f>
        <v/>
      </c>
      <c r="W41" s="115" t="n"/>
      <c r="X41" s="115" t="n"/>
      <c r="Y41" s="115" t="n"/>
      <c r="Z41" s="117">
        <f>IF($A41="","",COUNTIFS('RFI REGISTER'!$D$5:$D$250,$A41,'RFI REGISTER'!$A$5:$A$250,"RFI-*",'RFI REGISTER'!$C$5:$C$250,"&lt;&gt;Closed",'RFI REGISTER'!$C$5:$C$250,"&lt;&gt;Cancelled"))</f>
        <v/>
      </c>
      <c r="AA41" s="117">
        <f>IF($A41="","",COUNTIFS(ISSUES!$P$5:$P$200,"*"&amp;$A41&amp;"*",ISSUES!$H$5:$H$200,"&lt;&gt;Closed",ISSUES!$H$5:$H$200,"&lt;&gt;Resolved",ISSUES!$H$5:$H$200,"&lt;&gt;Cancelled",ISSUES!$H$5:$H$200,"&lt;&gt;",ISSUES!$A$5:$A$200,"&lt;&gt;"))</f>
        <v/>
      </c>
      <c r="AB41" s="115" t="n"/>
      <c r="AC41" s="117">
        <f>IF(A41="","",IF(COUNTIF('WORK PACKAGES'!$A$2:$A$100,A41)=0,"NOT IN WORK PACKAGES",IF(COUNTIF($A$2:$A$100,A41)&gt;1,"DUPLICATE","OK")))</f>
        <v/>
      </c>
    </row>
    <row r="42">
      <c r="A42" s="51" t="n"/>
      <c r="B42" s="117">
        <f>IF($A42="","",IFERROR(IF(INDEX('WORK PACKAGES'!$B$2:$B$100,MATCH($A42,'WORK PACKAGES'!$A$2:$A$100,0))="","",INDEX('WORK PACKAGES'!$B$2:$B$100,MATCH($A42,'WORK PACKAGES'!$A$2:$A$100,0))),""))</f>
        <v/>
      </c>
      <c r="C42" s="117">
        <f>IF($A42="","",IFERROR(IF(INDEX('WORK PACKAGES'!$G$2:$G$100,MATCH($A42,'WORK PACKAGES'!$A$2:$A$100,0))="","",INDEX('WORK PACKAGES'!$G$2:$G$100,MATCH($A42,'WORK PACKAGES'!$A$2:$A$100,0))),""))</f>
        <v/>
      </c>
      <c r="D42" s="117">
        <f>IF($A42="","",IFERROR(IF(INDEX('WORK PACKAGES'!$E$2:$E$100,MATCH($A42,'WORK PACKAGES'!$A$2:$A$100,0))="","",INDEX('WORK PACKAGES'!$E$2:$E$100,MATCH($A42,'WORK PACKAGES'!$A$2:$A$100,0))),""))</f>
        <v/>
      </c>
      <c r="E42" s="117">
        <f>IF(A42="","",IF(COUNTIFS('PUNCH LIST'!$G$3:$G$464,A42,'PUNCH LIST'!$Q$3:$Q$464,"Open")=0,"",COUNTIFS('PUNCH LIST'!$G$3:$G$464,A42,'PUNCH LIST'!$Q$3:$Q$464,"Open")))</f>
        <v/>
      </c>
      <c r="F42" s="116" t="n"/>
      <c r="G42" s="116" t="n"/>
      <c r="H42" s="116" t="n"/>
      <c r="I42" s="116" t="n"/>
      <c r="J42" s="116" t="n"/>
      <c r="K42" s="116" t="n"/>
      <c r="L42" s="115" t="n"/>
      <c r="M42" s="115" t="n"/>
      <c r="N42" s="117">
        <f>IF($A42="","",IF(ISBLANK(F42),"",IF(TRIM(F42)="--","--",IF(ISNUMBER(F42),IF(F42&gt;=1,"Yes",IF(F42=0,"No","PARTIAL")),"CHECK"))))</f>
        <v/>
      </c>
      <c r="O42" s="117">
        <f>IF($A42="","",IF(ISBLANK(G42),"",IF(TRIM(G42)="--","--",IF(ISNUMBER(G42),IF(G42&gt;=1,"Yes",IF(G42=0,"No","PARTIAL")),"CHECK"))))</f>
        <v/>
      </c>
      <c r="P42" s="117">
        <f>IF($A42="","",IF(ISBLANK(H42),"",IF(TRIM(H42)="--","--",IF(ISNUMBER(H42),IF(H42&gt;=1,"Yes",IF(H42=0,"No","PARTIAL")),"CHECK"))))</f>
        <v/>
      </c>
      <c r="Q42" s="117">
        <f>IF($A42="","",IF(ISBLANK(I42),"",IF(TRIM(I42)="--","--",IF(ISNUMBER(I42),IF(I42&gt;=1,"Yes",IF(I42=0,"No","PARTIAL")),"CHECK"))))</f>
        <v/>
      </c>
      <c r="R42" s="117">
        <f>IF($A42="","",IF(ISBLANK(J42),"",IF(TRIM(J42)="--","--",IF(ISNUMBER(J42),IF(J42&gt;=1,"Yes",IF(J42=0,"No","PARTIAL")),"CHECK"))))</f>
        <v/>
      </c>
      <c r="S42" s="117">
        <f>IF($A42="","",IF(ISBLANK(K42),"",IF(TRIM(K42)="--","--",IF(ISNUMBER(K42),IF(K42&gt;=1,"Yes",IF(K42=0,"No","PARTIAL")),"CHECK"))))</f>
        <v/>
      </c>
      <c r="T42" s="115" t="n"/>
      <c r="U42" s="115" t="n"/>
      <c r="V42" s="117">
        <f>IF($A42="","",IF(COUNTIF(N42:S42,"--")=6,"--",IF(COUNTIF(N42:S42,"Yes")+COUNTIF(N42:S42,"--")=6,"Yes","No")))</f>
        <v/>
      </c>
      <c r="W42" s="115" t="n"/>
      <c r="X42" s="115" t="n"/>
      <c r="Y42" s="115" t="n"/>
      <c r="Z42" s="117">
        <f>IF($A42="","",COUNTIFS('RFI REGISTER'!$D$5:$D$250,$A42,'RFI REGISTER'!$A$5:$A$250,"RFI-*",'RFI REGISTER'!$C$5:$C$250,"&lt;&gt;Closed",'RFI REGISTER'!$C$5:$C$250,"&lt;&gt;Cancelled"))</f>
        <v/>
      </c>
      <c r="AA42" s="117">
        <f>IF($A42="","",COUNTIFS(ISSUES!$P$5:$P$200,"*"&amp;$A42&amp;"*",ISSUES!$H$5:$H$200,"&lt;&gt;Closed",ISSUES!$H$5:$H$200,"&lt;&gt;Resolved",ISSUES!$H$5:$H$200,"&lt;&gt;Cancelled",ISSUES!$H$5:$H$200,"&lt;&gt;",ISSUES!$A$5:$A$200,"&lt;&gt;"))</f>
        <v/>
      </c>
      <c r="AB42" s="115" t="n"/>
      <c r="AC42" s="117">
        <f>IF(A42="","",IF(COUNTIF('WORK PACKAGES'!$A$2:$A$100,A42)=0,"NOT IN WORK PACKAGES",IF(COUNTIF($A$2:$A$100,A42)&gt;1,"DUPLICATE","OK")))</f>
        <v/>
      </c>
    </row>
    <row r="43">
      <c r="A43" s="51" t="n"/>
      <c r="B43" s="117">
        <f>IF($A43="","",IFERROR(IF(INDEX('WORK PACKAGES'!$B$2:$B$100,MATCH($A43,'WORK PACKAGES'!$A$2:$A$100,0))="","",INDEX('WORK PACKAGES'!$B$2:$B$100,MATCH($A43,'WORK PACKAGES'!$A$2:$A$100,0))),""))</f>
        <v/>
      </c>
      <c r="C43" s="117">
        <f>IF($A43="","",IFERROR(IF(INDEX('WORK PACKAGES'!$G$2:$G$100,MATCH($A43,'WORK PACKAGES'!$A$2:$A$100,0))="","",INDEX('WORK PACKAGES'!$G$2:$G$100,MATCH($A43,'WORK PACKAGES'!$A$2:$A$100,0))),""))</f>
        <v/>
      </c>
      <c r="D43" s="117">
        <f>IF($A43="","",IFERROR(IF(INDEX('WORK PACKAGES'!$E$2:$E$100,MATCH($A43,'WORK PACKAGES'!$A$2:$A$100,0))="","",INDEX('WORK PACKAGES'!$E$2:$E$100,MATCH($A43,'WORK PACKAGES'!$A$2:$A$100,0))),""))</f>
        <v/>
      </c>
      <c r="E43" s="117">
        <f>IF(A43="","",IF(COUNTIFS('PUNCH LIST'!$G$3:$G$464,A43,'PUNCH LIST'!$Q$3:$Q$464,"Open")=0,"",COUNTIFS('PUNCH LIST'!$G$3:$G$464,A43,'PUNCH LIST'!$Q$3:$Q$464,"Open")))</f>
        <v/>
      </c>
      <c r="F43" s="116" t="n"/>
      <c r="G43" s="116" t="n"/>
      <c r="H43" s="116" t="n"/>
      <c r="I43" s="116" t="n"/>
      <c r="J43" s="116" t="n"/>
      <c r="K43" s="116" t="n"/>
      <c r="L43" s="115" t="n"/>
      <c r="M43" s="115" t="n"/>
      <c r="N43" s="117">
        <f>IF($A43="","",IF(ISBLANK(F43),"",IF(TRIM(F43)="--","--",IF(ISNUMBER(F43),IF(F43&gt;=1,"Yes",IF(F43=0,"No","PARTIAL")),"CHECK"))))</f>
        <v/>
      </c>
      <c r="O43" s="117">
        <f>IF($A43="","",IF(ISBLANK(G43),"",IF(TRIM(G43)="--","--",IF(ISNUMBER(G43),IF(G43&gt;=1,"Yes",IF(G43=0,"No","PARTIAL")),"CHECK"))))</f>
        <v/>
      </c>
      <c r="P43" s="117">
        <f>IF($A43="","",IF(ISBLANK(H43),"",IF(TRIM(H43)="--","--",IF(ISNUMBER(H43),IF(H43&gt;=1,"Yes",IF(H43=0,"No","PARTIAL")),"CHECK"))))</f>
        <v/>
      </c>
      <c r="Q43" s="117">
        <f>IF($A43="","",IF(ISBLANK(I43),"",IF(TRIM(I43)="--","--",IF(ISNUMBER(I43),IF(I43&gt;=1,"Yes",IF(I43=0,"No","PARTIAL")),"CHECK"))))</f>
        <v/>
      </c>
      <c r="R43" s="117">
        <f>IF($A43="","",IF(ISBLANK(J43),"",IF(TRIM(J43)="--","--",IF(ISNUMBER(J43),IF(J43&gt;=1,"Yes",IF(J43=0,"No","PARTIAL")),"CHECK"))))</f>
        <v/>
      </c>
      <c r="S43" s="117">
        <f>IF($A43="","",IF(ISBLANK(K43),"",IF(TRIM(K43)="--","--",IF(ISNUMBER(K43),IF(K43&gt;=1,"Yes",IF(K43=0,"No","PARTIAL")),"CHECK"))))</f>
        <v/>
      </c>
      <c r="T43" s="115" t="n"/>
      <c r="U43" s="115" t="n"/>
      <c r="V43" s="117">
        <f>IF($A43="","",IF(COUNTIF(N43:S43,"--")=6,"--",IF(COUNTIF(N43:S43,"Yes")+COUNTIF(N43:S43,"--")=6,"Yes","No")))</f>
        <v/>
      </c>
      <c r="W43" s="115" t="n"/>
      <c r="X43" s="115" t="n"/>
      <c r="Y43" s="115" t="n"/>
      <c r="Z43" s="117">
        <f>IF($A43="","",COUNTIFS('RFI REGISTER'!$D$5:$D$250,$A43,'RFI REGISTER'!$A$5:$A$250,"RFI-*",'RFI REGISTER'!$C$5:$C$250,"&lt;&gt;Closed",'RFI REGISTER'!$C$5:$C$250,"&lt;&gt;Cancelled"))</f>
        <v/>
      </c>
      <c r="AA43" s="117">
        <f>IF($A43="","",COUNTIFS(ISSUES!$P$5:$P$200,"*"&amp;$A43&amp;"*",ISSUES!$H$5:$H$200,"&lt;&gt;Closed",ISSUES!$H$5:$H$200,"&lt;&gt;Resolved",ISSUES!$H$5:$H$200,"&lt;&gt;Cancelled",ISSUES!$H$5:$H$200,"&lt;&gt;",ISSUES!$A$5:$A$200,"&lt;&gt;"))</f>
        <v/>
      </c>
      <c r="AB43" s="115" t="n"/>
      <c r="AC43" s="117">
        <f>IF(A43="","",IF(COUNTIF('WORK PACKAGES'!$A$2:$A$100,A43)=0,"NOT IN WORK PACKAGES",IF(COUNTIF($A$2:$A$100,A43)&gt;1,"DUPLICATE","OK")))</f>
        <v/>
      </c>
    </row>
    <row r="44">
      <c r="A44" s="51" t="n"/>
      <c r="B44" s="117">
        <f>IF($A44="","",IFERROR(IF(INDEX('WORK PACKAGES'!$B$2:$B$100,MATCH($A44,'WORK PACKAGES'!$A$2:$A$100,0))="","",INDEX('WORK PACKAGES'!$B$2:$B$100,MATCH($A44,'WORK PACKAGES'!$A$2:$A$100,0))),""))</f>
        <v/>
      </c>
      <c r="C44" s="117">
        <f>IF($A44="","",IFERROR(IF(INDEX('WORK PACKAGES'!$G$2:$G$100,MATCH($A44,'WORK PACKAGES'!$A$2:$A$100,0))="","",INDEX('WORK PACKAGES'!$G$2:$G$100,MATCH($A44,'WORK PACKAGES'!$A$2:$A$100,0))),""))</f>
        <v/>
      </c>
      <c r="D44" s="117">
        <f>IF($A44="","",IFERROR(IF(INDEX('WORK PACKAGES'!$E$2:$E$100,MATCH($A44,'WORK PACKAGES'!$A$2:$A$100,0))="","",INDEX('WORK PACKAGES'!$E$2:$E$100,MATCH($A44,'WORK PACKAGES'!$A$2:$A$100,0))),""))</f>
        <v/>
      </c>
      <c r="E44" s="117">
        <f>IF(A44="","",IF(COUNTIFS('PUNCH LIST'!$G$3:$G$464,A44,'PUNCH LIST'!$Q$3:$Q$464,"Open")=0,"",COUNTIFS('PUNCH LIST'!$G$3:$G$464,A44,'PUNCH LIST'!$Q$3:$Q$464,"Open")))</f>
        <v/>
      </c>
      <c r="F44" s="116" t="n"/>
      <c r="G44" s="116" t="n"/>
      <c r="H44" s="116" t="n"/>
      <c r="I44" s="116" t="n"/>
      <c r="J44" s="116" t="n"/>
      <c r="K44" s="116" t="n"/>
      <c r="L44" s="115" t="n"/>
      <c r="M44" s="115" t="n"/>
      <c r="N44" s="117">
        <f>IF($A44="","",IF(ISBLANK(F44),"",IF(TRIM(F44)="--","--",IF(ISNUMBER(F44),IF(F44&gt;=1,"Yes",IF(F44=0,"No","PARTIAL")),"CHECK"))))</f>
        <v/>
      </c>
      <c r="O44" s="117">
        <f>IF($A44="","",IF(ISBLANK(G44),"",IF(TRIM(G44)="--","--",IF(ISNUMBER(G44),IF(G44&gt;=1,"Yes",IF(G44=0,"No","PARTIAL")),"CHECK"))))</f>
        <v/>
      </c>
      <c r="P44" s="117">
        <f>IF($A44="","",IF(ISBLANK(H44),"",IF(TRIM(H44)="--","--",IF(ISNUMBER(H44),IF(H44&gt;=1,"Yes",IF(H44=0,"No","PARTIAL")),"CHECK"))))</f>
        <v/>
      </c>
      <c r="Q44" s="117">
        <f>IF($A44="","",IF(ISBLANK(I44),"",IF(TRIM(I44)="--","--",IF(ISNUMBER(I44),IF(I44&gt;=1,"Yes",IF(I44=0,"No","PARTIAL")),"CHECK"))))</f>
        <v/>
      </c>
      <c r="R44" s="117">
        <f>IF($A44="","",IF(ISBLANK(J44),"",IF(TRIM(J44)="--","--",IF(ISNUMBER(J44),IF(J44&gt;=1,"Yes",IF(J44=0,"No","PARTIAL")),"CHECK"))))</f>
        <v/>
      </c>
      <c r="S44" s="117">
        <f>IF($A44="","",IF(ISBLANK(K44),"",IF(TRIM(K44)="--","--",IF(ISNUMBER(K44),IF(K44&gt;=1,"Yes",IF(K44=0,"No","PARTIAL")),"CHECK"))))</f>
        <v/>
      </c>
      <c r="T44" s="115" t="n"/>
      <c r="U44" s="115" t="n"/>
      <c r="V44" s="117">
        <f>IF($A44="","",IF(COUNTIF(N44:S44,"--")=6,"--",IF(COUNTIF(N44:S44,"Yes")+COUNTIF(N44:S44,"--")=6,"Yes","No")))</f>
        <v/>
      </c>
      <c r="W44" s="115" t="n"/>
      <c r="X44" s="115" t="n"/>
      <c r="Y44" s="115" t="n"/>
      <c r="Z44" s="117">
        <f>IF($A44="","",COUNTIFS('RFI REGISTER'!$D$5:$D$250,$A44,'RFI REGISTER'!$A$5:$A$250,"RFI-*",'RFI REGISTER'!$C$5:$C$250,"&lt;&gt;Closed",'RFI REGISTER'!$C$5:$C$250,"&lt;&gt;Cancelled"))</f>
        <v/>
      </c>
      <c r="AA44" s="117">
        <f>IF($A44="","",COUNTIFS(ISSUES!$P$5:$P$200,"*"&amp;$A44&amp;"*",ISSUES!$H$5:$H$200,"&lt;&gt;Closed",ISSUES!$H$5:$H$200,"&lt;&gt;Resolved",ISSUES!$H$5:$H$200,"&lt;&gt;Cancelled",ISSUES!$H$5:$H$200,"&lt;&gt;",ISSUES!$A$5:$A$200,"&lt;&gt;"))</f>
        <v/>
      </c>
      <c r="AB44" s="115" t="n"/>
      <c r="AC44" s="117">
        <f>IF(A44="","",IF(COUNTIF('WORK PACKAGES'!$A$2:$A$100,A44)=0,"NOT IN WORK PACKAGES",IF(COUNTIF($A$2:$A$100,A44)&gt;1,"DUPLICATE","OK")))</f>
        <v/>
      </c>
    </row>
    <row r="45">
      <c r="A45" s="51" t="n"/>
      <c r="B45" s="117">
        <f>IF($A45="","",IFERROR(IF(INDEX('WORK PACKAGES'!$B$2:$B$100,MATCH($A45,'WORK PACKAGES'!$A$2:$A$100,0))="","",INDEX('WORK PACKAGES'!$B$2:$B$100,MATCH($A45,'WORK PACKAGES'!$A$2:$A$100,0))),""))</f>
        <v/>
      </c>
      <c r="C45" s="117">
        <f>IF($A45="","",IFERROR(IF(INDEX('WORK PACKAGES'!$G$2:$G$100,MATCH($A45,'WORK PACKAGES'!$A$2:$A$100,0))="","",INDEX('WORK PACKAGES'!$G$2:$G$100,MATCH($A45,'WORK PACKAGES'!$A$2:$A$100,0))),""))</f>
        <v/>
      </c>
      <c r="D45" s="117">
        <f>IF($A45="","",IFERROR(IF(INDEX('WORK PACKAGES'!$E$2:$E$100,MATCH($A45,'WORK PACKAGES'!$A$2:$A$100,0))="","",INDEX('WORK PACKAGES'!$E$2:$E$100,MATCH($A45,'WORK PACKAGES'!$A$2:$A$100,0))),""))</f>
        <v/>
      </c>
      <c r="E45" s="117">
        <f>IF(A45="","",IF(COUNTIFS('PUNCH LIST'!$G$3:$G$464,A45,'PUNCH LIST'!$Q$3:$Q$464,"Open")=0,"",COUNTIFS('PUNCH LIST'!$G$3:$G$464,A45,'PUNCH LIST'!$Q$3:$Q$464,"Open")))</f>
        <v/>
      </c>
      <c r="F45" s="116" t="n"/>
      <c r="G45" s="116" t="n"/>
      <c r="H45" s="116" t="n"/>
      <c r="I45" s="116" t="n"/>
      <c r="J45" s="116" t="n"/>
      <c r="K45" s="116" t="n"/>
      <c r="L45" s="115" t="n"/>
      <c r="M45" s="115" t="n"/>
      <c r="N45" s="117">
        <f>IF($A45="","",IF(ISBLANK(F45),"",IF(TRIM(F45)="--","--",IF(ISNUMBER(F45),IF(F45&gt;=1,"Yes",IF(F45=0,"No","PARTIAL")),"CHECK"))))</f>
        <v/>
      </c>
      <c r="O45" s="117">
        <f>IF($A45="","",IF(ISBLANK(G45),"",IF(TRIM(G45)="--","--",IF(ISNUMBER(G45),IF(G45&gt;=1,"Yes",IF(G45=0,"No","PARTIAL")),"CHECK"))))</f>
        <v/>
      </c>
      <c r="P45" s="117">
        <f>IF($A45="","",IF(ISBLANK(H45),"",IF(TRIM(H45)="--","--",IF(ISNUMBER(H45),IF(H45&gt;=1,"Yes",IF(H45=0,"No","PARTIAL")),"CHECK"))))</f>
        <v/>
      </c>
      <c r="Q45" s="117">
        <f>IF($A45="","",IF(ISBLANK(I45),"",IF(TRIM(I45)="--","--",IF(ISNUMBER(I45),IF(I45&gt;=1,"Yes",IF(I45=0,"No","PARTIAL")),"CHECK"))))</f>
        <v/>
      </c>
      <c r="R45" s="117">
        <f>IF($A45="","",IF(ISBLANK(J45),"",IF(TRIM(J45)="--","--",IF(ISNUMBER(J45),IF(J45&gt;=1,"Yes",IF(J45=0,"No","PARTIAL")),"CHECK"))))</f>
        <v/>
      </c>
      <c r="S45" s="117">
        <f>IF($A45="","",IF(ISBLANK(K45),"",IF(TRIM(K45)="--","--",IF(ISNUMBER(K45),IF(K45&gt;=1,"Yes",IF(K45=0,"No","PARTIAL")),"CHECK"))))</f>
        <v/>
      </c>
      <c r="T45" s="115" t="n"/>
      <c r="U45" s="115" t="n"/>
      <c r="V45" s="117">
        <f>IF($A45="","",IF(COUNTIF(N45:S45,"--")=6,"--",IF(COUNTIF(N45:S45,"Yes")+COUNTIF(N45:S45,"--")=6,"Yes","No")))</f>
        <v/>
      </c>
      <c r="W45" s="115" t="n"/>
      <c r="X45" s="115" t="n"/>
      <c r="Y45" s="115" t="n"/>
      <c r="Z45" s="117">
        <f>IF($A45="","",COUNTIFS('RFI REGISTER'!$D$5:$D$250,$A45,'RFI REGISTER'!$A$5:$A$250,"RFI-*",'RFI REGISTER'!$C$5:$C$250,"&lt;&gt;Closed",'RFI REGISTER'!$C$5:$C$250,"&lt;&gt;Cancelled"))</f>
        <v/>
      </c>
      <c r="AA45" s="117">
        <f>IF($A45="","",COUNTIFS(ISSUES!$P$5:$P$200,"*"&amp;$A45&amp;"*",ISSUES!$H$5:$H$200,"&lt;&gt;Closed",ISSUES!$H$5:$H$200,"&lt;&gt;Resolved",ISSUES!$H$5:$H$200,"&lt;&gt;Cancelled",ISSUES!$H$5:$H$200,"&lt;&gt;",ISSUES!$A$5:$A$200,"&lt;&gt;"))</f>
        <v/>
      </c>
      <c r="AB45" s="115" t="n"/>
      <c r="AC45" s="117">
        <f>IF(A45="","",IF(COUNTIF('WORK PACKAGES'!$A$2:$A$100,A45)=0,"NOT IN WORK PACKAGES",IF(COUNTIF($A$2:$A$100,A45)&gt;1,"DUPLICATE","OK")))</f>
        <v/>
      </c>
    </row>
    <row r="46">
      <c r="A46" s="51" t="n"/>
      <c r="B46" s="117">
        <f>IF($A46="","",IFERROR(IF(INDEX('WORK PACKAGES'!$B$2:$B$100,MATCH($A46,'WORK PACKAGES'!$A$2:$A$100,0))="","",INDEX('WORK PACKAGES'!$B$2:$B$100,MATCH($A46,'WORK PACKAGES'!$A$2:$A$100,0))),""))</f>
        <v/>
      </c>
      <c r="C46" s="117">
        <f>IF($A46="","",IFERROR(IF(INDEX('WORK PACKAGES'!$G$2:$G$100,MATCH($A46,'WORK PACKAGES'!$A$2:$A$100,0))="","",INDEX('WORK PACKAGES'!$G$2:$G$100,MATCH($A46,'WORK PACKAGES'!$A$2:$A$100,0))),""))</f>
        <v/>
      </c>
      <c r="D46" s="117">
        <f>IF($A46="","",IFERROR(IF(INDEX('WORK PACKAGES'!$E$2:$E$100,MATCH($A46,'WORK PACKAGES'!$A$2:$A$100,0))="","",INDEX('WORK PACKAGES'!$E$2:$E$100,MATCH($A46,'WORK PACKAGES'!$A$2:$A$100,0))),""))</f>
        <v/>
      </c>
      <c r="E46" s="117">
        <f>IF(A46="","",IF(COUNTIFS('PUNCH LIST'!$G$3:$G$464,A46,'PUNCH LIST'!$Q$3:$Q$464,"Open")=0,"",COUNTIFS('PUNCH LIST'!$G$3:$G$464,A46,'PUNCH LIST'!$Q$3:$Q$464,"Open")))</f>
        <v/>
      </c>
      <c r="F46" s="116" t="n"/>
      <c r="G46" s="116" t="n"/>
      <c r="H46" s="116" t="n"/>
      <c r="I46" s="116" t="n"/>
      <c r="J46" s="116" t="n"/>
      <c r="K46" s="116" t="n"/>
      <c r="L46" s="115" t="n"/>
      <c r="M46" s="115" t="n"/>
      <c r="N46" s="117">
        <f>IF($A46="","",IF(ISBLANK(F46),"",IF(TRIM(F46)="--","--",IF(ISNUMBER(F46),IF(F46&gt;=1,"Yes",IF(F46=0,"No","PARTIAL")),"CHECK"))))</f>
        <v/>
      </c>
      <c r="O46" s="117">
        <f>IF($A46="","",IF(ISBLANK(G46),"",IF(TRIM(G46)="--","--",IF(ISNUMBER(G46),IF(G46&gt;=1,"Yes",IF(G46=0,"No","PARTIAL")),"CHECK"))))</f>
        <v/>
      </c>
      <c r="P46" s="117">
        <f>IF($A46="","",IF(ISBLANK(H46),"",IF(TRIM(H46)="--","--",IF(ISNUMBER(H46),IF(H46&gt;=1,"Yes",IF(H46=0,"No","PARTIAL")),"CHECK"))))</f>
        <v/>
      </c>
      <c r="Q46" s="117">
        <f>IF($A46="","",IF(ISBLANK(I46),"",IF(TRIM(I46)="--","--",IF(ISNUMBER(I46),IF(I46&gt;=1,"Yes",IF(I46=0,"No","PARTIAL")),"CHECK"))))</f>
        <v/>
      </c>
      <c r="R46" s="117">
        <f>IF($A46="","",IF(ISBLANK(J46),"",IF(TRIM(J46)="--","--",IF(ISNUMBER(J46),IF(J46&gt;=1,"Yes",IF(J46=0,"No","PARTIAL")),"CHECK"))))</f>
        <v/>
      </c>
      <c r="S46" s="117">
        <f>IF($A46="","",IF(ISBLANK(K46),"",IF(TRIM(K46)="--","--",IF(ISNUMBER(K46),IF(K46&gt;=1,"Yes",IF(K46=0,"No","PARTIAL")),"CHECK"))))</f>
        <v/>
      </c>
      <c r="T46" s="115" t="n"/>
      <c r="U46" s="115" t="n"/>
      <c r="V46" s="117">
        <f>IF($A46="","",IF(COUNTIF(N46:S46,"--")=6,"--",IF(COUNTIF(N46:S46,"Yes")+COUNTIF(N46:S46,"--")=6,"Yes","No")))</f>
        <v/>
      </c>
      <c r="W46" s="115" t="n"/>
      <c r="X46" s="115" t="n"/>
      <c r="Y46" s="115" t="n"/>
      <c r="Z46" s="117">
        <f>IF($A46="","",COUNTIFS('RFI REGISTER'!$D$5:$D$250,$A46,'RFI REGISTER'!$A$5:$A$250,"RFI-*",'RFI REGISTER'!$C$5:$C$250,"&lt;&gt;Closed",'RFI REGISTER'!$C$5:$C$250,"&lt;&gt;Cancelled"))</f>
        <v/>
      </c>
      <c r="AA46" s="117">
        <f>IF($A46="","",COUNTIFS(ISSUES!$P$5:$P$200,"*"&amp;$A46&amp;"*",ISSUES!$H$5:$H$200,"&lt;&gt;Closed",ISSUES!$H$5:$H$200,"&lt;&gt;Resolved",ISSUES!$H$5:$H$200,"&lt;&gt;Cancelled",ISSUES!$H$5:$H$200,"&lt;&gt;",ISSUES!$A$5:$A$200,"&lt;&gt;"))</f>
        <v/>
      </c>
      <c r="AB46" s="115" t="n"/>
      <c r="AC46" s="117">
        <f>IF(A46="","",IF(COUNTIF('WORK PACKAGES'!$A$2:$A$100,A46)=0,"NOT IN WORK PACKAGES",IF(COUNTIF($A$2:$A$100,A46)&gt;1,"DUPLICATE","OK")))</f>
        <v/>
      </c>
    </row>
    <row r="47">
      <c r="A47" s="51" t="n"/>
      <c r="B47" s="117">
        <f>IF($A47="","",IFERROR(IF(INDEX('WORK PACKAGES'!$B$2:$B$100,MATCH($A47,'WORK PACKAGES'!$A$2:$A$100,0))="","",INDEX('WORK PACKAGES'!$B$2:$B$100,MATCH($A47,'WORK PACKAGES'!$A$2:$A$100,0))),""))</f>
        <v/>
      </c>
      <c r="C47" s="117">
        <f>IF($A47="","",IFERROR(IF(INDEX('WORK PACKAGES'!$G$2:$G$100,MATCH($A47,'WORK PACKAGES'!$A$2:$A$100,0))="","",INDEX('WORK PACKAGES'!$G$2:$G$100,MATCH($A47,'WORK PACKAGES'!$A$2:$A$100,0))),""))</f>
        <v/>
      </c>
      <c r="D47" s="117">
        <f>IF($A47="","",IFERROR(IF(INDEX('WORK PACKAGES'!$E$2:$E$100,MATCH($A47,'WORK PACKAGES'!$A$2:$A$100,0))="","",INDEX('WORK PACKAGES'!$E$2:$E$100,MATCH($A47,'WORK PACKAGES'!$A$2:$A$100,0))),""))</f>
        <v/>
      </c>
      <c r="E47" s="117">
        <f>IF(A47="","",IF(COUNTIFS('PUNCH LIST'!$G$3:$G$464,A47,'PUNCH LIST'!$Q$3:$Q$464,"Open")=0,"",COUNTIFS('PUNCH LIST'!$G$3:$G$464,A47,'PUNCH LIST'!$Q$3:$Q$464,"Open")))</f>
        <v/>
      </c>
      <c r="F47" s="116" t="n"/>
      <c r="G47" s="116" t="n"/>
      <c r="H47" s="116" t="n"/>
      <c r="I47" s="116" t="n"/>
      <c r="J47" s="116" t="n"/>
      <c r="K47" s="116" t="n"/>
      <c r="L47" s="115" t="n"/>
      <c r="M47" s="115" t="n"/>
      <c r="N47" s="117">
        <f>IF($A47="","",IF(ISBLANK(F47),"",IF(TRIM(F47)="--","--",IF(ISNUMBER(F47),IF(F47&gt;=1,"Yes",IF(F47=0,"No","PARTIAL")),"CHECK"))))</f>
        <v/>
      </c>
      <c r="O47" s="117">
        <f>IF($A47="","",IF(ISBLANK(G47),"",IF(TRIM(G47)="--","--",IF(ISNUMBER(G47),IF(G47&gt;=1,"Yes",IF(G47=0,"No","PARTIAL")),"CHECK"))))</f>
        <v/>
      </c>
      <c r="P47" s="117">
        <f>IF($A47="","",IF(ISBLANK(H47),"",IF(TRIM(H47)="--","--",IF(ISNUMBER(H47),IF(H47&gt;=1,"Yes",IF(H47=0,"No","PARTIAL")),"CHECK"))))</f>
        <v/>
      </c>
      <c r="Q47" s="117">
        <f>IF($A47="","",IF(ISBLANK(I47),"",IF(TRIM(I47)="--","--",IF(ISNUMBER(I47),IF(I47&gt;=1,"Yes",IF(I47=0,"No","PARTIAL")),"CHECK"))))</f>
        <v/>
      </c>
      <c r="R47" s="117">
        <f>IF($A47="","",IF(ISBLANK(J47),"",IF(TRIM(J47)="--","--",IF(ISNUMBER(J47),IF(J47&gt;=1,"Yes",IF(J47=0,"No","PARTIAL")),"CHECK"))))</f>
        <v/>
      </c>
      <c r="S47" s="117">
        <f>IF($A47="","",IF(ISBLANK(K47),"",IF(TRIM(K47)="--","--",IF(ISNUMBER(K47),IF(K47&gt;=1,"Yes",IF(K47=0,"No","PARTIAL")),"CHECK"))))</f>
        <v/>
      </c>
      <c r="T47" s="115" t="n"/>
      <c r="U47" s="115" t="n"/>
      <c r="V47" s="117">
        <f>IF($A47="","",IF(COUNTIF(N47:S47,"--")=6,"--",IF(COUNTIF(N47:S47,"Yes")+COUNTIF(N47:S47,"--")=6,"Yes","No")))</f>
        <v/>
      </c>
      <c r="W47" s="115" t="n"/>
      <c r="X47" s="115" t="n"/>
      <c r="Y47" s="115" t="n"/>
      <c r="Z47" s="117">
        <f>IF($A47="","",COUNTIFS('RFI REGISTER'!$D$5:$D$250,$A47,'RFI REGISTER'!$A$5:$A$250,"RFI-*",'RFI REGISTER'!$C$5:$C$250,"&lt;&gt;Closed",'RFI REGISTER'!$C$5:$C$250,"&lt;&gt;Cancelled"))</f>
        <v/>
      </c>
      <c r="AA47" s="117">
        <f>IF($A47="","",COUNTIFS(ISSUES!$P$5:$P$200,"*"&amp;$A47&amp;"*",ISSUES!$H$5:$H$200,"&lt;&gt;Closed",ISSUES!$H$5:$H$200,"&lt;&gt;Resolved",ISSUES!$H$5:$H$200,"&lt;&gt;Cancelled",ISSUES!$H$5:$H$200,"&lt;&gt;",ISSUES!$A$5:$A$200,"&lt;&gt;"))</f>
        <v/>
      </c>
      <c r="AB47" s="115" t="n"/>
      <c r="AC47" s="117">
        <f>IF(A47="","",IF(COUNTIF('WORK PACKAGES'!$A$2:$A$100,A47)=0,"NOT IN WORK PACKAGES",IF(COUNTIF($A$2:$A$100,A47)&gt;1,"DUPLICATE","OK")))</f>
        <v/>
      </c>
    </row>
    <row r="48">
      <c r="A48" s="51" t="n"/>
      <c r="B48" s="117">
        <f>IF($A48="","",IFERROR(IF(INDEX('WORK PACKAGES'!$B$2:$B$100,MATCH($A48,'WORK PACKAGES'!$A$2:$A$100,0))="","",INDEX('WORK PACKAGES'!$B$2:$B$100,MATCH($A48,'WORK PACKAGES'!$A$2:$A$100,0))),""))</f>
        <v/>
      </c>
      <c r="C48" s="117">
        <f>IF($A48="","",IFERROR(IF(INDEX('WORK PACKAGES'!$G$2:$G$100,MATCH($A48,'WORK PACKAGES'!$A$2:$A$100,0))="","",INDEX('WORK PACKAGES'!$G$2:$G$100,MATCH($A48,'WORK PACKAGES'!$A$2:$A$100,0))),""))</f>
        <v/>
      </c>
      <c r="D48" s="117">
        <f>IF($A48="","",IFERROR(IF(INDEX('WORK PACKAGES'!$E$2:$E$100,MATCH($A48,'WORK PACKAGES'!$A$2:$A$100,0))="","",INDEX('WORK PACKAGES'!$E$2:$E$100,MATCH($A48,'WORK PACKAGES'!$A$2:$A$100,0))),""))</f>
        <v/>
      </c>
      <c r="E48" s="117">
        <f>IF(A48="","",IF(COUNTIFS('PUNCH LIST'!$G$3:$G$464,A48,'PUNCH LIST'!$Q$3:$Q$464,"Open")=0,"",COUNTIFS('PUNCH LIST'!$G$3:$G$464,A48,'PUNCH LIST'!$Q$3:$Q$464,"Open")))</f>
        <v/>
      </c>
      <c r="F48" s="116" t="n"/>
      <c r="G48" s="116" t="n"/>
      <c r="H48" s="116" t="n"/>
      <c r="I48" s="116" t="n"/>
      <c r="J48" s="116" t="n"/>
      <c r="K48" s="116" t="n"/>
      <c r="L48" s="115" t="n"/>
      <c r="M48" s="115" t="n"/>
      <c r="N48" s="117">
        <f>IF($A48="","",IF(ISBLANK(F48),"",IF(TRIM(F48)="--","--",IF(ISNUMBER(F48),IF(F48&gt;=1,"Yes",IF(F48=0,"No","PARTIAL")),"CHECK"))))</f>
        <v/>
      </c>
      <c r="O48" s="117">
        <f>IF($A48="","",IF(ISBLANK(G48),"",IF(TRIM(G48)="--","--",IF(ISNUMBER(G48),IF(G48&gt;=1,"Yes",IF(G48=0,"No","PARTIAL")),"CHECK"))))</f>
        <v/>
      </c>
      <c r="P48" s="117">
        <f>IF($A48="","",IF(ISBLANK(H48),"",IF(TRIM(H48)="--","--",IF(ISNUMBER(H48),IF(H48&gt;=1,"Yes",IF(H48=0,"No","PARTIAL")),"CHECK"))))</f>
        <v/>
      </c>
      <c r="Q48" s="117">
        <f>IF($A48="","",IF(ISBLANK(I48),"",IF(TRIM(I48)="--","--",IF(ISNUMBER(I48),IF(I48&gt;=1,"Yes",IF(I48=0,"No","PARTIAL")),"CHECK"))))</f>
        <v/>
      </c>
      <c r="R48" s="117">
        <f>IF($A48="","",IF(ISBLANK(J48),"",IF(TRIM(J48)="--","--",IF(ISNUMBER(J48),IF(J48&gt;=1,"Yes",IF(J48=0,"No","PARTIAL")),"CHECK"))))</f>
        <v/>
      </c>
      <c r="S48" s="117">
        <f>IF($A48="","",IF(ISBLANK(K48),"",IF(TRIM(K48)="--","--",IF(ISNUMBER(K48),IF(K48&gt;=1,"Yes",IF(K48=0,"No","PARTIAL")),"CHECK"))))</f>
        <v/>
      </c>
      <c r="T48" s="115" t="n"/>
      <c r="U48" s="115" t="n"/>
      <c r="V48" s="117">
        <f>IF($A48="","",IF(COUNTIF(N48:S48,"--")=6,"--",IF(COUNTIF(N48:S48,"Yes")+COUNTIF(N48:S48,"--")=6,"Yes","No")))</f>
        <v/>
      </c>
      <c r="W48" s="115" t="n"/>
      <c r="X48" s="115" t="n"/>
      <c r="Y48" s="115" t="n"/>
      <c r="Z48" s="117">
        <f>IF($A48="","",COUNTIFS('RFI REGISTER'!$D$5:$D$250,$A48,'RFI REGISTER'!$A$5:$A$250,"RFI-*",'RFI REGISTER'!$C$5:$C$250,"&lt;&gt;Closed",'RFI REGISTER'!$C$5:$C$250,"&lt;&gt;Cancelled"))</f>
        <v/>
      </c>
      <c r="AA48" s="117">
        <f>IF($A48="","",COUNTIFS(ISSUES!$P$5:$P$200,"*"&amp;$A48&amp;"*",ISSUES!$H$5:$H$200,"&lt;&gt;Closed",ISSUES!$H$5:$H$200,"&lt;&gt;Resolved",ISSUES!$H$5:$H$200,"&lt;&gt;Cancelled",ISSUES!$H$5:$H$200,"&lt;&gt;",ISSUES!$A$5:$A$200,"&lt;&gt;"))</f>
        <v/>
      </c>
      <c r="AB48" s="115" t="n"/>
      <c r="AC48" s="117">
        <f>IF(A48="","",IF(COUNTIF('WORK PACKAGES'!$A$2:$A$100,A48)=0,"NOT IN WORK PACKAGES",IF(COUNTIF($A$2:$A$100,A48)&gt;1,"DUPLICATE","OK")))</f>
        <v/>
      </c>
    </row>
    <row r="49">
      <c r="A49" s="51" t="n"/>
      <c r="B49" s="117">
        <f>IF($A49="","",IFERROR(IF(INDEX('WORK PACKAGES'!$B$2:$B$100,MATCH($A49,'WORK PACKAGES'!$A$2:$A$100,0))="","",INDEX('WORK PACKAGES'!$B$2:$B$100,MATCH($A49,'WORK PACKAGES'!$A$2:$A$100,0))),""))</f>
        <v/>
      </c>
      <c r="C49" s="117">
        <f>IF($A49="","",IFERROR(IF(INDEX('WORK PACKAGES'!$G$2:$G$100,MATCH($A49,'WORK PACKAGES'!$A$2:$A$100,0))="","",INDEX('WORK PACKAGES'!$G$2:$G$100,MATCH($A49,'WORK PACKAGES'!$A$2:$A$100,0))),""))</f>
        <v/>
      </c>
      <c r="D49" s="117">
        <f>IF($A49="","",IFERROR(IF(INDEX('WORK PACKAGES'!$E$2:$E$100,MATCH($A49,'WORK PACKAGES'!$A$2:$A$100,0))="","",INDEX('WORK PACKAGES'!$E$2:$E$100,MATCH($A49,'WORK PACKAGES'!$A$2:$A$100,0))),""))</f>
        <v/>
      </c>
      <c r="E49" s="117">
        <f>IF(A49="","",IF(COUNTIFS('PUNCH LIST'!$G$3:$G$464,A49,'PUNCH LIST'!$Q$3:$Q$464,"Open")=0,"",COUNTIFS('PUNCH LIST'!$G$3:$G$464,A49,'PUNCH LIST'!$Q$3:$Q$464,"Open")))</f>
        <v/>
      </c>
      <c r="F49" s="116" t="n"/>
      <c r="G49" s="116" t="n"/>
      <c r="H49" s="116" t="n"/>
      <c r="I49" s="116" t="n"/>
      <c r="J49" s="116" t="n"/>
      <c r="K49" s="116" t="n"/>
      <c r="L49" s="115" t="n"/>
      <c r="M49" s="115" t="n"/>
      <c r="N49" s="117">
        <f>IF($A49="","",IF(ISBLANK(F49),"",IF(TRIM(F49)="--","--",IF(ISNUMBER(F49),IF(F49&gt;=1,"Yes",IF(F49=0,"No","PARTIAL")),"CHECK"))))</f>
        <v/>
      </c>
      <c r="O49" s="117">
        <f>IF($A49="","",IF(ISBLANK(G49),"",IF(TRIM(G49)="--","--",IF(ISNUMBER(G49),IF(G49&gt;=1,"Yes",IF(G49=0,"No","PARTIAL")),"CHECK"))))</f>
        <v/>
      </c>
      <c r="P49" s="117">
        <f>IF($A49="","",IF(ISBLANK(H49),"",IF(TRIM(H49)="--","--",IF(ISNUMBER(H49),IF(H49&gt;=1,"Yes",IF(H49=0,"No","PARTIAL")),"CHECK"))))</f>
        <v/>
      </c>
      <c r="Q49" s="117">
        <f>IF($A49="","",IF(ISBLANK(I49),"",IF(TRIM(I49)="--","--",IF(ISNUMBER(I49),IF(I49&gt;=1,"Yes",IF(I49=0,"No","PARTIAL")),"CHECK"))))</f>
        <v/>
      </c>
      <c r="R49" s="117">
        <f>IF($A49="","",IF(ISBLANK(J49),"",IF(TRIM(J49)="--","--",IF(ISNUMBER(J49),IF(J49&gt;=1,"Yes",IF(J49=0,"No","PARTIAL")),"CHECK"))))</f>
        <v/>
      </c>
      <c r="S49" s="117">
        <f>IF($A49="","",IF(ISBLANK(K49),"",IF(TRIM(K49)="--","--",IF(ISNUMBER(K49),IF(K49&gt;=1,"Yes",IF(K49=0,"No","PARTIAL")),"CHECK"))))</f>
        <v/>
      </c>
      <c r="T49" s="115" t="n"/>
      <c r="U49" s="115" t="n"/>
      <c r="V49" s="117">
        <f>IF($A49="","",IF(COUNTIF(N49:S49,"--")=6,"--",IF(COUNTIF(N49:S49,"Yes")+COUNTIF(N49:S49,"--")=6,"Yes","No")))</f>
        <v/>
      </c>
      <c r="W49" s="115" t="n"/>
      <c r="X49" s="115" t="n"/>
      <c r="Y49" s="115" t="n"/>
      <c r="Z49" s="117">
        <f>IF($A49="","",COUNTIFS('RFI REGISTER'!$D$5:$D$250,$A49,'RFI REGISTER'!$A$5:$A$250,"RFI-*",'RFI REGISTER'!$C$5:$C$250,"&lt;&gt;Closed",'RFI REGISTER'!$C$5:$C$250,"&lt;&gt;Cancelled"))</f>
        <v/>
      </c>
      <c r="AA49" s="117">
        <f>IF($A49="","",COUNTIFS(ISSUES!$P$5:$P$200,"*"&amp;$A49&amp;"*",ISSUES!$H$5:$H$200,"&lt;&gt;Closed",ISSUES!$H$5:$H$200,"&lt;&gt;Resolved",ISSUES!$H$5:$H$200,"&lt;&gt;Cancelled",ISSUES!$H$5:$H$200,"&lt;&gt;",ISSUES!$A$5:$A$200,"&lt;&gt;"))</f>
        <v/>
      </c>
      <c r="AB49" s="115" t="n"/>
      <c r="AC49" s="117">
        <f>IF(A49="","",IF(COUNTIF('WORK PACKAGES'!$A$2:$A$100,A49)=0,"NOT IN WORK PACKAGES",IF(COUNTIF($A$2:$A$100,A49)&gt;1,"DUPLICATE","OK")))</f>
        <v/>
      </c>
    </row>
    <row r="50">
      <c r="A50" s="51" t="n"/>
      <c r="B50" s="117">
        <f>IF($A50="","",IFERROR(IF(INDEX('WORK PACKAGES'!$B$2:$B$100,MATCH($A50,'WORK PACKAGES'!$A$2:$A$100,0))="","",INDEX('WORK PACKAGES'!$B$2:$B$100,MATCH($A50,'WORK PACKAGES'!$A$2:$A$100,0))),""))</f>
        <v/>
      </c>
      <c r="C50" s="117">
        <f>IF($A50="","",IFERROR(IF(INDEX('WORK PACKAGES'!$G$2:$G$100,MATCH($A50,'WORK PACKAGES'!$A$2:$A$100,0))="","",INDEX('WORK PACKAGES'!$G$2:$G$100,MATCH($A50,'WORK PACKAGES'!$A$2:$A$100,0))),""))</f>
        <v/>
      </c>
      <c r="D50" s="117">
        <f>IF($A50="","",IFERROR(IF(INDEX('WORK PACKAGES'!$E$2:$E$100,MATCH($A50,'WORK PACKAGES'!$A$2:$A$100,0))="","",INDEX('WORK PACKAGES'!$E$2:$E$100,MATCH($A50,'WORK PACKAGES'!$A$2:$A$100,0))),""))</f>
        <v/>
      </c>
      <c r="E50" s="117">
        <f>IF(A50="","",IF(COUNTIFS('PUNCH LIST'!$G$3:$G$464,A50,'PUNCH LIST'!$Q$3:$Q$464,"Open")=0,"",COUNTIFS('PUNCH LIST'!$G$3:$G$464,A50,'PUNCH LIST'!$Q$3:$Q$464,"Open")))</f>
        <v/>
      </c>
      <c r="F50" s="116" t="n"/>
      <c r="G50" s="116" t="n"/>
      <c r="H50" s="116" t="n"/>
      <c r="I50" s="116" t="n"/>
      <c r="J50" s="116" t="n"/>
      <c r="K50" s="116" t="n"/>
      <c r="L50" s="115" t="n"/>
      <c r="M50" s="115" t="n"/>
      <c r="N50" s="117">
        <f>IF($A50="","",IF(ISBLANK(F50),"",IF(TRIM(F50)="--","--",IF(ISNUMBER(F50),IF(F50&gt;=1,"Yes",IF(F50=0,"No","PARTIAL")),"CHECK"))))</f>
        <v/>
      </c>
      <c r="O50" s="117">
        <f>IF($A50="","",IF(ISBLANK(G50),"",IF(TRIM(G50)="--","--",IF(ISNUMBER(G50),IF(G50&gt;=1,"Yes",IF(G50=0,"No","PARTIAL")),"CHECK"))))</f>
        <v/>
      </c>
      <c r="P50" s="117">
        <f>IF($A50="","",IF(ISBLANK(H50),"",IF(TRIM(H50)="--","--",IF(ISNUMBER(H50),IF(H50&gt;=1,"Yes",IF(H50=0,"No","PARTIAL")),"CHECK"))))</f>
        <v/>
      </c>
      <c r="Q50" s="117">
        <f>IF($A50="","",IF(ISBLANK(I50),"",IF(TRIM(I50)="--","--",IF(ISNUMBER(I50),IF(I50&gt;=1,"Yes",IF(I50=0,"No","PARTIAL")),"CHECK"))))</f>
        <v/>
      </c>
      <c r="R50" s="117">
        <f>IF($A50="","",IF(ISBLANK(J50),"",IF(TRIM(J50)="--","--",IF(ISNUMBER(J50),IF(J50&gt;=1,"Yes",IF(J50=0,"No","PARTIAL")),"CHECK"))))</f>
        <v/>
      </c>
      <c r="S50" s="117">
        <f>IF($A50="","",IF(ISBLANK(K50),"",IF(TRIM(K50)="--","--",IF(ISNUMBER(K50),IF(K50&gt;=1,"Yes",IF(K50=0,"No","PARTIAL")),"CHECK"))))</f>
        <v/>
      </c>
      <c r="T50" s="115" t="n"/>
      <c r="U50" s="115" t="n"/>
      <c r="V50" s="117">
        <f>IF($A50="","",IF(COUNTIF(N50:S50,"--")=6,"--",IF(COUNTIF(N50:S50,"Yes")+COUNTIF(N50:S50,"--")=6,"Yes","No")))</f>
        <v/>
      </c>
      <c r="W50" s="115" t="n"/>
      <c r="X50" s="115" t="n"/>
      <c r="Y50" s="115" t="n"/>
      <c r="Z50" s="117">
        <f>IF($A50="","",COUNTIFS('RFI REGISTER'!$D$5:$D$250,$A50,'RFI REGISTER'!$A$5:$A$250,"RFI-*",'RFI REGISTER'!$C$5:$C$250,"&lt;&gt;Closed",'RFI REGISTER'!$C$5:$C$250,"&lt;&gt;Cancelled"))</f>
        <v/>
      </c>
      <c r="AA50" s="117">
        <f>IF($A50="","",COUNTIFS(ISSUES!$P$5:$P$200,"*"&amp;$A50&amp;"*",ISSUES!$H$5:$H$200,"&lt;&gt;Closed",ISSUES!$H$5:$H$200,"&lt;&gt;Resolved",ISSUES!$H$5:$H$200,"&lt;&gt;Cancelled",ISSUES!$H$5:$H$200,"&lt;&gt;",ISSUES!$A$5:$A$200,"&lt;&gt;"))</f>
        <v/>
      </c>
      <c r="AB50" s="115" t="n"/>
      <c r="AC50" s="117">
        <f>IF(A50="","",IF(COUNTIF('WORK PACKAGES'!$A$2:$A$100,A50)=0,"NOT IN WORK PACKAGES",IF(COUNTIF($A$2:$A$100,A50)&gt;1,"DUPLICATE","OK")))</f>
        <v/>
      </c>
    </row>
    <row r="51">
      <c r="A51" s="51" t="n"/>
      <c r="B51" s="117">
        <f>IF($A51="","",IFERROR(IF(INDEX('WORK PACKAGES'!$B$2:$B$100,MATCH($A51,'WORK PACKAGES'!$A$2:$A$100,0))="","",INDEX('WORK PACKAGES'!$B$2:$B$100,MATCH($A51,'WORK PACKAGES'!$A$2:$A$100,0))),""))</f>
        <v/>
      </c>
      <c r="C51" s="117">
        <f>IF($A51="","",IFERROR(IF(INDEX('WORK PACKAGES'!$G$2:$G$100,MATCH($A51,'WORK PACKAGES'!$A$2:$A$100,0))="","",INDEX('WORK PACKAGES'!$G$2:$G$100,MATCH($A51,'WORK PACKAGES'!$A$2:$A$100,0))),""))</f>
        <v/>
      </c>
      <c r="D51" s="117">
        <f>IF($A51="","",IFERROR(IF(INDEX('WORK PACKAGES'!$E$2:$E$100,MATCH($A51,'WORK PACKAGES'!$A$2:$A$100,0))="","",INDEX('WORK PACKAGES'!$E$2:$E$100,MATCH($A51,'WORK PACKAGES'!$A$2:$A$100,0))),""))</f>
        <v/>
      </c>
      <c r="E51" s="117">
        <f>IF(A51="","",IF(COUNTIFS('PUNCH LIST'!$G$3:$G$464,A51,'PUNCH LIST'!$Q$3:$Q$464,"Open")=0,"",COUNTIFS('PUNCH LIST'!$G$3:$G$464,A51,'PUNCH LIST'!$Q$3:$Q$464,"Open")))</f>
        <v/>
      </c>
      <c r="F51" s="116" t="n"/>
      <c r="G51" s="116" t="n"/>
      <c r="H51" s="116" t="n"/>
      <c r="I51" s="116" t="n"/>
      <c r="J51" s="116" t="n"/>
      <c r="K51" s="116" t="n"/>
      <c r="L51" s="115" t="n"/>
      <c r="M51" s="115" t="n"/>
      <c r="N51" s="117">
        <f>IF($A51="","",IF(ISBLANK(F51),"",IF(TRIM(F51)="--","--",IF(ISNUMBER(F51),IF(F51&gt;=1,"Yes",IF(F51=0,"No","PARTIAL")),"CHECK"))))</f>
        <v/>
      </c>
      <c r="O51" s="117">
        <f>IF($A51="","",IF(ISBLANK(G51),"",IF(TRIM(G51)="--","--",IF(ISNUMBER(G51),IF(G51&gt;=1,"Yes",IF(G51=0,"No","PARTIAL")),"CHECK"))))</f>
        <v/>
      </c>
      <c r="P51" s="117">
        <f>IF($A51="","",IF(ISBLANK(H51),"",IF(TRIM(H51)="--","--",IF(ISNUMBER(H51),IF(H51&gt;=1,"Yes",IF(H51=0,"No","PARTIAL")),"CHECK"))))</f>
        <v/>
      </c>
      <c r="Q51" s="117">
        <f>IF($A51="","",IF(ISBLANK(I51),"",IF(TRIM(I51)="--","--",IF(ISNUMBER(I51),IF(I51&gt;=1,"Yes",IF(I51=0,"No","PARTIAL")),"CHECK"))))</f>
        <v/>
      </c>
      <c r="R51" s="117">
        <f>IF($A51="","",IF(ISBLANK(J51),"",IF(TRIM(J51)="--","--",IF(ISNUMBER(J51),IF(J51&gt;=1,"Yes",IF(J51=0,"No","PARTIAL")),"CHECK"))))</f>
        <v/>
      </c>
      <c r="S51" s="117">
        <f>IF($A51="","",IF(ISBLANK(K51),"",IF(TRIM(K51)="--","--",IF(ISNUMBER(K51),IF(K51&gt;=1,"Yes",IF(K51=0,"No","PARTIAL")),"CHECK"))))</f>
        <v/>
      </c>
      <c r="T51" s="115" t="n"/>
      <c r="U51" s="115" t="n"/>
      <c r="V51" s="117">
        <f>IF($A51="","",IF(COUNTIF(N51:S51,"--")=6,"--",IF(COUNTIF(N51:S51,"Yes")+COUNTIF(N51:S51,"--")=6,"Yes","No")))</f>
        <v/>
      </c>
      <c r="W51" s="115" t="n"/>
      <c r="X51" s="115" t="n"/>
      <c r="Y51" s="115" t="n"/>
      <c r="Z51" s="117">
        <f>IF($A51="","",COUNTIFS('RFI REGISTER'!$D$5:$D$250,$A51,'RFI REGISTER'!$A$5:$A$250,"RFI-*",'RFI REGISTER'!$C$5:$C$250,"&lt;&gt;Closed",'RFI REGISTER'!$C$5:$C$250,"&lt;&gt;Cancelled"))</f>
        <v/>
      </c>
      <c r="AA51" s="117">
        <f>IF($A51="","",COUNTIFS(ISSUES!$P$5:$P$200,"*"&amp;$A51&amp;"*",ISSUES!$H$5:$H$200,"&lt;&gt;Closed",ISSUES!$H$5:$H$200,"&lt;&gt;Resolved",ISSUES!$H$5:$H$200,"&lt;&gt;Cancelled",ISSUES!$H$5:$H$200,"&lt;&gt;",ISSUES!$A$5:$A$200,"&lt;&gt;"))</f>
        <v/>
      </c>
      <c r="AB51" s="115" t="n"/>
      <c r="AC51" s="117">
        <f>IF(A51="","",IF(COUNTIF('WORK PACKAGES'!$A$2:$A$100,A51)=0,"NOT IN WORK PACKAGES",IF(COUNTIF($A$2:$A$100,A51)&gt;1,"DUPLICATE","OK")))</f>
        <v/>
      </c>
    </row>
    <row r="52">
      <c r="A52" s="51" t="n"/>
      <c r="B52" s="117">
        <f>IF($A52="","",IFERROR(IF(INDEX('WORK PACKAGES'!$B$2:$B$100,MATCH($A52,'WORK PACKAGES'!$A$2:$A$100,0))="","",INDEX('WORK PACKAGES'!$B$2:$B$100,MATCH($A52,'WORK PACKAGES'!$A$2:$A$100,0))),""))</f>
        <v/>
      </c>
      <c r="C52" s="117">
        <f>IF($A52="","",IFERROR(IF(INDEX('WORK PACKAGES'!$G$2:$G$100,MATCH($A52,'WORK PACKAGES'!$A$2:$A$100,0))="","",INDEX('WORK PACKAGES'!$G$2:$G$100,MATCH($A52,'WORK PACKAGES'!$A$2:$A$100,0))),""))</f>
        <v/>
      </c>
      <c r="D52" s="117">
        <f>IF($A52="","",IFERROR(IF(INDEX('WORK PACKAGES'!$E$2:$E$100,MATCH($A52,'WORK PACKAGES'!$A$2:$A$100,0))="","",INDEX('WORK PACKAGES'!$E$2:$E$100,MATCH($A52,'WORK PACKAGES'!$A$2:$A$100,0))),""))</f>
        <v/>
      </c>
      <c r="E52" s="117">
        <f>IF(A52="","",IF(COUNTIFS('PUNCH LIST'!$G$3:$G$464,A52,'PUNCH LIST'!$Q$3:$Q$464,"Open")=0,"",COUNTIFS('PUNCH LIST'!$G$3:$G$464,A52,'PUNCH LIST'!$Q$3:$Q$464,"Open")))</f>
        <v/>
      </c>
      <c r="F52" s="116" t="n"/>
      <c r="G52" s="116" t="n"/>
      <c r="H52" s="116" t="n"/>
      <c r="I52" s="116" t="n"/>
      <c r="J52" s="116" t="n"/>
      <c r="K52" s="116" t="n"/>
      <c r="L52" s="115" t="n"/>
      <c r="M52" s="115" t="n"/>
      <c r="N52" s="117">
        <f>IF($A52="","",IF(ISBLANK(F52),"",IF(TRIM(F52)="--","--",IF(ISNUMBER(F52),IF(F52&gt;=1,"Yes",IF(F52=0,"No","PARTIAL")),"CHECK"))))</f>
        <v/>
      </c>
      <c r="O52" s="117">
        <f>IF($A52="","",IF(ISBLANK(G52),"",IF(TRIM(G52)="--","--",IF(ISNUMBER(G52),IF(G52&gt;=1,"Yes",IF(G52=0,"No","PARTIAL")),"CHECK"))))</f>
        <v/>
      </c>
      <c r="P52" s="117">
        <f>IF($A52="","",IF(ISBLANK(H52),"",IF(TRIM(H52)="--","--",IF(ISNUMBER(H52),IF(H52&gt;=1,"Yes",IF(H52=0,"No","PARTIAL")),"CHECK"))))</f>
        <v/>
      </c>
      <c r="Q52" s="117">
        <f>IF($A52="","",IF(ISBLANK(I52),"",IF(TRIM(I52)="--","--",IF(ISNUMBER(I52),IF(I52&gt;=1,"Yes",IF(I52=0,"No","PARTIAL")),"CHECK"))))</f>
        <v/>
      </c>
      <c r="R52" s="117">
        <f>IF($A52="","",IF(ISBLANK(J52),"",IF(TRIM(J52)="--","--",IF(ISNUMBER(J52),IF(J52&gt;=1,"Yes",IF(J52=0,"No","PARTIAL")),"CHECK"))))</f>
        <v/>
      </c>
      <c r="S52" s="117">
        <f>IF($A52="","",IF(ISBLANK(K52),"",IF(TRIM(K52)="--","--",IF(ISNUMBER(K52),IF(K52&gt;=1,"Yes",IF(K52=0,"No","PARTIAL")),"CHECK"))))</f>
        <v/>
      </c>
      <c r="T52" s="115" t="n"/>
      <c r="U52" s="115" t="n"/>
      <c r="V52" s="117">
        <f>IF($A52="","",IF(COUNTIF(N52:S52,"--")=6,"--",IF(COUNTIF(N52:S52,"Yes")+COUNTIF(N52:S52,"--")=6,"Yes","No")))</f>
        <v/>
      </c>
      <c r="W52" s="115" t="n"/>
      <c r="X52" s="115" t="n"/>
      <c r="Y52" s="115" t="n"/>
      <c r="Z52" s="117">
        <f>IF($A52="","",COUNTIFS('RFI REGISTER'!$D$5:$D$250,$A52,'RFI REGISTER'!$A$5:$A$250,"RFI-*",'RFI REGISTER'!$C$5:$C$250,"&lt;&gt;Closed",'RFI REGISTER'!$C$5:$C$250,"&lt;&gt;Cancelled"))</f>
        <v/>
      </c>
      <c r="AA52" s="117">
        <f>IF($A52="","",COUNTIFS(ISSUES!$P$5:$P$200,"*"&amp;$A52&amp;"*",ISSUES!$H$5:$H$200,"&lt;&gt;Closed",ISSUES!$H$5:$H$200,"&lt;&gt;Resolved",ISSUES!$H$5:$H$200,"&lt;&gt;Cancelled",ISSUES!$H$5:$H$200,"&lt;&gt;",ISSUES!$A$5:$A$200,"&lt;&gt;"))</f>
        <v/>
      </c>
      <c r="AB52" s="115" t="n"/>
      <c r="AC52" s="117">
        <f>IF(A52="","",IF(COUNTIF('WORK PACKAGES'!$A$2:$A$100,A52)=0,"NOT IN WORK PACKAGES",IF(COUNTIF($A$2:$A$100,A52)&gt;1,"DUPLICATE","OK")))</f>
        <v/>
      </c>
    </row>
    <row r="53">
      <c r="A53" s="51" t="n"/>
      <c r="B53" s="117">
        <f>IF($A53="","",IFERROR(IF(INDEX('WORK PACKAGES'!$B$2:$B$100,MATCH($A53,'WORK PACKAGES'!$A$2:$A$100,0))="","",INDEX('WORK PACKAGES'!$B$2:$B$100,MATCH($A53,'WORK PACKAGES'!$A$2:$A$100,0))),""))</f>
        <v/>
      </c>
      <c r="C53" s="117">
        <f>IF($A53="","",IFERROR(IF(INDEX('WORK PACKAGES'!$G$2:$G$100,MATCH($A53,'WORK PACKAGES'!$A$2:$A$100,0))="","",INDEX('WORK PACKAGES'!$G$2:$G$100,MATCH($A53,'WORK PACKAGES'!$A$2:$A$100,0))),""))</f>
        <v/>
      </c>
      <c r="D53" s="117">
        <f>IF($A53="","",IFERROR(IF(INDEX('WORK PACKAGES'!$E$2:$E$100,MATCH($A53,'WORK PACKAGES'!$A$2:$A$100,0))="","",INDEX('WORK PACKAGES'!$E$2:$E$100,MATCH($A53,'WORK PACKAGES'!$A$2:$A$100,0))),""))</f>
        <v/>
      </c>
      <c r="E53" s="117">
        <f>IF(A53="","",IF(COUNTIFS('PUNCH LIST'!$G$3:$G$464,A53,'PUNCH LIST'!$Q$3:$Q$464,"Open")=0,"",COUNTIFS('PUNCH LIST'!$G$3:$G$464,A53,'PUNCH LIST'!$Q$3:$Q$464,"Open")))</f>
        <v/>
      </c>
      <c r="F53" s="116" t="n"/>
      <c r="G53" s="116" t="n"/>
      <c r="H53" s="116" t="n"/>
      <c r="I53" s="116" t="n"/>
      <c r="J53" s="116" t="n"/>
      <c r="K53" s="116" t="n"/>
      <c r="L53" s="115" t="n"/>
      <c r="M53" s="115" t="n"/>
      <c r="N53" s="117">
        <f>IF($A53="","",IF(ISBLANK(F53),"",IF(TRIM(F53)="--","--",IF(ISNUMBER(F53),IF(F53&gt;=1,"Yes",IF(F53=0,"No","PARTIAL")),"CHECK"))))</f>
        <v/>
      </c>
      <c r="O53" s="117">
        <f>IF($A53="","",IF(ISBLANK(G53),"",IF(TRIM(G53)="--","--",IF(ISNUMBER(G53),IF(G53&gt;=1,"Yes",IF(G53=0,"No","PARTIAL")),"CHECK"))))</f>
        <v/>
      </c>
      <c r="P53" s="117">
        <f>IF($A53="","",IF(ISBLANK(H53),"",IF(TRIM(H53)="--","--",IF(ISNUMBER(H53),IF(H53&gt;=1,"Yes",IF(H53=0,"No","PARTIAL")),"CHECK"))))</f>
        <v/>
      </c>
      <c r="Q53" s="117">
        <f>IF($A53="","",IF(ISBLANK(I53),"",IF(TRIM(I53)="--","--",IF(ISNUMBER(I53),IF(I53&gt;=1,"Yes",IF(I53=0,"No","PARTIAL")),"CHECK"))))</f>
        <v/>
      </c>
      <c r="R53" s="117">
        <f>IF($A53="","",IF(ISBLANK(J53),"",IF(TRIM(J53)="--","--",IF(ISNUMBER(J53),IF(J53&gt;=1,"Yes",IF(J53=0,"No","PARTIAL")),"CHECK"))))</f>
        <v/>
      </c>
      <c r="S53" s="117">
        <f>IF($A53="","",IF(ISBLANK(K53),"",IF(TRIM(K53)="--","--",IF(ISNUMBER(K53),IF(K53&gt;=1,"Yes",IF(K53=0,"No","PARTIAL")),"CHECK"))))</f>
        <v/>
      </c>
      <c r="T53" s="115" t="n"/>
      <c r="U53" s="115" t="n"/>
      <c r="V53" s="117">
        <f>IF($A53="","",IF(COUNTIF(N53:S53,"--")=6,"--",IF(COUNTIF(N53:S53,"Yes")+COUNTIF(N53:S53,"--")=6,"Yes","No")))</f>
        <v/>
      </c>
      <c r="W53" s="115" t="n"/>
      <c r="X53" s="115" t="n"/>
      <c r="Y53" s="115" t="n"/>
      <c r="Z53" s="117">
        <f>IF($A53="","",COUNTIFS('RFI REGISTER'!$D$5:$D$250,$A53,'RFI REGISTER'!$A$5:$A$250,"RFI-*",'RFI REGISTER'!$C$5:$C$250,"&lt;&gt;Closed",'RFI REGISTER'!$C$5:$C$250,"&lt;&gt;Cancelled"))</f>
        <v/>
      </c>
      <c r="AA53" s="117">
        <f>IF($A53="","",COUNTIFS(ISSUES!$P$5:$P$200,"*"&amp;$A53&amp;"*",ISSUES!$H$5:$H$200,"&lt;&gt;Closed",ISSUES!$H$5:$H$200,"&lt;&gt;Resolved",ISSUES!$H$5:$H$200,"&lt;&gt;Cancelled",ISSUES!$H$5:$H$200,"&lt;&gt;",ISSUES!$A$5:$A$200,"&lt;&gt;"))</f>
        <v/>
      </c>
      <c r="AB53" s="115" t="n"/>
      <c r="AC53" s="117">
        <f>IF(A53="","",IF(COUNTIF('WORK PACKAGES'!$A$2:$A$100,A53)=0,"NOT IN WORK PACKAGES",IF(COUNTIF($A$2:$A$100,A53)&gt;1,"DUPLICATE","OK")))</f>
        <v/>
      </c>
    </row>
    <row r="54">
      <c r="A54" s="51" t="n"/>
      <c r="B54" s="117">
        <f>IF($A54="","",IFERROR(IF(INDEX('WORK PACKAGES'!$B$2:$B$100,MATCH($A54,'WORK PACKAGES'!$A$2:$A$100,0))="","",INDEX('WORK PACKAGES'!$B$2:$B$100,MATCH($A54,'WORK PACKAGES'!$A$2:$A$100,0))),""))</f>
        <v/>
      </c>
      <c r="C54" s="117">
        <f>IF($A54="","",IFERROR(IF(INDEX('WORK PACKAGES'!$G$2:$G$100,MATCH($A54,'WORK PACKAGES'!$A$2:$A$100,0))="","",INDEX('WORK PACKAGES'!$G$2:$G$100,MATCH($A54,'WORK PACKAGES'!$A$2:$A$100,0))),""))</f>
        <v/>
      </c>
      <c r="D54" s="117">
        <f>IF($A54="","",IFERROR(IF(INDEX('WORK PACKAGES'!$E$2:$E$100,MATCH($A54,'WORK PACKAGES'!$A$2:$A$100,0))="","",INDEX('WORK PACKAGES'!$E$2:$E$100,MATCH($A54,'WORK PACKAGES'!$A$2:$A$100,0))),""))</f>
        <v/>
      </c>
      <c r="E54" s="117">
        <f>IF(A54="","",IF(COUNTIFS('PUNCH LIST'!$G$3:$G$464,A54,'PUNCH LIST'!$Q$3:$Q$464,"Open")=0,"",COUNTIFS('PUNCH LIST'!$G$3:$G$464,A54,'PUNCH LIST'!$Q$3:$Q$464,"Open")))</f>
        <v/>
      </c>
      <c r="F54" s="116" t="n"/>
      <c r="G54" s="116" t="n"/>
      <c r="H54" s="116" t="n"/>
      <c r="I54" s="116" t="n"/>
      <c r="J54" s="116" t="n"/>
      <c r="K54" s="116" t="n"/>
      <c r="L54" s="115" t="n"/>
      <c r="M54" s="115" t="n"/>
      <c r="N54" s="117">
        <f>IF($A54="","",IF(ISBLANK(F54),"",IF(TRIM(F54)="--","--",IF(ISNUMBER(F54),IF(F54&gt;=1,"Yes",IF(F54=0,"No","PARTIAL")),"CHECK"))))</f>
        <v/>
      </c>
      <c r="O54" s="117">
        <f>IF($A54="","",IF(ISBLANK(G54),"",IF(TRIM(G54)="--","--",IF(ISNUMBER(G54),IF(G54&gt;=1,"Yes",IF(G54=0,"No","PARTIAL")),"CHECK"))))</f>
        <v/>
      </c>
      <c r="P54" s="117">
        <f>IF($A54="","",IF(ISBLANK(H54),"",IF(TRIM(H54)="--","--",IF(ISNUMBER(H54),IF(H54&gt;=1,"Yes",IF(H54=0,"No","PARTIAL")),"CHECK"))))</f>
        <v/>
      </c>
      <c r="Q54" s="117">
        <f>IF($A54="","",IF(ISBLANK(I54),"",IF(TRIM(I54)="--","--",IF(ISNUMBER(I54),IF(I54&gt;=1,"Yes",IF(I54=0,"No","PARTIAL")),"CHECK"))))</f>
        <v/>
      </c>
      <c r="R54" s="117">
        <f>IF($A54="","",IF(ISBLANK(J54),"",IF(TRIM(J54)="--","--",IF(ISNUMBER(J54),IF(J54&gt;=1,"Yes",IF(J54=0,"No","PARTIAL")),"CHECK"))))</f>
        <v/>
      </c>
      <c r="S54" s="117">
        <f>IF($A54="","",IF(ISBLANK(K54),"",IF(TRIM(K54)="--","--",IF(ISNUMBER(K54),IF(K54&gt;=1,"Yes",IF(K54=0,"No","PARTIAL")),"CHECK"))))</f>
        <v/>
      </c>
      <c r="T54" s="115" t="n"/>
      <c r="U54" s="115" t="n"/>
      <c r="V54" s="117">
        <f>IF($A54="","",IF(COUNTIF(N54:S54,"--")=6,"--",IF(COUNTIF(N54:S54,"Yes")+COUNTIF(N54:S54,"--")=6,"Yes","No")))</f>
        <v/>
      </c>
      <c r="W54" s="115" t="n"/>
      <c r="X54" s="115" t="n"/>
      <c r="Y54" s="115" t="n"/>
      <c r="Z54" s="117">
        <f>IF($A54="","",COUNTIFS('RFI REGISTER'!$D$5:$D$250,$A54,'RFI REGISTER'!$A$5:$A$250,"RFI-*",'RFI REGISTER'!$C$5:$C$250,"&lt;&gt;Closed",'RFI REGISTER'!$C$5:$C$250,"&lt;&gt;Cancelled"))</f>
        <v/>
      </c>
      <c r="AA54" s="117">
        <f>IF($A54="","",COUNTIFS(ISSUES!$P$5:$P$200,"*"&amp;$A54&amp;"*",ISSUES!$H$5:$H$200,"&lt;&gt;Closed",ISSUES!$H$5:$H$200,"&lt;&gt;Resolved",ISSUES!$H$5:$H$200,"&lt;&gt;Cancelled",ISSUES!$H$5:$H$200,"&lt;&gt;",ISSUES!$A$5:$A$200,"&lt;&gt;"))</f>
        <v/>
      </c>
      <c r="AB54" s="115" t="n"/>
      <c r="AC54" s="117">
        <f>IF(A54="","",IF(COUNTIF('WORK PACKAGES'!$A$2:$A$100,A54)=0,"NOT IN WORK PACKAGES",IF(COUNTIF($A$2:$A$100,A54)&gt;1,"DUPLICATE","OK")))</f>
        <v/>
      </c>
    </row>
    <row r="55">
      <c r="A55" s="51" t="n"/>
      <c r="B55" s="117">
        <f>IF($A55="","",IFERROR(IF(INDEX('WORK PACKAGES'!$B$2:$B$100,MATCH($A55,'WORK PACKAGES'!$A$2:$A$100,0))="","",INDEX('WORK PACKAGES'!$B$2:$B$100,MATCH($A55,'WORK PACKAGES'!$A$2:$A$100,0))),""))</f>
        <v/>
      </c>
      <c r="C55" s="117">
        <f>IF($A55="","",IFERROR(IF(INDEX('WORK PACKAGES'!$G$2:$G$100,MATCH($A55,'WORK PACKAGES'!$A$2:$A$100,0))="","",INDEX('WORK PACKAGES'!$G$2:$G$100,MATCH($A55,'WORK PACKAGES'!$A$2:$A$100,0))),""))</f>
        <v/>
      </c>
      <c r="D55" s="117">
        <f>IF($A55="","",IFERROR(IF(INDEX('WORK PACKAGES'!$E$2:$E$100,MATCH($A55,'WORK PACKAGES'!$A$2:$A$100,0))="","",INDEX('WORK PACKAGES'!$E$2:$E$100,MATCH($A55,'WORK PACKAGES'!$A$2:$A$100,0))),""))</f>
        <v/>
      </c>
      <c r="E55" s="117">
        <f>IF(A55="","",IF(COUNTIFS('PUNCH LIST'!$G$3:$G$464,A55,'PUNCH LIST'!$Q$3:$Q$464,"Open")=0,"",COUNTIFS('PUNCH LIST'!$G$3:$G$464,A55,'PUNCH LIST'!$Q$3:$Q$464,"Open")))</f>
        <v/>
      </c>
      <c r="F55" s="116" t="n"/>
      <c r="G55" s="116" t="n"/>
      <c r="H55" s="116" t="n"/>
      <c r="I55" s="116" t="n"/>
      <c r="J55" s="116" t="n"/>
      <c r="K55" s="116" t="n"/>
      <c r="L55" s="115" t="n"/>
      <c r="M55" s="115" t="n"/>
      <c r="N55" s="117">
        <f>IF($A55="","",IF(ISBLANK(F55),"",IF(TRIM(F55)="--","--",IF(ISNUMBER(F55),IF(F55&gt;=1,"Yes",IF(F55=0,"No","PARTIAL")),"CHECK"))))</f>
        <v/>
      </c>
      <c r="O55" s="117">
        <f>IF($A55="","",IF(ISBLANK(G55),"",IF(TRIM(G55)="--","--",IF(ISNUMBER(G55),IF(G55&gt;=1,"Yes",IF(G55=0,"No","PARTIAL")),"CHECK"))))</f>
        <v/>
      </c>
      <c r="P55" s="117">
        <f>IF($A55="","",IF(ISBLANK(H55),"",IF(TRIM(H55)="--","--",IF(ISNUMBER(H55),IF(H55&gt;=1,"Yes",IF(H55=0,"No","PARTIAL")),"CHECK"))))</f>
        <v/>
      </c>
      <c r="Q55" s="117">
        <f>IF($A55="","",IF(ISBLANK(I55),"",IF(TRIM(I55)="--","--",IF(ISNUMBER(I55),IF(I55&gt;=1,"Yes",IF(I55=0,"No","PARTIAL")),"CHECK"))))</f>
        <v/>
      </c>
      <c r="R55" s="117">
        <f>IF($A55="","",IF(ISBLANK(J55),"",IF(TRIM(J55)="--","--",IF(ISNUMBER(J55),IF(J55&gt;=1,"Yes",IF(J55=0,"No","PARTIAL")),"CHECK"))))</f>
        <v/>
      </c>
      <c r="S55" s="117">
        <f>IF($A55="","",IF(ISBLANK(K55),"",IF(TRIM(K55)="--","--",IF(ISNUMBER(K55),IF(K55&gt;=1,"Yes",IF(K55=0,"No","PARTIAL")),"CHECK"))))</f>
        <v/>
      </c>
      <c r="T55" s="115" t="n"/>
      <c r="U55" s="115" t="n"/>
      <c r="V55" s="117">
        <f>IF($A55="","",IF(COUNTIF(N55:S55,"--")=6,"--",IF(COUNTIF(N55:S55,"Yes")+COUNTIF(N55:S55,"--")=6,"Yes","No")))</f>
        <v/>
      </c>
      <c r="W55" s="115" t="n"/>
      <c r="X55" s="115" t="n"/>
      <c r="Y55" s="115" t="n"/>
      <c r="Z55" s="117">
        <f>IF($A55="","",COUNTIFS('RFI REGISTER'!$D$5:$D$250,$A55,'RFI REGISTER'!$A$5:$A$250,"RFI-*",'RFI REGISTER'!$C$5:$C$250,"&lt;&gt;Closed",'RFI REGISTER'!$C$5:$C$250,"&lt;&gt;Cancelled"))</f>
        <v/>
      </c>
      <c r="AA55" s="117">
        <f>IF($A55="","",COUNTIFS(ISSUES!$P$5:$P$200,"*"&amp;$A55&amp;"*",ISSUES!$H$5:$H$200,"&lt;&gt;Closed",ISSUES!$H$5:$H$200,"&lt;&gt;Resolved",ISSUES!$H$5:$H$200,"&lt;&gt;Cancelled",ISSUES!$H$5:$H$200,"&lt;&gt;",ISSUES!$A$5:$A$200,"&lt;&gt;"))</f>
        <v/>
      </c>
      <c r="AB55" s="115" t="n"/>
      <c r="AC55" s="117">
        <f>IF(A55="","",IF(COUNTIF('WORK PACKAGES'!$A$2:$A$100,A55)=0,"NOT IN WORK PACKAGES",IF(COUNTIF($A$2:$A$100,A55)&gt;1,"DUPLICATE","OK")))</f>
        <v/>
      </c>
    </row>
    <row r="56">
      <c r="A56" s="51" t="n"/>
      <c r="B56" s="117">
        <f>IF($A56="","",IFERROR(IF(INDEX('WORK PACKAGES'!$B$2:$B$100,MATCH($A56,'WORK PACKAGES'!$A$2:$A$100,0))="","",INDEX('WORK PACKAGES'!$B$2:$B$100,MATCH($A56,'WORK PACKAGES'!$A$2:$A$100,0))),""))</f>
        <v/>
      </c>
      <c r="C56" s="117">
        <f>IF($A56="","",IFERROR(IF(INDEX('WORK PACKAGES'!$G$2:$G$100,MATCH($A56,'WORK PACKAGES'!$A$2:$A$100,0))="","",INDEX('WORK PACKAGES'!$G$2:$G$100,MATCH($A56,'WORK PACKAGES'!$A$2:$A$100,0))),""))</f>
        <v/>
      </c>
      <c r="D56" s="117">
        <f>IF($A56="","",IFERROR(IF(INDEX('WORK PACKAGES'!$E$2:$E$100,MATCH($A56,'WORK PACKAGES'!$A$2:$A$100,0))="","",INDEX('WORK PACKAGES'!$E$2:$E$100,MATCH($A56,'WORK PACKAGES'!$A$2:$A$100,0))),""))</f>
        <v/>
      </c>
      <c r="E56" s="117">
        <f>IF(A56="","",IF(COUNTIFS('PUNCH LIST'!$G$3:$G$464,A56,'PUNCH LIST'!$Q$3:$Q$464,"Open")=0,"",COUNTIFS('PUNCH LIST'!$G$3:$G$464,A56,'PUNCH LIST'!$Q$3:$Q$464,"Open")))</f>
        <v/>
      </c>
      <c r="F56" s="116" t="n"/>
      <c r="G56" s="116" t="n"/>
      <c r="H56" s="116" t="n"/>
      <c r="I56" s="116" t="n"/>
      <c r="J56" s="116" t="n"/>
      <c r="K56" s="116" t="n"/>
      <c r="L56" s="115" t="n"/>
      <c r="M56" s="115" t="n"/>
      <c r="N56" s="117">
        <f>IF($A56="","",IF(ISBLANK(F56),"",IF(TRIM(F56)="--","--",IF(ISNUMBER(F56),IF(F56&gt;=1,"Yes",IF(F56=0,"No","PARTIAL")),"CHECK"))))</f>
        <v/>
      </c>
      <c r="O56" s="117">
        <f>IF($A56="","",IF(ISBLANK(G56),"",IF(TRIM(G56)="--","--",IF(ISNUMBER(G56),IF(G56&gt;=1,"Yes",IF(G56=0,"No","PARTIAL")),"CHECK"))))</f>
        <v/>
      </c>
      <c r="P56" s="117">
        <f>IF($A56="","",IF(ISBLANK(H56),"",IF(TRIM(H56)="--","--",IF(ISNUMBER(H56),IF(H56&gt;=1,"Yes",IF(H56=0,"No","PARTIAL")),"CHECK"))))</f>
        <v/>
      </c>
      <c r="Q56" s="117">
        <f>IF($A56="","",IF(ISBLANK(I56),"",IF(TRIM(I56)="--","--",IF(ISNUMBER(I56),IF(I56&gt;=1,"Yes",IF(I56=0,"No","PARTIAL")),"CHECK"))))</f>
        <v/>
      </c>
      <c r="R56" s="117">
        <f>IF($A56="","",IF(ISBLANK(J56),"",IF(TRIM(J56)="--","--",IF(ISNUMBER(J56),IF(J56&gt;=1,"Yes",IF(J56=0,"No","PARTIAL")),"CHECK"))))</f>
        <v/>
      </c>
      <c r="S56" s="117">
        <f>IF($A56="","",IF(ISBLANK(K56),"",IF(TRIM(K56)="--","--",IF(ISNUMBER(K56),IF(K56&gt;=1,"Yes",IF(K56=0,"No","PARTIAL")),"CHECK"))))</f>
        <v/>
      </c>
      <c r="T56" s="115" t="n"/>
      <c r="U56" s="115" t="n"/>
      <c r="V56" s="117">
        <f>IF($A56="","",IF(COUNTIF(N56:S56,"--")=6,"--",IF(COUNTIF(N56:S56,"Yes")+COUNTIF(N56:S56,"--")=6,"Yes","No")))</f>
        <v/>
      </c>
      <c r="W56" s="115" t="n"/>
      <c r="X56" s="115" t="n"/>
      <c r="Y56" s="115" t="n"/>
      <c r="Z56" s="117">
        <f>IF($A56="","",COUNTIFS('RFI REGISTER'!$D$5:$D$250,$A56,'RFI REGISTER'!$A$5:$A$250,"RFI-*",'RFI REGISTER'!$C$5:$C$250,"&lt;&gt;Closed",'RFI REGISTER'!$C$5:$C$250,"&lt;&gt;Cancelled"))</f>
        <v/>
      </c>
      <c r="AA56" s="117">
        <f>IF($A56="","",COUNTIFS(ISSUES!$P$5:$P$200,"*"&amp;$A56&amp;"*",ISSUES!$H$5:$H$200,"&lt;&gt;Closed",ISSUES!$H$5:$H$200,"&lt;&gt;Resolved",ISSUES!$H$5:$H$200,"&lt;&gt;Cancelled",ISSUES!$H$5:$H$200,"&lt;&gt;",ISSUES!$A$5:$A$200,"&lt;&gt;"))</f>
        <v/>
      </c>
      <c r="AB56" s="115" t="n"/>
      <c r="AC56" s="117">
        <f>IF(A56="","",IF(COUNTIF('WORK PACKAGES'!$A$2:$A$100,A56)=0,"NOT IN WORK PACKAGES",IF(COUNTIF($A$2:$A$100,A56)&gt;1,"DUPLICATE","OK")))</f>
        <v/>
      </c>
    </row>
    <row r="57">
      <c r="A57" s="51" t="n"/>
      <c r="B57" s="117">
        <f>IF($A57="","",IFERROR(IF(INDEX('WORK PACKAGES'!$B$2:$B$100,MATCH($A57,'WORK PACKAGES'!$A$2:$A$100,0))="","",INDEX('WORK PACKAGES'!$B$2:$B$100,MATCH($A57,'WORK PACKAGES'!$A$2:$A$100,0))),""))</f>
        <v/>
      </c>
      <c r="C57" s="117">
        <f>IF($A57="","",IFERROR(IF(INDEX('WORK PACKAGES'!$G$2:$G$100,MATCH($A57,'WORK PACKAGES'!$A$2:$A$100,0))="","",INDEX('WORK PACKAGES'!$G$2:$G$100,MATCH($A57,'WORK PACKAGES'!$A$2:$A$100,0))),""))</f>
        <v/>
      </c>
      <c r="D57" s="117">
        <f>IF($A57="","",IFERROR(IF(INDEX('WORK PACKAGES'!$E$2:$E$100,MATCH($A57,'WORK PACKAGES'!$A$2:$A$100,0))="","",INDEX('WORK PACKAGES'!$E$2:$E$100,MATCH($A57,'WORK PACKAGES'!$A$2:$A$100,0))),""))</f>
        <v/>
      </c>
      <c r="E57" s="117">
        <f>IF(A57="","",IF(COUNTIFS('PUNCH LIST'!$G$3:$G$464,A57,'PUNCH LIST'!$Q$3:$Q$464,"Open")=0,"",COUNTIFS('PUNCH LIST'!$G$3:$G$464,A57,'PUNCH LIST'!$Q$3:$Q$464,"Open")))</f>
        <v/>
      </c>
      <c r="F57" s="116" t="n"/>
      <c r="G57" s="116" t="n"/>
      <c r="H57" s="116" t="n"/>
      <c r="I57" s="116" t="n"/>
      <c r="J57" s="116" t="n"/>
      <c r="K57" s="116" t="n"/>
      <c r="L57" s="115" t="n"/>
      <c r="M57" s="115" t="n"/>
      <c r="N57" s="117">
        <f>IF($A57="","",IF(ISBLANK(F57),"",IF(TRIM(F57)="--","--",IF(ISNUMBER(F57),IF(F57&gt;=1,"Yes",IF(F57=0,"No","PARTIAL")),"CHECK"))))</f>
        <v/>
      </c>
      <c r="O57" s="117">
        <f>IF($A57="","",IF(ISBLANK(G57),"",IF(TRIM(G57)="--","--",IF(ISNUMBER(G57),IF(G57&gt;=1,"Yes",IF(G57=0,"No","PARTIAL")),"CHECK"))))</f>
        <v/>
      </c>
      <c r="P57" s="117">
        <f>IF($A57="","",IF(ISBLANK(H57),"",IF(TRIM(H57)="--","--",IF(ISNUMBER(H57),IF(H57&gt;=1,"Yes",IF(H57=0,"No","PARTIAL")),"CHECK"))))</f>
        <v/>
      </c>
      <c r="Q57" s="117">
        <f>IF($A57="","",IF(ISBLANK(I57),"",IF(TRIM(I57)="--","--",IF(ISNUMBER(I57),IF(I57&gt;=1,"Yes",IF(I57=0,"No","PARTIAL")),"CHECK"))))</f>
        <v/>
      </c>
      <c r="R57" s="117">
        <f>IF($A57="","",IF(ISBLANK(J57),"",IF(TRIM(J57)="--","--",IF(ISNUMBER(J57),IF(J57&gt;=1,"Yes",IF(J57=0,"No","PARTIAL")),"CHECK"))))</f>
        <v/>
      </c>
      <c r="S57" s="117">
        <f>IF($A57="","",IF(ISBLANK(K57),"",IF(TRIM(K57)="--","--",IF(ISNUMBER(K57),IF(K57&gt;=1,"Yes",IF(K57=0,"No","PARTIAL")),"CHECK"))))</f>
        <v/>
      </c>
      <c r="T57" s="115" t="n"/>
      <c r="U57" s="115" t="n"/>
      <c r="V57" s="117">
        <f>IF($A57="","",IF(COUNTIF(N57:S57,"--")=6,"--",IF(COUNTIF(N57:S57,"Yes")+COUNTIF(N57:S57,"--")=6,"Yes","No")))</f>
        <v/>
      </c>
      <c r="W57" s="115" t="n"/>
      <c r="X57" s="115" t="n"/>
      <c r="Y57" s="115" t="n"/>
      <c r="Z57" s="117">
        <f>IF($A57="","",COUNTIFS('RFI REGISTER'!$D$5:$D$250,$A57,'RFI REGISTER'!$A$5:$A$250,"RFI-*",'RFI REGISTER'!$C$5:$C$250,"&lt;&gt;Closed",'RFI REGISTER'!$C$5:$C$250,"&lt;&gt;Cancelled"))</f>
        <v/>
      </c>
      <c r="AA57" s="117">
        <f>IF($A57="","",COUNTIFS(ISSUES!$P$5:$P$200,"*"&amp;$A57&amp;"*",ISSUES!$H$5:$H$200,"&lt;&gt;Closed",ISSUES!$H$5:$H$200,"&lt;&gt;Resolved",ISSUES!$H$5:$H$200,"&lt;&gt;Cancelled",ISSUES!$H$5:$H$200,"&lt;&gt;",ISSUES!$A$5:$A$200,"&lt;&gt;"))</f>
        <v/>
      </c>
      <c r="AB57" s="115" t="n"/>
      <c r="AC57" s="117">
        <f>IF(A57="","",IF(COUNTIF('WORK PACKAGES'!$A$2:$A$100,A57)=0,"NOT IN WORK PACKAGES",IF(COUNTIF($A$2:$A$100,A57)&gt;1,"DUPLICATE","OK")))</f>
        <v/>
      </c>
    </row>
    <row r="58">
      <c r="A58" s="51" t="n"/>
      <c r="B58" s="117">
        <f>IF($A58="","",IFERROR(IF(INDEX('WORK PACKAGES'!$B$2:$B$100,MATCH($A58,'WORK PACKAGES'!$A$2:$A$100,0))="","",INDEX('WORK PACKAGES'!$B$2:$B$100,MATCH($A58,'WORK PACKAGES'!$A$2:$A$100,0))),""))</f>
        <v/>
      </c>
      <c r="C58" s="117">
        <f>IF($A58="","",IFERROR(IF(INDEX('WORK PACKAGES'!$G$2:$G$100,MATCH($A58,'WORK PACKAGES'!$A$2:$A$100,0))="","",INDEX('WORK PACKAGES'!$G$2:$G$100,MATCH($A58,'WORK PACKAGES'!$A$2:$A$100,0))),""))</f>
        <v/>
      </c>
      <c r="D58" s="117">
        <f>IF($A58="","",IFERROR(IF(INDEX('WORK PACKAGES'!$E$2:$E$100,MATCH($A58,'WORK PACKAGES'!$A$2:$A$100,0))="","",INDEX('WORK PACKAGES'!$E$2:$E$100,MATCH($A58,'WORK PACKAGES'!$A$2:$A$100,0))),""))</f>
        <v/>
      </c>
      <c r="E58" s="117">
        <f>IF(A58="","",IF(COUNTIFS('PUNCH LIST'!$G$3:$G$464,A58,'PUNCH LIST'!$Q$3:$Q$464,"Open")=0,"",COUNTIFS('PUNCH LIST'!$G$3:$G$464,A58,'PUNCH LIST'!$Q$3:$Q$464,"Open")))</f>
        <v/>
      </c>
      <c r="F58" s="116" t="n"/>
      <c r="G58" s="116" t="n"/>
      <c r="H58" s="116" t="n"/>
      <c r="I58" s="116" t="n"/>
      <c r="J58" s="116" t="n"/>
      <c r="K58" s="116" t="n"/>
      <c r="L58" s="115" t="n"/>
      <c r="M58" s="115" t="n"/>
      <c r="N58" s="117">
        <f>IF($A58="","",IF(ISBLANK(F58),"",IF(TRIM(F58)="--","--",IF(ISNUMBER(F58),IF(F58&gt;=1,"Yes",IF(F58=0,"No","PARTIAL")),"CHECK"))))</f>
        <v/>
      </c>
      <c r="O58" s="117">
        <f>IF($A58="","",IF(ISBLANK(G58),"",IF(TRIM(G58)="--","--",IF(ISNUMBER(G58),IF(G58&gt;=1,"Yes",IF(G58=0,"No","PARTIAL")),"CHECK"))))</f>
        <v/>
      </c>
      <c r="P58" s="117">
        <f>IF($A58="","",IF(ISBLANK(H58),"",IF(TRIM(H58)="--","--",IF(ISNUMBER(H58),IF(H58&gt;=1,"Yes",IF(H58=0,"No","PARTIAL")),"CHECK"))))</f>
        <v/>
      </c>
      <c r="Q58" s="117">
        <f>IF($A58="","",IF(ISBLANK(I58),"",IF(TRIM(I58)="--","--",IF(ISNUMBER(I58),IF(I58&gt;=1,"Yes",IF(I58=0,"No","PARTIAL")),"CHECK"))))</f>
        <v/>
      </c>
      <c r="R58" s="117">
        <f>IF($A58="","",IF(ISBLANK(J58),"",IF(TRIM(J58)="--","--",IF(ISNUMBER(J58),IF(J58&gt;=1,"Yes",IF(J58=0,"No","PARTIAL")),"CHECK"))))</f>
        <v/>
      </c>
      <c r="S58" s="117">
        <f>IF($A58="","",IF(ISBLANK(K58),"",IF(TRIM(K58)="--","--",IF(ISNUMBER(K58),IF(K58&gt;=1,"Yes",IF(K58=0,"No","PARTIAL")),"CHECK"))))</f>
        <v/>
      </c>
      <c r="T58" s="115" t="n"/>
      <c r="U58" s="115" t="n"/>
      <c r="V58" s="117">
        <f>IF($A58="","",IF(COUNTIF(N58:S58,"--")=6,"--",IF(COUNTIF(N58:S58,"Yes")+COUNTIF(N58:S58,"--")=6,"Yes","No")))</f>
        <v/>
      </c>
      <c r="W58" s="115" t="n"/>
      <c r="X58" s="115" t="n"/>
      <c r="Y58" s="115" t="n"/>
      <c r="Z58" s="117">
        <f>IF($A58="","",COUNTIFS('RFI REGISTER'!$D$5:$D$250,$A58,'RFI REGISTER'!$A$5:$A$250,"RFI-*",'RFI REGISTER'!$C$5:$C$250,"&lt;&gt;Closed",'RFI REGISTER'!$C$5:$C$250,"&lt;&gt;Cancelled"))</f>
        <v/>
      </c>
      <c r="AA58" s="117">
        <f>IF($A58="","",COUNTIFS(ISSUES!$P$5:$P$200,"*"&amp;$A58&amp;"*",ISSUES!$H$5:$H$200,"&lt;&gt;Closed",ISSUES!$H$5:$H$200,"&lt;&gt;Resolved",ISSUES!$H$5:$H$200,"&lt;&gt;Cancelled",ISSUES!$H$5:$H$200,"&lt;&gt;",ISSUES!$A$5:$A$200,"&lt;&gt;"))</f>
        <v/>
      </c>
      <c r="AB58" s="115" t="n"/>
      <c r="AC58" s="117">
        <f>IF(A58="","",IF(COUNTIF('WORK PACKAGES'!$A$2:$A$100,A58)=0,"NOT IN WORK PACKAGES",IF(COUNTIF($A$2:$A$100,A58)&gt;1,"DUPLICATE","OK")))</f>
        <v/>
      </c>
    </row>
    <row r="59">
      <c r="A59" s="51" t="n"/>
      <c r="B59" s="117">
        <f>IF($A59="","",IFERROR(IF(INDEX('WORK PACKAGES'!$B$2:$B$100,MATCH($A59,'WORK PACKAGES'!$A$2:$A$100,0))="","",INDEX('WORK PACKAGES'!$B$2:$B$100,MATCH($A59,'WORK PACKAGES'!$A$2:$A$100,0))),""))</f>
        <v/>
      </c>
      <c r="C59" s="117">
        <f>IF($A59="","",IFERROR(IF(INDEX('WORK PACKAGES'!$G$2:$G$100,MATCH($A59,'WORK PACKAGES'!$A$2:$A$100,0))="","",INDEX('WORK PACKAGES'!$G$2:$G$100,MATCH($A59,'WORK PACKAGES'!$A$2:$A$100,0))),""))</f>
        <v/>
      </c>
      <c r="D59" s="117">
        <f>IF($A59="","",IFERROR(IF(INDEX('WORK PACKAGES'!$E$2:$E$100,MATCH($A59,'WORK PACKAGES'!$A$2:$A$100,0))="","",INDEX('WORK PACKAGES'!$E$2:$E$100,MATCH($A59,'WORK PACKAGES'!$A$2:$A$100,0))),""))</f>
        <v/>
      </c>
      <c r="E59" s="117">
        <f>IF(A59="","",IF(COUNTIFS('PUNCH LIST'!$G$3:$G$464,A59,'PUNCH LIST'!$Q$3:$Q$464,"Open")=0,"",COUNTIFS('PUNCH LIST'!$G$3:$G$464,A59,'PUNCH LIST'!$Q$3:$Q$464,"Open")))</f>
        <v/>
      </c>
      <c r="F59" s="116" t="n"/>
      <c r="G59" s="116" t="n"/>
      <c r="H59" s="116" t="n"/>
      <c r="I59" s="116" t="n"/>
      <c r="J59" s="116" t="n"/>
      <c r="K59" s="116" t="n"/>
      <c r="L59" s="115" t="n"/>
      <c r="M59" s="115" t="n"/>
      <c r="N59" s="117">
        <f>IF($A59="","",IF(ISBLANK(F59),"",IF(TRIM(F59)="--","--",IF(ISNUMBER(F59),IF(F59&gt;=1,"Yes",IF(F59=0,"No","PARTIAL")),"CHECK"))))</f>
        <v/>
      </c>
      <c r="O59" s="117">
        <f>IF($A59="","",IF(ISBLANK(G59),"",IF(TRIM(G59)="--","--",IF(ISNUMBER(G59),IF(G59&gt;=1,"Yes",IF(G59=0,"No","PARTIAL")),"CHECK"))))</f>
        <v/>
      </c>
      <c r="P59" s="117">
        <f>IF($A59="","",IF(ISBLANK(H59),"",IF(TRIM(H59)="--","--",IF(ISNUMBER(H59),IF(H59&gt;=1,"Yes",IF(H59=0,"No","PARTIAL")),"CHECK"))))</f>
        <v/>
      </c>
      <c r="Q59" s="117">
        <f>IF($A59="","",IF(ISBLANK(I59),"",IF(TRIM(I59)="--","--",IF(ISNUMBER(I59),IF(I59&gt;=1,"Yes",IF(I59=0,"No","PARTIAL")),"CHECK"))))</f>
        <v/>
      </c>
      <c r="R59" s="117">
        <f>IF($A59="","",IF(ISBLANK(J59),"",IF(TRIM(J59)="--","--",IF(ISNUMBER(J59),IF(J59&gt;=1,"Yes",IF(J59=0,"No","PARTIAL")),"CHECK"))))</f>
        <v/>
      </c>
      <c r="S59" s="117">
        <f>IF($A59="","",IF(ISBLANK(K59),"",IF(TRIM(K59)="--","--",IF(ISNUMBER(K59),IF(K59&gt;=1,"Yes",IF(K59=0,"No","PARTIAL")),"CHECK"))))</f>
        <v/>
      </c>
      <c r="T59" s="115" t="n"/>
      <c r="U59" s="115" t="n"/>
      <c r="V59" s="117">
        <f>IF($A59="","",IF(COUNTIF(N59:S59,"--")=6,"--",IF(COUNTIF(N59:S59,"Yes")+COUNTIF(N59:S59,"--")=6,"Yes","No")))</f>
        <v/>
      </c>
      <c r="W59" s="115" t="n"/>
      <c r="X59" s="115" t="n"/>
      <c r="Y59" s="115" t="n"/>
      <c r="Z59" s="117">
        <f>IF($A59="","",COUNTIFS('RFI REGISTER'!$D$5:$D$250,$A59,'RFI REGISTER'!$A$5:$A$250,"RFI-*",'RFI REGISTER'!$C$5:$C$250,"&lt;&gt;Closed",'RFI REGISTER'!$C$5:$C$250,"&lt;&gt;Cancelled"))</f>
        <v/>
      </c>
      <c r="AA59" s="117">
        <f>IF($A59="","",COUNTIFS(ISSUES!$P$5:$P$200,"*"&amp;$A59&amp;"*",ISSUES!$H$5:$H$200,"&lt;&gt;Closed",ISSUES!$H$5:$H$200,"&lt;&gt;Resolved",ISSUES!$H$5:$H$200,"&lt;&gt;Cancelled",ISSUES!$H$5:$H$200,"&lt;&gt;",ISSUES!$A$5:$A$200,"&lt;&gt;"))</f>
        <v/>
      </c>
      <c r="AB59" s="115" t="n"/>
      <c r="AC59" s="117">
        <f>IF(A59="","",IF(COUNTIF('WORK PACKAGES'!$A$2:$A$100,A59)=0,"NOT IN WORK PACKAGES",IF(COUNTIF($A$2:$A$100,A59)&gt;1,"DUPLICATE","OK")))</f>
        <v/>
      </c>
    </row>
    <row r="60">
      <c r="A60" s="51" t="n"/>
      <c r="B60" s="117">
        <f>IF($A60="","",IFERROR(IF(INDEX('WORK PACKAGES'!$B$2:$B$100,MATCH($A60,'WORK PACKAGES'!$A$2:$A$100,0))="","",INDEX('WORK PACKAGES'!$B$2:$B$100,MATCH($A60,'WORK PACKAGES'!$A$2:$A$100,0))),""))</f>
        <v/>
      </c>
      <c r="C60" s="117">
        <f>IF($A60="","",IFERROR(IF(INDEX('WORK PACKAGES'!$G$2:$G$100,MATCH($A60,'WORK PACKAGES'!$A$2:$A$100,0))="","",INDEX('WORK PACKAGES'!$G$2:$G$100,MATCH($A60,'WORK PACKAGES'!$A$2:$A$100,0))),""))</f>
        <v/>
      </c>
      <c r="D60" s="117">
        <f>IF($A60="","",IFERROR(IF(INDEX('WORK PACKAGES'!$E$2:$E$100,MATCH($A60,'WORK PACKAGES'!$A$2:$A$100,0))="","",INDEX('WORK PACKAGES'!$E$2:$E$100,MATCH($A60,'WORK PACKAGES'!$A$2:$A$100,0))),""))</f>
        <v/>
      </c>
      <c r="E60" s="117">
        <f>IF(A60="","",IF(COUNTIFS('PUNCH LIST'!$G$3:$G$464,A60,'PUNCH LIST'!$Q$3:$Q$464,"Open")=0,"",COUNTIFS('PUNCH LIST'!$G$3:$G$464,A60,'PUNCH LIST'!$Q$3:$Q$464,"Open")))</f>
        <v/>
      </c>
      <c r="F60" s="116" t="n"/>
      <c r="G60" s="116" t="n"/>
      <c r="H60" s="116" t="n"/>
      <c r="I60" s="116" t="n"/>
      <c r="J60" s="116" t="n"/>
      <c r="K60" s="116" t="n"/>
      <c r="L60" s="115" t="n"/>
      <c r="M60" s="115" t="n"/>
      <c r="N60" s="117">
        <f>IF($A60="","",IF(ISBLANK(F60),"",IF(TRIM(F60)="--","--",IF(ISNUMBER(F60),IF(F60&gt;=1,"Yes",IF(F60=0,"No","PARTIAL")),"CHECK"))))</f>
        <v/>
      </c>
      <c r="O60" s="117">
        <f>IF($A60="","",IF(ISBLANK(G60),"",IF(TRIM(G60)="--","--",IF(ISNUMBER(G60),IF(G60&gt;=1,"Yes",IF(G60=0,"No","PARTIAL")),"CHECK"))))</f>
        <v/>
      </c>
      <c r="P60" s="117">
        <f>IF($A60="","",IF(ISBLANK(H60),"",IF(TRIM(H60)="--","--",IF(ISNUMBER(H60),IF(H60&gt;=1,"Yes",IF(H60=0,"No","PARTIAL")),"CHECK"))))</f>
        <v/>
      </c>
      <c r="Q60" s="117">
        <f>IF($A60="","",IF(ISBLANK(I60),"",IF(TRIM(I60)="--","--",IF(ISNUMBER(I60),IF(I60&gt;=1,"Yes",IF(I60=0,"No","PARTIAL")),"CHECK"))))</f>
        <v/>
      </c>
      <c r="R60" s="117">
        <f>IF($A60="","",IF(ISBLANK(J60),"",IF(TRIM(J60)="--","--",IF(ISNUMBER(J60),IF(J60&gt;=1,"Yes",IF(J60=0,"No","PARTIAL")),"CHECK"))))</f>
        <v/>
      </c>
      <c r="S60" s="117">
        <f>IF($A60="","",IF(ISBLANK(K60),"",IF(TRIM(K60)="--","--",IF(ISNUMBER(K60),IF(K60&gt;=1,"Yes",IF(K60=0,"No","PARTIAL")),"CHECK"))))</f>
        <v/>
      </c>
      <c r="T60" s="115" t="n"/>
      <c r="U60" s="115" t="n"/>
      <c r="V60" s="117">
        <f>IF($A60="","",IF(COUNTIF(N60:S60,"--")=6,"--",IF(COUNTIF(N60:S60,"Yes")+COUNTIF(N60:S60,"--")=6,"Yes","No")))</f>
        <v/>
      </c>
      <c r="W60" s="115" t="n"/>
      <c r="X60" s="115" t="n"/>
      <c r="Y60" s="115" t="n"/>
      <c r="Z60" s="117">
        <f>IF($A60="","",COUNTIFS('RFI REGISTER'!$D$5:$D$250,$A60,'RFI REGISTER'!$A$5:$A$250,"RFI-*",'RFI REGISTER'!$C$5:$C$250,"&lt;&gt;Closed",'RFI REGISTER'!$C$5:$C$250,"&lt;&gt;Cancelled"))</f>
        <v/>
      </c>
      <c r="AA60" s="117">
        <f>IF($A60="","",COUNTIFS(ISSUES!$P$5:$P$200,"*"&amp;$A60&amp;"*",ISSUES!$H$5:$H$200,"&lt;&gt;Closed",ISSUES!$H$5:$H$200,"&lt;&gt;Resolved",ISSUES!$H$5:$H$200,"&lt;&gt;Cancelled",ISSUES!$H$5:$H$200,"&lt;&gt;",ISSUES!$A$5:$A$200,"&lt;&gt;"))</f>
        <v/>
      </c>
      <c r="AB60" s="115" t="n"/>
      <c r="AC60" s="117">
        <f>IF(A60="","",IF(COUNTIF('WORK PACKAGES'!$A$2:$A$100,A60)=0,"NOT IN WORK PACKAGES",IF(COUNTIF($A$2:$A$100,A60)&gt;1,"DUPLICATE","OK")))</f>
        <v/>
      </c>
    </row>
    <row r="61">
      <c r="A61" s="51" t="n"/>
      <c r="B61" s="117">
        <f>IF($A61="","",IFERROR(IF(INDEX('WORK PACKAGES'!$B$2:$B$100,MATCH($A61,'WORK PACKAGES'!$A$2:$A$100,0))="","",INDEX('WORK PACKAGES'!$B$2:$B$100,MATCH($A61,'WORK PACKAGES'!$A$2:$A$100,0))),""))</f>
        <v/>
      </c>
      <c r="C61" s="117">
        <f>IF($A61="","",IFERROR(IF(INDEX('WORK PACKAGES'!$G$2:$G$100,MATCH($A61,'WORK PACKAGES'!$A$2:$A$100,0))="","",INDEX('WORK PACKAGES'!$G$2:$G$100,MATCH($A61,'WORK PACKAGES'!$A$2:$A$100,0))),""))</f>
        <v/>
      </c>
      <c r="D61" s="117">
        <f>IF($A61="","",IFERROR(IF(INDEX('WORK PACKAGES'!$E$2:$E$100,MATCH($A61,'WORK PACKAGES'!$A$2:$A$100,0))="","",INDEX('WORK PACKAGES'!$E$2:$E$100,MATCH($A61,'WORK PACKAGES'!$A$2:$A$100,0))),""))</f>
        <v/>
      </c>
      <c r="E61" s="117">
        <f>IF(A61="","",IF(COUNTIFS('PUNCH LIST'!$G$3:$G$464,A61,'PUNCH LIST'!$Q$3:$Q$464,"Open")=0,"",COUNTIFS('PUNCH LIST'!$G$3:$G$464,A61,'PUNCH LIST'!$Q$3:$Q$464,"Open")))</f>
        <v/>
      </c>
      <c r="F61" s="116" t="n"/>
      <c r="G61" s="116" t="n"/>
      <c r="H61" s="116" t="n"/>
      <c r="I61" s="116" t="n"/>
      <c r="J61" s="116" t="n"/>
      <c r="K61" s="116" t="n"/>
      <c r="L61" s="115" t="n"/>
      <c r="M61" s="115" t="n"/>
      <c r="N61" s="117">
        <f>IF($A61="","",IF(ISBLANK(F61),"",IF(TRIM(F61)="--","--",IF(ISNUMBER(F61),IF(F61&gt;=1,"Yes",IF(F61=0,"No","PARTIAL")),"CHECK"))))</f>
        <v/>
      </c>
      <c r="O61" s="117">
        <f>IF($A61="","",IF(ISBLANK(G61),"",IF(TRIM(G61)="--","--",IF(ISNUMBER(G61),IF(G61&gt;=1,"Yes",IF(G61=0,"No","PARTIAL")),"CHECK"))))</f>
        <v/>
      </c>
      <c r="P61" s="117">
        <f>IF($A61="","",IF(ISBLANK(H61),"",IF(TRIM(H61)="--","--",IF(ISNUMBER(H61),IF(H61&gt;=1,"Yes",IF(H61=0,"No","PARTIAL")),"CHECK"))))</f>
        <v/>
      </c>
      <c r="Q61" s="117">
        <f>IF($A61="","",IF(ISBLANK(I61),"",IF(TRIM(I61)="--","--",IF(ISNUMBER(I61),IF(I61&gt;=1,"Yes",IF(I61=0,"No","PARTIAL")),"CHECK"))))</f>
        <v/>
      </c>
      <c r="R61" s="117">
        <f>IF($A61="","",IF(ISBLANK(J61),"",IF(TRIM(J61)="--","--",IF(ISNUMBER(J61),IF(J61&gt;=1,"Yes",IF(J61=0,"No","PARTIAL")),"CHECK"))))</f>
        <v/>
      </c>
      <c r="S61" s="117">
        <f>IF($A61="","",IF(ISBLANK(K61),"",IF(TRIM(K61)="--","--",IF(ISNUMBER(K61),IF(K61&gt;=1,"Yes",IF(K61=0,"No","PARTIAL")),"CHECK"))))</f>
        <v/>
      </c>
      <c r="T61" s="115" t="n"/>
      <c r="U61" s="115" t="n"/>
      <c r="V61" s="117">
        <f>IF($A61="","",IF(COUNTIF(N61:S61,"--")=6,"--",IF(COUNTIF(N61:S61,"Yes")+COUNTIF(N61:S61,"--")=6,"Yes","No")))</f>
        <v/>
      </c>
      <c r="W61" s="115" t="n"/>
      <c r="X61" s="115" t="n"/>
      <c r="Y61" s="115" t="n"/>
      <c r="Z61" s="117">
        <f>IF($A61="","",COUNTIFS('RFI REGISTER'!$D$5:$D$250,$A61,'RFI REGISTER'!$A$5:$A$250,"RFI-*",'RFI REGISTER'!$C$5:$C$250,"&lt;&gt;Closed",'RFI REGISTER'!$C$5:$C$250,"&lt;&gt;Cancelled"))</f>
        <v/>
      </c>
      <c r="AA61" s="117">
        <f>IF($A61="","",COUNTIFS(ISSUES!$P$5:$P$200,"*"&amp;$A61&amp;"*",ISSUES!$H$5:$H$200,"&lt;&gt;Closed",ISSUES!$H$5:$H$200,"&lt;&gt;Resolved",ISSUES!$H$5:$H$200,"&lt;&gt;Cancelled",ISSUES!$H$5:$H$200,"&lt;&gt;",ISSUES!$A$5:$A$200,"&lt;&gt;"))</f>
        <v/>
      </c>
      <c r="AB61" s="115" t="n"/>
      <c r="AC61" s="117">
        <f>IF(A61="","",IF(COUNTIF('WORK PACKAGES'!$A$2:$A$100,A61)=0,"NOT IN WORK PACKAGES",IF(COUNTIF($A$2:$A$100,A61)&gt;1,"DUPLICATE","OK")))</f>
        <v/>
      </c>
    </row>
    <row r="62">
      <c r="A62" s="51" t="n"/>
      <c r="B62" s="117">
        <f>IF($A62="","",IFERROR(IF(INDEX('WORK PACKAGES'!$B$2:$B$100,MATCH($A62,'WORK PACKAGES'!$A$2:$A$100,0))="","",INDEX('WORK PACKAGES'!$B$2:$B$100,MATCH($A62,'WORK PACKAGES'!$A$2:$A$100,0))),""))</f>
        <v/>
      </c>
      <c r="C62" s="117">
        <f>IF($A62="","",IFERROR(IF(INDEX('WORK PACKAGES'!$G$2:$G$100,MATCH($A62,'WORK PACKAGES'!$A$2:$A$100,0))="","",INDEX('WORK PACKAGES'!$G$2:$G$100,MATCH($A62,'WORK PACKAGES'!$A$2:$A$100,0))),""))</f>
        <v/>
      </c>
      <c r="D62" s="117">
        <f>IF($A62="","",IFERROR(IF(INDEX('WORK PACKAGES'!$E$2:$E$100,MATCH($A62,'WORK PACKAGES'!$A$2:$A$100,0))="","",INDEX('WORK PACKAGES'!$E$2:$E$100,MATCH($A62,'WORK PACKAGES'!$A$2:$A$100,0))),""))</f>
        <v/>
      </c>
      <c r="E62" s="117">
        <f>IF(A62="","",IF(COUNTIFS('PUNCH LIST'!$G$3:$G$464,A62,'PUNCH LIST'!$Q$3:$Q$464,"Open")=0,"",COUNTIFS('PUNCH LIST'!$G$3:$G$464,A62,'PUNCH LIST'!$Q$3:$Q$464,"Open")))</f>
        <v/>
      </c>
      <c r="F62" s="116" t="n"/>
      <c r="G62" s="116" t="n"/>
      <c r="H62" s="116" t="n"/>
      <c r="I62" s="116" t="n"/>
      <c r="J62" s="116" t="n"/>
      <c r="K62" s="116" t="n"/>
      <c r="L62" s="115" t="n"/>
      <c r="M62" s="115" t="n"/>
      <c r="N62" s="117">
        <f>IF($A62="","",IF(ISBLANK(F62),"",IF(TRIM(F62)="--","--",IF(ISNUMBER(F62),IF(F62&gt;=1,"Yes",IF(F62=0,"No","PARTIAL")),"CHECK"))))</f>
        <v/>
      </c>
      <c r="O62" s="117">
        <f>IF($A62="","",IF(ISBLANK(G62),"",IF(TRIM(G62)="--","--",IF(ISNUMBER(G62),IF(G62&gt;=1,"Yes",IF(G62=0,"No","PARTIAL")),"CHECK"))))</f>
        <v/>
      </c>
      <c r="P62" s="117">
        <f>IF($A62="","",IF(ISBLANK(H62),"",IF(TRIM(H62)="--","--",IF(ISNUMBER(H62),IF(H62&gt;=1,"Yes",IF(H62=0,"No","PARTIAL")),"CHECK"))))</f>
        <v/>
      </c>
      <c r="Q62" s="117">
        <f>IF($A62="","",IF(ISBLANK(I62),"",IF(TRIM(I62)="--","--",IF(ISNUMBER(I62),IF(I62&gt;=1,"Yes",IF(I62=0,"No","PARTIAL")),"CHECK"))))</f>
        <v/>
      </c>
      <c r="R62" s="117">
        <f>IF($A62="","",IF(ISBLANK(J62),"",IF(TRIM(J62)="--","--",IF(ISNUMBER(J62),IF(J62&gt;=1,"Yes",IF(J62=0,"No","PARTIAL")),"CHECK"))))</f>
        <v/>
      </c>
      <c r="S62" s="117">
        <f>IF($A62="","",IF(ISBLANK(K62),"",IF(TRIM(K62)="--","--",IF(ISNUMBER(K62),IF(K62&gt;=1,"Yes",IF(K62=0,"No","PARTIAL")),"CHECK"))))</f>
        <v/>
      </c>
      <c r="T62" s="115" t="n"/>
      <c r="U62" s="115" t="n"/>
      <c r="V62" s="117">
        <f>IF($A62="","",IF(COUNTIF(N62:S62,"--")=6,"--",IF(COUNTIF(N62:S62,"Yes")+COUNTIF(N62:S62,"--")=6,"Yes","No")))</f>
        <v/>
      </c>
      <c r="W62" s="115" t="n"/>
      <c r="X62" s="115" t="n"/>
      <c r="Y62" s="115" t="n"/>
      <c r="Z62" s="117">
        <f>IF($A62="","",COUNTIFS('RFI REGISTER'!$D$5:$D$250,$A62,'RFI REGISTER'!$A$5:$A$250,"RFI-*",'RFI REGISTER'!$C$5:$C$250,"&lt;&gt;Closed",'RFI REGISTER'!$C$5:$C$250,"&lt;&gt;Cancelled"))</f>
        <v/>
      </c>
      <c r="AA62" s="117">
        <f>IF($A62="","",COUNTIFS(ISSUES!$P$5:$P$200,"*"&amp;$A62&amp;"*",ISSUES!$H$5:$H$200,"&lt;&gt;Closed",ISSUES!$H$5:$H$200,"&lt;&gt;Resolved",ISSUES!$H$5:$H$200,"&lt;&gt;Cancelled",ISSUES!$H$5:$H$200,"&lt;&gt;",ISSUES!$A$5:$A$200,"&lt;&gt;"))</f>
        <v/>
      </c>
      <c r="AB62" s="115" t="n"/>
      <c r="AC62" s="117">
        <f>IF(A62="","",IF(COUNTIF('WORK PACKAGES'!$A$2:$A$100,A62)=0,"NOT IN WORK PACKAGES",IF(COUNTIF($A$2:$A$100,A62)&gt;1,"DUPLICATE","OK")))</f>
        <v/>
      </c>
    </row>
    <row r="63">
      <c r="A63" s="51" t="n"/>
      <c r="B63" s="117">
        <f>IF($A63="","",IFERROR(IF(INDEX('WORK PACKAGES'!$B$2:$B$100,MATCH($A63,'WORK PACKAGES'!$A$2:$A$100,0))="","",INDEX('WORK PACKAGES'!$B$2:$B$100,MATCH($A63,'WORK PACKAGES'!$A$2:$A$100,0))),""))</f>
        <v/>
      </c>
      <c r="C63" s="117">
        <f>IF($A63="","",IFERROR(IF(INDEX('WORK PACKAGES'!$G$2:$G$100,MATCH($A63,'WORK PACKAGES'!$A$2:$A$100,0))="","",INDEX('WORK PACKAGES'!$G$2:$G$100,MATCH($A63,'WORK PACKAGES'!$A$2:$A$100,0))),""))</f>
        <v/>
      </c>
      <c r="D63" s="117">
        <f>IF($A63="","",IFERROR(IF(INDEX('WORK PACKAGES'!$E$2:$E$100,MATCH($A63,'WORK PACKAGES'!$A$2:$A$100,0))="","",INDEX('WORK PACKAGES'!$E$2:$E$100,MATCH($A63,'WORK PACKAGES'!$A$2:$A$100,0))),""))</f>
        <v/>
      </c>
      <c r="E63" s="117">
        <f>IF(A63="","",IF(COUNTIFS('PUNCH LIST'!$G$3:$G$464,A63,'PUNCH LIST'!$Q$3:$Q$464,"Open")=0,"",COUNTIFS('PUNCH LIST'!$G$3:$G$464,A63,'PUNCH LIST'!$Q$3:$Q$464,"Open")))</f>
        <v/>
      </c>
      <c r="F63" s="116" t="n"/>
      <c r="G63" s="116" t="n"/>
      <c r="H63" s="116" t="n"/>
      <c r="I63" s="116" t="n"/>
      <c r="J63" s="116" t="n"/>
      <c r="K63" s="116" t="n"/>
      <c r="L63" s="115" t="n"/>
      <c r="M63" s="115" t="n"/>
      <c r="N63" s="117">
        <f>IF($A63="","",IF(ISBLANK(F63),"",IF(TRIM(F63)="--","--",IF(ISNUMBER(F63),IF(F63&gt;=1,"Yes",IF(F63=0,"No","PARTIAL")),"CHECK"))))</f>
        <v/>
      </c>
      <c r="O63" s="117">
        <f>IF($A63="","",IF(ISBLANK(G63),"",IF(TRIM(G63)="--","--",IF(ISNUMBER(G63),IF(G63&gt;=1,"Yes",IF(G63=0,"No","PARTIAL")),"CHECK"))))</f>
        <v/>
      </c>
      <c r="P63" s="117">
        <f>IF($A63="","",IF(ISBLANK(H63),"",IF(TRIM(H63)="--","--",IF(ISNUMBER(H63),IF(H63&gt;=1,"Yes",IF(H63=0,"No","PARTIAL")),"CHECK"))))</f>
        <v/>
      </c>
      <c r="Q63" s="117">
        <f>IF($A63="","",IF(ISBLANK(I63),"",IF(TRIM(I63)="--","--",IF(ISNUMBER(I63),IF(I63&gt;=1,"Yes",IF(I63=0,"No","PARTIAL")),"CHECK"))))</f>
        <v/>
      </c>
      <c r="R63" s="117">
        <f>IF($A63="","",IF(ISBLANK(J63),"",IF(TRIM(J63)="--","--",IF(ISNUMBER(J63),IF(J63&gt;=1,"Yes",IF(J63=0,"No","PARTIAL")),"CHECK"))))</f>
        <v/>
      </c>
      <c r="S63" s="117">
        <f>IF($A63="","",IF(ISBLANK(K63),"",IF(TRIM(K63)="--","--",IF(ISNUMBER(K63),IF(K63&gt;=1,"Yes",IF(K63=0,"No","PARTIAL")),"CHECK"))))</f>
        <v/>
      </c>
      <c r="T63" s="115" t="n"/>
      <c r="U63" s="115" t="n"/>
      <c r="V63" s="117">
        <f>IF($A63="","",IF(COUNTIF(N63:S63,"--")=6,"--",IF(COUNTIF(N63:S63,"Yes")+COUNTIF(N63:S63,"--")=6,"Yes","No")))</f>
        <v/>
      </c>
      <c r="W63" s="115" t="n"/>
      <c r="X63" s="115" t="n"/>
      <c r="Y63" s="115" t="n"/>
      <c r="Z63" s="117">
        <f>IF($A63="","",COUNTIFS('RFI REGISTER'!$D$5:$D$250,$A63,'RFI REGISTER'!$A$5:$A$250,"RFI-*",'RFI REGISTER'!$C$5:$C$250,"&lt;&gt;Closed",'RFI REGISTER'!$C$5:$C$250,"&lt;&gt;Cancelled"))</f>
        <v/>
      </c>
      <c r="AA63" s="117">
        <f>IF($A63="","",COUNTIFS(ISSUES!$P$5:$P$200,"*"&amp;$A63&amp;"*",ISSUES!$H$5:$H$200,"&lt;&gt;Closed",ISSUES!$H$5:$H$200,"&lt;&gt;Resolved",ISSUES!$H$5:$H$200,"&lt;&gt;Cancelled",ISSUES!$H$5:$H$200,"&lt;&gt;",ISSUES!$A$5:$A$200,"&lt;&gt;"))</f>
        <v/>
      </c>
      <c r="AB63" s="115" t="n"/>
      <c r="AC63" s="117">
        <f>IF(A63="","",IF(COUNTIF('WORK PACKAGES'!$A$2:$A$100,A63)=0,"NOT IN WORK PACKAGES",IF(COUNTIF($A$2:$A$100,A63)&gt;1,"DUPLICATE","OK")))</f>
        <v/>
      </c>
    </row>
    <row r="64">
      <c r="A64" s="51" t="n"/>
      <c r="B64" s="117">
        <f>IF($A64="","",IFERROR(IF(INDEX('WORK PACKAGES'!$B$2:$B$100,MATCH($A64,'WORK PACKAGES'!$A$2:$A$100,0))="","",INDEX('WORK PACKAGES'!$B$2:$B$100,MATCH($A64,'WORK PACKAGES'!$A$2:$A$100,0))),""))</f>
        <v/>
      </c>
      <c r="C64" s="117">
        <f>IF($A64="","",IFERROR(IF(INDEX('WORK PACKAGES'!$G$2:$G$100,MATCH($A64,'WORK PACKAGES'!$A$2:$A$100,0))="","",INDEX('WORK PACKAGES'!$G$2:$G$100,MATCH($A64,'WORK PACKAGES'!$A$2:$A$100,0))),""))</f>
        <v/>
      </c>
      <c r="D64" s="117">
        <f>IF($A64="","",IFERROR(IF(INDEX('WORK PACKAGES'!$E$2:$E$100,MATCH($A64,'WORK PACKAGES'!$A$2:$A$100,0))="","",INDEX('WORK PACKAGES'!$E$2:$E$100,MATCH($A64,'WORK PACKAGES'!$A$2:$A$100,0))),""))</f>
        <v/>
      </c>
      <c r="E64" s="117">
        <f>IF(A64="","",IF(COUNTIFS('PUNCH LIST'!$G$3:$G$464,A64,'PUNCH LIST'!$Q$3:$Q$464,"Open")=0,"",COUNTIFS('PUNCH LIST'!$G$3:$G$464,A64,'PUNCH LIST'!$Q$3:$Q$464,"Open")))</f>
        <v/>
      </c>
      <c r="F64" s="116" t="n"/>
      <c r="G64" s="116" t="n"/>
      <c r="H64" s="116" t="n"/>
      <c r="I64" s="116" t="n"/>
      <c r="J64" s="116" t="n"/>
      <c r="K64" s="116" t="n"/>
      <c r="L64" s="115" t="n"/>
      <c r="M64" s="115" t="n"/>
      <c r="N64" s="117">
        <f>IF($A64="","",IF(ISBLANK(F64),"",IF(TRIM(F64)="--","--",IF(ISNUMBER(F64),IF(F64&gt;=1,"Yes",IF(F64=0,"No","PARTIAL")),"CHECK"))))</f>
        <v/>
      </c>
      <c r="O64" s="117">
        <f>IF($A64="","",IF(ISBLANK(G64),"",IF(TRIM(G64)="--","--",IF(ISNUMBER(G64),IF(G64&gt;=1,"Yes",IF(G64=0,"No","PARTIAL")),"CHECK"))))</f>
        <v/>
      </c>
      <c r="P64" s="117">
        <f>IF($A64="","",IF(ISBLANK(H64),"",IF(TRIM(H64)="--","--",IF(ISNUMBER(H64),IF(H64&gt;=1,"Yes",IF(H64=0,"No","PARTIAL")),"CHECK"))))</f>
        <v/>
      </c>
      <c r="Q64" s="117">
        <f>IF($A64="","",IF(ISBLANK(I64),"",IF(TRIM(I64)="--","--",IF(ISNUMBER(I64),IF(I64&gt;=1,"Yes",IF(I64=0,"No","PARTIAL")),"CHECK"))))</f>
        <v/>
      </c>
      <c r="R64" s="117">
        <f>IF($A64="","",IF(ISBLANK(J64),"",IF(TRIM(J64)="--","--",IF(ISNUMBER(J64),IF(J64&gt;=1,"Yes",IF(J64=0,"No","PARTIAL")),"CHECK"))))</f>
        <v/>
      </c>
      <c r="S64" s="117">
        <f>IF($A64="","",IF(ISBLANK(K64),"",IF(TRIM(K64)="--","--",IF(ISNUMBER(K64),IF(K64&gt;=1,"Yes",IF(K64=0,"No","PARTIAL")),"CHECK"))))</f>
        <v/>
      </c>
      <c r="T64" s="115" t="n"/>
      <c r="U64" s="115" t="n"/>
      <c r="V64" s="117">
        <f>IF($A64="","",IF(COUNTIF(N64:S64,"--")=6,"--",IF(COUNTIF(N64:S64,"Yes")+COUNTIF(N64:S64,"--")=6,"Yes","No")))</f>
        <v/>
      </c>
      <c r="W64" s="115" t="n"/>
      <c r="X64" s="115" t="n"/>
      <c r="Y64" s="115" t="n"/>
      <c r="Z64" s="117">
        <f>IF($A64="","",COUNTIFS('RFI REGISTER'!$D$5:$D$250,$A64,'RFI REGISTER'!$A$5:$A$250,"RFI-*",'RFI REGISTER'!$C$5:$C$250,"&lt;&gt;Closed",'RFI REGISTER'!$C$5:$C$250,"&lt;&gt;Cancelled"))</f>
        <v/>
      </c>
      <c r="AA64" s="117">
        <f>IF($A64="","",COUNTIFS(ISSUES!$P$5:$P$200,"*"&amp;$A64&amp;"*",ISSUES!$H$5:$H$200,"&lt;&gt;Closed",ISSUES!$H$5:$H$200,"&lt;&gt;Resolved",ISSUES!$H$5:$H$200,"&lt;&gt;Cancelled",ISSUES!$H$5:$H$200,"&lt;&gt;",ISSUES!$A$5:$A$200,"&lt;&gt;"))</f>
        <v/>
      </c>
      <c r="AB64" s="115" t="n"/>
      <c r="AC64" s="117">
        <f>IF(A64="","",IF(COUNTIF('WORK PACKAGES'!$A$2:$A$100,A64)=0,"NOT IN WORK PACKAGES",IF(COUNTIF($A$2:$A$100,A64)&gt;1,"DUPLICATE","OK")))</f>
        <v/>
      </c>
    </row>
    <row r="65">
      <c r="A65" s="51" t="n"/>
      <c r="B65" s="117">
        <f>IF($A65="","",IFERROR(IF(INDEX('WORK PACKAGES'!$B$2:$B$100,MATCH($A65,'WORK PACKAGES'!$A$2:$A$100,0))="","",INDEX('WORK PACKAGES'!$B$2:$B$100,MATCH($A65,'WORK PACKAGES'!$A$2:$A$100,0))),""))</f>
        <v/>
      </c>
      <c r="C65" s="117">
        <f>IF($A65="","",IFERROR(IF(INDEX('WORK PACKAGES'!$G$2:$G$100,MATCH($A65,'WORK PACKAGES'!$A$2:$A$100,0))="","",INDEX('WORK PACKAGES'!$G$2:$G$100,MATCH($A65,'WORK PACKAGES'!$A$2:$A$100,0))),""))</f>
        <v/>
      </c>
      <c r="D65" s="117">
        <f>IF($A65="","",IFERROR(IF(INDEX('WORK PACKAGES'!$E$2:$E$100,MATCH($A65,'WORK PACKAGES'!$A$2:$A$100,0))="","",INDEX('WORK PACKAGES'!$E$2:$E$100,MATCH($A65,'WORK PACKAGES'!$A$2:$A$100,0))),""))</f>
        <v/>
      </c>
      <c r="E65" s="117">
        <f>IF(A65="","",IF(COUNTIFS('PUNCH LIST'!$G$3:$G$464,A65,'PUNCH LIST'!$Q$3:$Q$464,"Open")=0,"",COUNTIFS('PUNCH LIST'!$G$3:$G$464,A65,'PUNCH LIST'!$Q$3:$Q$464,"Open")))</f>
        <v/>
      </c>
      <c r="F65" s="116" t="n"/>
      <c r="G65" s="116" t="n"/>
      <c r="H65" s="116" t="n"/>
      <c r="I65" s="116" t="n"/>
      <c r="J65" s="116" t="n"/>
      <c r="K65" s="116" t="n"/>
      <c r="L65" s="115" t="n"/>
      <c r="M65" s="115" t="n"/>
      <c r="N65" s="117">
        <f>IF($A65="","",IF(ISBLANK(F65),"",IF(TRIM(F65)="--","--",IF(ISNUMBER(F65),IF(F65&gt;=1,"Yes",IF(F65=0,"No","PARTIAL")),"CHECK"))))</f>
        <v/>
      </c>
      <c r="O65" s="117">
        <f>IF($A65="","",IF(ISBLANK(G65),"",IF(TRIM(G65)="--","--",IF(ISNUMBER(G65),IF(G65&gt;=1,"Yes",IF(G65=0,"No","PARTIAL")),"CHECK"))))</f>
        <v/>
      </c>
      <c r="P65" s="117">
        <f>IF($A65="","",IF(ISBLANK(H65),"",IF(TRIM(H65)="--","--",IF(ISNUMBER(H65),IF(H65&gt;=1,"Yes",IF(H65=0,"No","PARTIAL")),"CHECK"))))</f>
        <v/>
      </c>
      <c r="Q65" s="117">
        <f>IF($A65="","",IF(ISBLANK(I65),"",IF(TRIM(I65)="--","--",IF(ISNUMBER(I65),IF(I65&gt;=1,"Yes",IF(I65=0,"No","PARTIAL")),"CHECK"))))</f>
        <v/>
      </c>
      <c r="R65" s="117">
        <f>IF($A65="","",IF(ISBLANK(J65),"",IF(TRIM(J65)="--","--",IF(ISNUMBER(J65),IF(J65&gt;=1,"Yes",IF(J65=0,"No","PARTIAL")),"CHECK"))))</f>
        <v/>
      </c>
      <c r="S65" s="117">
        <f>IF($A65="","",IF(ISBLANK(K65),"",IF(TRIM(K65)="--","--",IF(ISNUMBER(K65),IF(K65&gt;=1,"Yes",IF(K65=0,"No","PARTIAL")),"CHECK"))))</f>
        <v/>
      </c>
      <c r="T65" s="115" t="n"/>
      <c r="U65" s="115" t="n"/>
      <c r="V65" s="117">
        <f>IF($A65="","",IF(COUNTIF(N65:S65,"--")=6,"--",IF(COUNTIF(N65:S65,"Yes")+COUNTIF(N65:S65,"--")=6,"Yes","No")))</f>
        <v/>
      </c>
      <c r="W65" s="115" t="n"/>
      <c r="X65" s="115" t="n"/>
      <c r="Y65" s="115" t="n"/>
      <c r="Z65" s="117">
        <f>IF($A65="","",COUNTIFS('RFI REGISTER'!$D$5:$D$250,$A65,'RFI REGISTER'!$A$5:$A$250,"RFI-*",'RFI REGISTER'!$C$5:$C$250,"&lt;&gt;Closed",'RFI REGISTER'!$C$5:$C$250,"&lt;&gt;Cancelled"))</f>
        <v/>
      </c>
      <c r="AA65" s="117">
        <f>IF($A65="","",COUNTIFS(ISSUES!$P$5:$P$200,"*"&amp;$A65&amp;"*",ISSUES!$H$5:$H$200,"&lt;&gt;Closed",ISSUES!$H$5:$H$200,"&lt;&gt;Resolved",ISSUES!$H$5:$H$200,"&lt;&gt;Cancelled",ISSUES!$H$5:$H$200,"&lt;&gt;",ISSUES!$A$5:$A$200,"&lt;&gt;"))</f>
        <v/>
      </c>
      <c r="AB65" s="115" t="n"/>
      <c r="AC65" s="117">
        <f>IF(A65="","",IF(COUNTIF('WORK PACKAGES'!$A$2:$A$100,A65)=0,"NOT IN WORK PACKAGES",IF(COUNTIF($A$2:$A$100,A65)&gt;1,"DUPLICATE","OK")))</f>
        <v/>
      </c>
    </row>
    <row r="66">
      <c r="A66" s="51" t="n"/>
      <c r="B66" s="117">
        <f>IF($A66="","",IFERROR(IF(INDEX('WORK PACKAGES'!$B$2:$B$100,MATCH($A66,'WORK PACKAGES'!$A$2:$A$100,0))="","",INDEX('WORK PACKAGES'!$B$2:$B$100,MATCH($A66,'WORK PACKAGES'!$A$2:$A$100,0))),""))</f>
        <v/>
      </c>
      <c r="C66" s="117">
        <f>IF($A66="","",IFERROR(IF(INDEX('WORK PACKAGES'!$G$2:$G$100,MATCH($A66,'WORK PACKAGES'!$A$2:$A$100,0))="","",INDEX('WORK PACKAGES'!$G$2:$G$100,MATCH($A66,'WORK PACKAGES'!$A$2:$A$100,0))),""))</f>
        <v/>
      </c>
      <c r="D66" s="117">
        <f>IF($A66="","",IFERROR(IF(INDEX('WORK PACKAGES'!$E$2:$E$100,MATCH($A66,'WORK PACKAGES'!$A$2:$A$100,0))="","",INDEX('WORK PACKAGES'!$E$2:$E$100,MATCH($A66,'WORK PACKAGES'!$A$2:$A$100,0))),""))</f>
        <v/>
      </c>
      <c r="E66" s="117">
        <f>IF(A66="","",IF(COUNTIFS('PUNCH LIST'!$G$3:$G$464,A66,'PUNCH LIST'!$Q$3:$Q$464,"Open")=0,"",COUNTIFS('PUNCH LIST'!$G$3:$G$464,A66,'PUNCH LIST'!$Q$3:$Q$464,"Open")))</f>
        <v/>
      </c>
      <c r="F66" s="116" t="n"/>
      <c r="G66" s="116" t="n"/>
      <c r="H66" s="116" t="n"/>
      <c r="I66" s="116" t="n"/>
      <c r="J66" s="116" t="n"/>
      <c r="K66" s="116" t="n"/>
      <c r="L66" s="115" t="n"/>
      <c r="M66" s="115" t="n"/>
      <c r="N66" s="117">
        <f>IF($A66="","",IF(ISBLANK(F66),"",IF(TRIM(F66)="--","--",IF(ISNUMBER(F66),IF(F66&gt;=1,"Yes",IF(F66=0,"No","PARTIAL")),"CHECK"))))</f>
        <v/>
      </c>
      <c r="O66" s="117">
        <f>IF($A66="","",IF(ISBLANK(G66),"",IF(TRIM(G66)="--","--",IF(ISNUMBER(G66),IF(G66&gt;=1,"Yes",IF(G66=0,"No","PARTIAL")),"CHECK"))))</f>
        <v/>
      </c>
      <c r="P66" s="117">
        <f>IF($A66="","",IF(ISBLANK(H66),"",IF(TRIM(H66)="--","--",IF(ISNUMBER(H66),IF(H66&gt;=1,"Yes",IF(H66=0,"No","PARTIAL")),"CHECK"))))</f>
        <v/>
      </c>
      <c r="Q66" s="117">
        <f>IF($A66="","",IF(ISBLANK(I66),"",IF(TRIM(I66)="--","--",IF(ISNUMBER(I66),IF(I66&gt;=1,"Yes",IF(I66=0,"No","PARTIAL")),"CHECK"))))</f>
        <v/>
      </c>
      <c r="R66" s="117">
        <f>IF($A66="","",IF(ISBLANK(J66),"",IF(TRIM(J66)="--","--",IF(ISNUMBER(J66),IF(J66&gt;=1,"Yes",IF(J66=0,"No","PARTIAL")),"CHECK"))))</f>
        <v/>
      </c>
      <c r="S66" s="117">
        <f>IF($A66="","",IF(ISBLANK(K66),"",IF(TRIM(K66)="--","--",IF(ISNUMBER(K66),IF(K66&gt;=1,"Yes",IF(K66=0,"No","PARTIAL")),"CHECK"))))</f>
        <v/>
      </c>
      <c r="T66" s="115" t="n"/>
      <c r="U66" s="115" t="n"/>
      <c r="V66" s="117">
        <f>IF($A66="","",IF(COUNTIF(N66:S66,"--")=6,"--",IF(COUNTIF(N66:S66,"Yes")+COUNTIF(N66:S66,"--")=6,"Yes","No")))</f>
        <v/>
      </c>
      <c r="W66" s="115" t="n"/>
      <c r="X66" s="115" t="n"/>
      <c r="Y66" s="115" t="n"/>
      <c r="Z66" s="117">
        <f>IF($A66="","",COUNTIFS('RFI REGISTER'!$D$5:$D$250,$A66,'RFI REGISTER'!$A$5:$A$250,"RFI-*",'RFI REGISTER'!$C$5:$C$250,"&lt;&gt;Closed",'RFI REGISTER'!$C$5:$C$250,"&lt;&gt;Cancelled"))</f>
        <v/>
      </c>
      <c r="AA66" s="117">
        <f>IF($A66="","",COUNTIFS(ISSUES!$P$5:$P$200,"*"&amp;$A66&amp;"*",ISSUES!$H$5:$H$200,"&lt;&gt;Closed",ISSUES!$H$5:$H$200,"&lt;&gt;Resolved",ISSUES!$H$5:$H$200,"&lt;&gt;Cancelled",ISSUES!$H$5:$H$200,"&lt;&gt;",ISSUES!$A$5:$A$200,"&lt;&gt;"))</f>
        <v/>
      </c>
      <c r="AB66" s="115" t="n"/>
      <c r="AC66" s="117">
        <f>IF(A66="","",IF(COUNTIF('WORK PACKAGES'!$A$2:$A$100,A66)=0,"NOT IN WORK PACKAGES",IF(COUNTIF($A$2:$A$100,A66)&gt;1,"DUPLICATE","OK")))</f>
        <v/>
      </c>
    </row>
    <row r="67">
      <c r="A67" s="51" t="n"/>
      <c r="B67" s="117">
        <f>IF($A67="","",IFERROR(IF(INDEX('WORK PACKAGES'!$B$2:$B$100,MATCH($A67,'WORK PACKAGES'!$A$2:$A$100,0))="","",INDEX('WORK PACKAGES'!$B$2:$B$100,MATCH($A67,'WORK PACKAGES'!$A$2:$A$100,0))),""))</f>
        <v/>
      </c>
      <c r="C67" s="117">
        <f>IF($A67="","",IFERROR(IF(INDEX('WORK PACKAGES'!$G$2:$G$100,MATCH($A67,'WORK PACKAGES'!$A$2:$A$100,0))="","",INDEX('WORK PACKAGES'!$G$2:$G$100,MATCH($A67,'WORK PACKAGES'!$A$2:$A$100,0))),""))</f>
        <v/>
      </c>
      <c r="D67" s="117">
        <f>IF($A67="","",IFERROR(IF(INDEX('WORK PACKAGES'!$E$2:$E$100,MATCH($A67,'WORK PACKAGES'!$A$2:$A$100,0))="","",INDEX('WORK PACKAGES'!$E$2:$E$100,MATCH($A67,'WORK PACKAGES'!$A$2:$A$100,0))),""))</f>
        <v/>
      </c>
      <c r="E67" s="117">
        <f>IF(A67="","",IF(COUNTIFS('PUNCH LIST'!$G$3:$G$464,A67,'PUNCH LIST'!$Q$3:$Q$464,"Open")=0,"",COUNTIFS('PUNCH LIST'!$G$3:$G$464,A67,'PUNCH LIST'!$Q$3:$Q$464,"Open")))</f>
        <v/>
      </c>
      <c r="F67" s="116" t="n"/>
      <c r="G67" s="116" t="n"/>
      <c r="H67" s="116" t="n"/>
      <c r="I67" s="116" t="n"/>
      <c r="J67" s="116" t="n"/>
      <c r="K67" s="116" t="n"/>
      <c r="L67" s="115" t="n"/>
      <c r="M67" s="115" t="n"/>
      <c r="N67" s="117">
        <f>IF($A67="","",IF(ISBLANK(F67),"",IF(TRIM(F67)="--","--",IF(ISNUMBER(F67),IF(F67&gt;=1,"Yes",IF(F67=0,"No","PARTIAL")),"CHECK"))))</f>
        <v/>
      </c>
      <c r="O67" s="117">
        <f>IF($A67="","",IF(ISBLANK(G67),"",IF(TRIM(G67)="--","--",IF(ISNUMBER(G67),IF(G67&gt;=1,"Yes",IF(G67=0,"No","PARTIAL")),"CHECK"))))</f>
        <v/>
      </c>
      <c r="P67" s="117">
        <f>IF($A67="","",IF(ISBLANK(H67),"",IF(TRIM(H67)="--","--",IF(ISNUMBER(H67),IF(H67&gt;=1,"Yes",IF(H67=0,"No","PARTIAL")),"CHECK"))))</f>
        <v/>
      </c>
      <c r="Q67" s="117">
        <f>IF($A67="","",IF(ISBLANK(I67),"",IF(TRIM(I67)="--","--",IF(ISNUMBER(I67),IF(I67&gt;=1,"Yes",IF(I67=0,"No","PARTIAL")),"CHECK"))))</f>
        <v/>
      </c>
      <c r="R67" s="117">
        <f>IF($A67="","",IF(ISBLANK(J67),"",IF(TRIM(J67)="--","--",IF(ISNUMBER(J67),IF(J67&gt;=1,"Yes",IF(J67=0,"No","PARTIAL")),"CHECK"))))</f>
        <v/>
      </c>
      <c r="S67" s="117">
        <f>IF($A67="","",IF(ISBLANK(K67),"",IF(TRIM(K67)="--","--",IF(ISNUMBER(K67),IF(K67&gt;=1,"Yes",IF(K67=0,"No","PARTIAL")),"CHECK"))))</f>
        <v/>
      </c>
      <c r="T67" s="115" t="n"/>
      <c r="U67" s="115" t="n"/>
      <c r="V67" s="117">
        <f>IF($A67="","",IF(COUNTIF(N67:S67,"--")=6,"--",IF(COUNTIF(N67:S67,"Yes")+COUNTIF(N67:S67,"--")=6,"Yes","No")))</f>
        <v/>
      </c>
      <c r="W67" s="115" t="n"/>
      <c r="X67" s="115" t="n"/>
      <c r="Y67" s="115" t="n"/>
      <c r="Z67" s="117">
        <f>IF($A67="","",COUNTIFS('RFI REGISTER'!$D$5:$D$250,$A67,'RFI REGISTER'!$A$5:$A$250,"RFI-*",'RFI REGISTER'!$C$5:$C$250,"&lt;&gt;Closed",'RFI REGISTER'!$C$5:$C$250,"&lt;&gt;Cancelled"))</f>
        <v/>
      </c>
      <c r="AA67" s="117">
        <f>IF($A67="","",COUNTIFS(ISSUES!$P$5:$P$200,"*"&amp;$A67&amp;"*",ISSUES!$H$5:$H$200,"&lt;&gt;Closed",ISSUES!$H$5:$H$200,"&lt;&gt;Resolved",ISSUES!$H$5:$H$200,"&lt;&gt;Cancelled",ISSUES!$H$5:$H$200,"&lt;&gt;",ISSUES!$A$5:$A$200,"&lt;&gt;"))</f>
        <v/>
      </c>
      <c r="AB67" s="115" t="n"/>
      <c r="AC67" s="117">
        <f>IF(A67="","",IF(COUNTIF('WORK PACKAGES'!$A$2:$A$100,A67)=0,"NOT IN WORK PACKAGES",IF(COUNTIF($A$2:$A$100,A67)&gt;1,"DUPLICATE","OK")))</f>
        <v/>
      </c>
    </row>
    <row r="68">
      <c r="A68" s="51" t="n"/>
      <c r="B68" s="117">
        <f>IF($A68="","",IFERROR(IF(INDEX('WORK PACKAGES'!$B$2:$B$100,MATCH($A68,'WORK PACKAGES'!$A$2:$A$100,0))="","",INDEX('WORK PACKAGES'!$B$2:$B$100,MATCH($A68,'WORK PACKAGES'!$A$2:$A$100,0))),""))</f>
        <v/>
      </c>
      <c r="C68" s="117">
        <f>IF($A68="","",IFERROR(IF(INDEX('WORK PACKAGES'!$G$2:$G$100,MATCH($A68,'WORK PACKAGES'!$A$2:$A$100,0))="","",INDEX('WORK PACKAGES'!$G$2:$G$100,MATCH($A68,'WORK PACKAGES'!$A$2:$A$100,0))),""))</f>
        <v/>
      </c>
      <c r="D68" s="117">
        <f>IF($A68="","",IFERROR(IF(INDEX('WORK PACKAGES'!$E$2:$E$100,MATCH($A68,'WORK PACKAGES'!$A$2:$A$100,0))="","",INDEX('WORK PACKAGES'!$E$2:$E$100,MATCH($A68,'WORK PACKAGES'!$A$2:$A$100,0))),""))</f>
        <v/>
      </c>
      <c r="E68" s="117">
        <f>IF(A68="","",IF(COUNTIFS('PUNCH LIST'!$G$3:$G$464,A68,'PUNCH LIST'!$Q$3:$Q$464,"Open")=0,"",COUNTIFS('PUNCH LIST'!$G$3:$G$464,A68,'PUNCH LIST'!$Q$3:$Q$464,"Open")))</f>
        <v/>
      </c>
      <c r="F68" s="116" t="n"/>
      <c r="G68" s="116" t="n"/>
      <c r="H68" s="116" t="n"/>
      <c r="I68" s="116" t="n"/>
      <c r="J68" s="116" t="n"/>
      <c r="K68" s="116" t="n"/>
      <c r="L68" s="115" t="n"/>
      <c r="M68" s="115" t="n"/>
      <c r="N68" s="117">
        <f>IF($A68="","",IF(ISBLANK(F68),"",IF(TRIM(F68)="--","--",IF(ISNUMBER(F68),IF(F68&gt;=1,"Yes",IF(F68=0,"No","PARTIAL")),"CHECK"))))</f>
        <v/>
      </c>
      <c r="O68" s="117">
        <f>IF($A68="","",IF(ISBLANK(G68),"",IF(TRIM(G68)="--","--",IF(ISNUMBER(G68),IF(G68&gt;=1,"Yes",IF(G68=0,"No","PARTIAL")),"CHECK"))))</f>
        <v/>
      </c>
      <c r="P68" s="117">
        <f>IF($A68="","",IF(ISBLANK(H68),"",IF(TRIM(H68)="--","--",IF(ISNUMBER(H68),IF(H68&gt;=1,"Yes",IF(H68=0,"No","PARTIAL")),"CHECK"))))</f>
        <v/>
      </c>
      <c r="Q68" s="117">
        <f>IF($A68="","",IF(ISBLANK(I68),"",IF(TRIM(I68)="--","--",IF(ISNUMBER(I68),IF(I68&gt;=1,"Yes",IF(I68=0,"No","PARTIAL")),"CHECK"))))</f>
        <v/>
      </c>
      <c r="R68" s="117">
        <f>IF($A68="","",IF(ISBLANK(J68),"",IF(TRIM(J68)="--","--",IF(ISNUMBER(J68),IF(J68&gt;=1,"Yes",IF(J68=0,"No","PARTIAL")),"CHECK"))))</f>
        <v/>
      </c>
      <c r="S68" s="117">
        <f>IF($A68="","",IF(ISBLANK(K68),"",IF(TRIM(K68)="--","--",IF(ISNUMBER(K68),IF(K68&gt;=1,"Yes",IF(K68=0,"No","PARTIAL")),"CHECK"))))</f>
        <v/>
      </c>
      <c r="T68" s="115" t="n"/>
      <c r="U68" s="115" t="n"/>
      <c r="V68" s="117">
        <f>IF($A68="","",IF(COUNTIF(N68:S68,"--")=6,"--",IF(COUNTIF(N68:S68,"Yes")+COUNTIF(N68:S68,"--")=6,"Yes","No")))</f>
        <v/>
      </c>
      <c r="W68" s="115" t="n"/>
      <c r="X68" s="115" t="n"/>
      <c r="Y68" s="115" t="n"/>
      <c r="Z68" s="117">
        <f>IF($A68="","",COUNTIFS('RFI REGISTER'!$D$5:$D$250,$A68,'RFI REGISTER'!$A$5:$A$250,"RFI-*",'RFI REGISTER'!$C$5:$C$250,"&lt;&gt;Closed",'RFI REGISTER'!$C$5:$C$250,"&lt;&gt;Cancelled"))</f>
        <v/>
      </c>
      <c r="AA68" s="117">
        <f>IF($A68="","",COUNTIFS(ISSUES!$P$5:$P$200,"*"&amp;$A68&amp;"*",ISSUES!$H$5:$H$200,"&lt;&gt;Closed",ISSUES!$H$5:$H$200,"&lt;&gt;Resolved",ISSUES!$H$5:$H$200,"&lt;&gt;Cancelled",ISSUES!$H$5:$H$200,"&lt;&gt;",ISSUES!$A$5:$A$200,"&lt;&gt;"))</f>
        <v/>
      </c>
      <c r="AB68" s="115" t="n"/>
      <c r="AC68" s="117">
        <f>IF(A68="","",IF(COUNTIF('WORK PACKAGES'!$A$2:$A$100,A68)=0,"NOT IN WORK PACKAGES",IF(COUNTIF($A$2:$A$100,A68)&gt;1,"DUPLICATE","OK")))</f>
        <v/>
      </c>
    </row>
    <row r="69">
      <c r="A69" s="51" t="n"/>
      <c r="B69" s="117">
        <f>IF($A69="","",IFERROR(IF(INDEX('WORK PACKAGES'!$B$2:$B$100,MATCH($A69,'WORK PACKAGES'!$A$2:$A$100,0))="","",INDEX('WORK PACKAGES'!$B$2:$B$100,MATCH($A69,'WORK PACKAGES'!$A$2:$A$100,0))),""))</f>
        <v/>
      </c>
      <c r="C69" s="117">
        <f>IF($A69="","",IFERROR(IF(INDEX('WORK PACKAGES'!$G$2:$G$100,MATCH($A69,'WORK PACKAGES'!$A$2:$A$100,0))="","",INDEX('WORK PACKAGES'!$G$2:$G$100,MATCH($A69,'WORK PACKAGES'!$A$2:$A$100,0))),""))</f>
        <v/>
      </c>
      <c r="D69" s="117">
        <f>IF($A69="","",IFERROR(IF(INDEX('WORK PACKAGES'!$E$2:$E$100,MATCH($A69,'WORK PACKAGES'!$A$2:$A$100,0))="","",INDEX('WORK PACKAGES'!$E$2:$E$100,MATCH($A69,'WORK PACKAGES'!$A$2:$A$100,0))),""))</f>
        <v/>
      </c>
      <c r="E69" s="117">
        <f>IF(A69="","",IF(COUNTIFS('PUNCH LIST'!$G$3:$G$464,A69,'PUNCH LIST'!$Q$3:$Q$464,"Open")=0,"",COUNTIFS('PUNCH LIST'!$G$3:$G$464,A69,'PUNCH LIST'!$Q$3:$Q$464,"Open")))</f>
        <v/>
      </c>
      <c r="F69" s="116" t="n"/>
      <c r="G69" s="116" t="n"/>
      <c r="H69" s="116" t="n"/>
      <c r="I69" s="116" t="n"/>
      <c r="J69" s="116" t="n"/>
      <c r="K69" s="116" t="n"/>
      <c r="L69" s="115" t="n"/>
      <c r="M69" s="115" t="n"/>
      <c r="N69" s="117">
        <f>IF($A69="","",IF(ISBLANK(F69),"",IF(TRIM(F69)="--","--",IF(ISNUMBER(F69),IF(F69&gt;=1,"Yes",IF(F69=0,"No","PARTIAL")),"CHECK"))))</f>
        <v/>
      </c>
      <c r="O69" s="117">
        <f>IF($A69="","",IF(ISBLANK(G69),"",IF(TRIM(G69)="--","--",IF(ISNUMBER(G69),IF(G69&gt;=1,"Yes",IF(G69=0,"No","PARTIAL")),"CHECK"))))</f>
        <v/>
      </c>
      <c r="P69" s="117">
        <f>IF($A69="","",IF(ISBLANK(H69),"",IF(TRIM(H69)="--","--",IF(ISNUMBER(H69),IF(H69&gt;=1,"Yes",IF(H69=0,"No","PARTIAL")),"CHECK"))))</f>
        <v/>
      </c>
      <c r="Q69" s="117">
        <f>IF($A69="","",IF(ISBLANK(I69),"",IF(TRIM(I69)="--","--",IF(ISNUMBER(I69),IF(I69&gt;=1,"Yes",IF(I69=0,"No","PARTIAL")),"CHECK"))))</f>
        <v/>
      </c>
      <c r="R69" s="117">
        <f>IF($A69="","",IF(ISBLANK(J69),"",IF(TRIM(J69)="--","--",IF(ISNUMBER(J69),IF(J69&gt;=1,"Yes",IF(J69=0,"No","PARTIAL")),"CHECK"))))</f>
        <v/>
      </c>
      <c r="S69" s="117">
        <f>IF($A69="","",IF(ISBLANK(K69),"",IF(TRIM(K69)="--","--",IF(ISNUMBER(K69),IF(K69&gt;=1,"Yes",IF(K69=0,"No","PARTIAL")),"CHECK"))))</f>
        <v/>
      </c>
      <c r="T69" s="115" t="n"/>
      <c r="U69" s="115" t="n"/>
      <c r="V69" s="117">
        <f>IF($A69="","",IF(COUNTIF(N69:S69,"--")=6,"--",IF(COUNTIF(N69:S69,"Yes")+COUNTIF(N69:S69,"--")=6,"Yes","No")))</f>
        <v/>
      </c>
      <c r="W69" s="115" t="n"/>
      <c r="X69" s="115" t="n"/>
      <c r="Y69" s="115" t="n"/>
      <c r="Z69" s="117">
        <f>IF($A69="","",COUNTIFS('RFI REGISTER'!$D$5:$D$250,$A69,'RFI REGISTER'!$A$5:$A$250,"RFI-*",'RFI REGISTER'!$C$5:$C$250,"&lt;&gt;Closed",'RFI REGISTER'!$C$5:$C$250,"&lt;&gt;Cancelled"))</f>
        <v/>
      </c>
      <c r="AA69" s="117">
        <f>IF($A69="","",COUNTIFS(ISSUES!$P$5:$P$200,"*"&amp;$A69&amp;"*",ISSUES!$H$5:$H$200,"&lt;&gt;Closed",ISSUES!$H$5:$H$200,"&lt;&gt;Resolved",ISSUES!$H$5:$H$200,"&lt;&gt;Cancelled",ISSUES!$H$5:$H$200,"&lt;&gt;",ISSUES!$A$5:$A$200,"&lt;&gt;"))</f>
        <v/>
      </c>
      <c r="AB69" s="115" t="n"/>
      <c r="AC69" s="117">
        <f>IF(A69="","",IF(COUNTIF('WORK PACKAGES'!$A$2:$A$100,A69)=0,"NOT IN WORK PACKAGES",IF(COUNTIF($A$2:$A$100,A69)&gt;1,"DUPLICATE","OK")))</f>
        <v/>
      </c>
    </row>
    <row r="70">
      <c r="A70" s="51" t="n"/>
      <c r="B70" s="117">
        <f>IF($A70="","",IFERROR(IF(INDEX('WORK PACKAGES'!$B$2:$B$100,MATCH($A70,'WORK PACKAGES'!$A$2:$A$100,0))="","",INDEX('WORK PACKAGES'!$B$2:$B$100,MATCH($A70,'WORK PACKAGES'!$A$2:$A$100,0))),""))</f>
        <v/>
      </c>
      <c r="C70" s="117">
        <f>IF($A70="","",IFERROR(IF(INDEX('WORK PACKAGES'!$G$2:$G$100,MATCH($A70,'WORK PACKAGES'!$A$2:$A$100,0))="","",INDEX('WORK PACKAGES'!$G$2:$G$100,MATCH($A70,'WORK PACKAGES'!$A$2:$A$100,0))),""))</f>
        <v/>
      </c>
      <c r="D70" s="117">
        <f>IF($A70="","",IFERROR(IF(INDEX('WORK PACKAGES'!$E$2:$E$100,MATCH($A70,'WORK PACKAGES'!$A$2:$A$100,0))="","",INDEX('WORK PACKAGES'!$E$2:$E$100,MATCH($A70,'WORK PACKAGES'!$A$2:$A$100,0))),""))</f>
        <v/>
      </c>
      <c r="E70" s="117">
        <f>IF(A70="","",IF(COUNTIFS('PUNCH LIST'!$G$3:$G$464,A70,'PUNCH LIST'!$Q$3:$Q$464,"Open")=0,"",COUNTIFS('PUNCH LIST'!$G$3:$G$464,A70,'PUNCH LIST'!$Q$3:$Q$464,"Open")))</f>
        <v/>
      </c>
      <c r="F70" s="116" t="n"/>
      <c r="G70" s="116" t="n"/>
      <c r="H70" s="116" t="n"/>
      <c r="I70" s="116" t="n"/>
      <c r="J70" s="116" t="n"/>
      <c r="K70" s="116" t="n"/>
      <c r="L70" s="115" t="n"/>
      <c r="M70" s="115" t="n"/>
      <c r="N70" s="117">
        <f>IF($A70="","",IF(ISBLANK(F70),"",IF(TRIM(F70)="--","--",IF(ISNUMBER(F70),IF(F70&gt;=1,"Yes",IF(F70=0,"No","PARTIAL")),"CHECK"))))</f>
        <v/>
      </c>
      <c r="O70" s="117">
        <f>IF($A70="","",IF(ISBLANK(G70),"",IF(TRIM(G70)="--","--",IF(ISNUMBER(G70),IF(G70&gt;=1,"Yes",IF(G70=0,"No","PARTIAL")),"CHECK"))))</f>
        <v/>
      </c>
      <c r="P70" s="117">
        <f>IF($A70="","",IF(ISBLANK(H70),"",IF(TRIM(H70)="--","--",IF(ISNUMBER(H70),IF(H70&gt;=1,"Yes",IF(H70=0,"No","PARTIAL")),"CHECK"))))</f>
        <v/>
      </c>
      <c r="Q70" s="117">
        <f>IF($A70="","",IF(ISBLANK(I70),"",IF(TRIM(I70)="--","--",IF(ISNUMBER(I70),IF(I70&gt;=1,"Yes",IF(I70=0,"No","PARTIAL")),"CHECK"))))</f>
        <v/>
      </c>
      <c r="R70" s="117">
        <f>IF($A70="","",IF(ISBLANK(J70),"",IF(TRIM(J70)="--","--",IF(ISNUMBER(J70),IF(J70&gt;=1,"Yes",IF(J70=0,"No","PARTIAL")),"CHECK"))))</f>
        <v/>
      </c>
      <c r="S70" s="117">
        <f>IF($A70="","",IF(ISBLANK(K70),"",IF(TRIM(K70)="--","--",IF(ISNUMBER(K70),IF(K70&gt;=1,"Yes",IF(K70=0,"No","PARTIAL")),"CHECK"))))</f>
        <v/>
      </c>
      <c r="T70" s="115" t="n"/>
      <c r="U70" s="115" t="n"/>
      <c r="V70" s="117">
        <f>IF($A70="","",IF(COUNTIF(N70:S70,"--")=6,"--",IF(COUNTIF(N70:S70,"Yes")+COUNTIF(N70:S70,"--")=6,"Yes","No")))</f>
        <v/>
      </c>
      <c r="W70" s="115" t="n"/>
      <c r="X70" s="115" t="n"/>
      <c r="Y70" s="115" t="n"/>
      <c r="Z70" s="117">
        <f>IF($A70="","",COUNTIFS('RFI REGISTER'!$D$5:$D$250,$A70,'RFI REGISTER'!$A$5:$A$250,"RFI-*",'RFI REGISTER'!$C$5:$C$250,"&lt;&gt;Closed",'RFI REGISTER'!$C$5:$C$250,"&lt;&gt;Cancelled"))</f>
        <v/>
      </c>
      <c r="AA70" s="117">
        <f>IF($A70="","",COUNTIFS(ISSUES!$P$5:$P$200,"*"&amp;$A70&amp;"*",ISSUES!$H$5:$H$200,"&lt;&gt;Closed",ISSUES!$H$5:$H$200,"&lt;&gt;Resolved",ISSUES!$H$5:$H$200,"&lt;&gt;Cancelled",ISSUES!$H$5:$H$200,"&lt;&gt;",ISSUES!$A$5:$A$200,"&lt;&gt;"))</f>
        <v/>
      </c>
      <c r="AB70" s="115" t="n"/>
      <c r="AC70" s="117">
        <f>IF(A70="","",IF(COUNTIF('WORK PACKAGES'!$A$2:$A$100,A70)=0,"NOT IN WORK PACKAGES",IF(COUNTIF($A$2:$A$100,A70)&gt;1,"DUPLICATE","OK")))</f>
        <v/>
      </c>
    </row>
    <row r="71">
      <c r="A71" s="51" t="n"/>
      <c r="B71" s="117">
        <f>IF($A71="","",IFERROR(IF(INDEX('WORK PACKAGES'!$B$2:$B$100,MATCH($A71,'WORK PACKAGES'!$A$2:$A$100,0))="","",INDEX('WORK PACKAGES'!$B$2:$B$100,MATCH($A71,'WORK PACKAGES'!$A$2:$A$100,0))),""))</f>
        <v/>
      </c>
      <c r="C71" s="117">
        <f>IF($A71="","",IFERROR(IF(INDEX('WORK PACKAGES'!$G$2:$G$100,MATCH($A71,'WORK PACKAGES'!$A$2:$A$100,0))="","",INDEX('WORK PACKAGES'!$G$2:$G$100,MATCH($A71,'WORK PACKAGES'!$A$2:$A$100,0))),""))</f>
        <v/>
      </c>
      <c r="D71" s="117">
        <f>IF($A71="","",IFERROR(IF(INDEX('WORK PACKAGES'!$E$2:$E$100,MATCH($A71,'WORK PACKAGES'!$A$2:$A$100,0))="","",INDEX('WORK PACKAGES'!$E$2:$E$100,MATCH($A71,'WORK PACKAGES'!$A$2:$A$100,0))),""))</f>
        <v/>
      </c>
      <c r="E71" s="117">
        <f>IF(A71="","",IF(COUNTIFS('PUNCH LIST'!$G$3:$G$464,A71,'PUNCH LIST'!$Q$3:$Q$464,"Open")=0,"",COUNTIFS('PUNCH LIST'!$G$3:$G$464,A71,'PUNCH LIST'!$Q$3:$Q$464,"Open")))</f>
        <v/>
      </c>
      <c r="F71" s="116" t="n"/>
      <c r="G71" s="116" t="n"/>
      <c r="H71" s="116" t="n"/>
      <c r="I71" s="116" t="n"/>
      <c r="J71" s="116" t="n"/>
      <c r="K71" s="116" t="n"/>
      <c r="L71" s="115" t="n"/>
      <c r="M71" s="115" t="n"/>
      <c r="N71" s="117">
        <f>IF($A71="","",IF(ISBLANK(F71),"",IF(TRIM(F71)="--","--",IF(ISNUMBER(F71),IF(F71&gt;=1,"Yes",IF(F71=0,"No","PARTIAL")),"CHECK"))))</f>
        <v/>
      </c>
      <c r="O71" s="117">
        <f>IF($A71="","",IF(ISBLANK(G71),"",IF(TRIM(G71)="--","--",IF(ISNUMBER(G71),IF(G71&gt;=1,"Yes",IF(G71=0,"No","PARTIAL")),"CHECK"))))</f>
        <v/>
      </c>
      <c r="P71" s="117">
        <f>IF($A71="","",IF(ISBLANK(H71),"",IF(TRIM(H71)="--","--",IF(ISNUMBER(H71),IF(H71&gt;=1,"Yes",IF(H71=0,"No","PARTIAL")),"CHECK"))))</f>
        <v/>
      </c>
      <c r="Q71" s="117">
        <f>IF($A71="","",IF(ISBLANK(I71),"",IF(TRIM(I71)="--","--",IF(ISNUMBER(I71),IF(I71&gt;=1,"Yes",IF(I71=0,"No","PARTIAL")),"CHECK"))))</f>
        <v/>
      </c>
      <c r="R71" s="117">
        <f>IF($A71="","",IF(ISBLANK(J71),"",IF(TRIM(J71)="--","--",IF(ISNUMBER(J71),IF(J71&gt;=1,"Yes",IF(J71=0,"No","PARTIAL")),"CHECK"))))</f>
        <v/>
      </c>
      <c r="S71" s="117">
        <f>IF($A71="","",IF(ISBLANK(K71),"",IF(TRIM(K71)="--","--",IF(ISNUMBER(K71),IF(K71&gt;=1,"Yes",IF(K71=0,"No","PARTIAL")),"CHECK"))))</f>
        <v/>
      </c>
      <c r="T71" s="115" t="n"/>
      <c r="U71" s="115" t="n"/>
      <c r="V71" s="117">
        <f>IF($A71="","",IF(COUNTIF(N71:S71,"--")=6,"--",IF(COUNTIF(N71:S71,"Yes")+COUNTIF(N71:S71,"--")=6,"Yes","No")))</f>
        <v/>
      </c>
      <c r="W71" s="115" t="n"/>
      <c r="X71" s="115" t="n"/>
      <c r="Y71" s="115" t="n"/>
      <c r="Z71" s="117">
        <f>IF($A71="","",COUNTIFS('RFI REGISTER'!$D$5:$D$250,$A71,'RFI REGISTER'!$A$5:$A$250,"RFI-*",'RFI REGISTER'!$C$5:$C$250,"&lt;&gt;Closed",'RFI REGISTER'!$C$5:$C$250,"&lt;&gt;Cancelled"))</f>
        <v/>
      </c>
      <c r="AA71" s="117">
        <f>IF($A71="","",COUNTIFS(ISSUES!$P$5:$P$200,"*"&amp;$A71&amp;"*",ISSUES!$H$5:$H$200,"&lt;&gt;Closed",ISSUES!$H$5:$H$200,"&lt;&gt;Resolved",ISSUES!$H$5:$H$200,"&lt;&gt;Cancelled",ISSUES!$H$5:$H$200,"&lt;&gt;",ISSUES!$A$5:$A$200,"&lt;&gt;"))</f>
        <v/>
      </c>
      <c r="AB71" s="115" t="n"/>
      <c r="AC71" s="117">
        <f>IF(A71="","",IF(COUNTIF('WORK PACKAGES'!$A$2:$A$100,A71)=0,"NOT IN WORK PACKAGES",IF(COUNTIF($A$2:$A$100,A71)&gt;1,"DUPLICATE","OK")))</f>
        <v/>
      </c>
    </row>
    <row r="72">
      <c r="A72" s="51" t="n"/>
      <c r="B72" s="117">
        <f>IF($A72="","",IFERROR(IF(INDEX('WORK PACKAGES'!$B$2:$B$100,MATCH($A72,'WORK PACKAGES'!$A$2:$A$100,0))="","",INDEX('WORK PACKAGES'!$B$2:$B$100,MATCH($A72,'WORK PACKAGES'!$A$2:$A$100,0))),""))</f>
        <v/>
      </c>
      <c r="C72" s="117">
        <f>IF($A72="","",IFERROR(IF(INDEX('WORK PACKAGES'!$G$2:$G$100,MATCH($A72,'WORK PACKAGES'!$A$2:$A$100,0))="","",INDEX('WORK PACKAGES'!$G$2:$G$100,MATCH($A72,'WORK PACKAGES'!$A$2:$A$100,0))),""))</f>
        <v/>
      </c>
      <c r="D72" s="117">
        <f>IF($A72="","",IFERROR(IF(INDEX('WORK PACKAGES'!$E$2:$E$100,MATCH($A72,'WORK PACKAGES'!$A$2:$A$100,0))="","",INDEX('WORK PACKAGES'!$E$2:$E$100,MATCH($A72,'WORK PACKAGES'!$A$2:$A$100,0))),""))</f>
        <v/>
      </c>
      <c r="E72" s="117">
        <f>IF(A72="","",IF(COUNTIFS('PUNCH LIST'!$G$3:$G$464,A72,'PUNCH LIST'!$Q$3:$Q$464,"Open")=0,"",COUNTIFS('PUNCH LIST'!$G$3:$G$464,A72,'PUNCH LIST'!$Q$3:$Q$464,"Open")))</f>
        <v/>
      </c>
      <c r="F72" s="116" t="n"/>
      <c r="G72" s="116" t="n"/>
      <c r="H72" s="116" t="n"/>
      <c r="I72" s="116" t="n"/>
      <c r="J72" s="116" t="n"/>
      <c r="K72" s="116" t="n"/>
      <c r="L72" s="115" t="n"/>
      <c r="M72" s="115" t="n"/>
      <c r="N72" s="117">
        <f>IF($A72="","",IF(ISBLANK(F72),"",IF(TRIM(F72)="--","--",IF(ISNUMBER(F72),IF(F72&gt;=1,"Yes",IF(F72=0,"No","PARTIAL")),"CHECK"))))</f>
        <v/>
      </c>
      <c r="O72" s="117">
        <f>IF($A72="","",IF(ISBLANK(G72),"",IF(TRIM(G72)="--","--",IF(ISNUMBER(G72),IF(G72&gt;=1,"Yes",IF(G72=0,"No","PARTIAL")),"CHECK"))))</f>
        <v/>
      </c>
      <c r="P72" s="117">
        <f>IF($A72="","",IF(ISBLANK(H72),"",IF(TRIM(H72)="--","--",IF(ISNUMBER(H72),IF(H72&gt;=1,"Yes",IF(H72=0,"No","PARTIAL")),"CHECK"))))</f>
        <v/>
      </c>
      <c r="Q72" s="117">
        <f>IF($A72="","",IF(ISBLANK(I72),"",IF(TRIM(I72)="--","--",IF(ISNUMBER(I72),IF(I72&gt;=1,"Yes",IF(I72=0,"No","PARTIAL")),"CHECK"))))</f>
        <v/>
      </c>
      <c r="R72" s="117">
        <f>IF($A72="","",IF(ISBLANK(J72),"",IF(TRIM(J72)="--","--",IF(ISNUMBER(J72),IF(J72&gt;=1,"Yes",IF(J72=0,"No","PARTIAL")),"CHECK"))))</f>
        <v/>
      </c>
      <c r="S72" s="117">
        <f>IF($A72="","",IF(ISBLANK(K72),"",IF(TRIM(K72)="--","--",IF(ISNUMBER(K72),IF(K72&gt;=1,"Yes",IF(K72=0,"No","PARTIAL")),"CHECK"))))</f>
        <v/>
      </c>
      <c r="T72" s="115" t="n"/>
      <c r="U72" s="115" t="n"/>
      <c r="V72" s="117">
        <f>IF($A72="","",IF(COUNTIF(N72:S72,"--")=6,"--",IF(COUNTIF(N72:S72,"Yes")+COUNTIF(N72:S72,"--")=6,"Yes","No")))</f>
        <v/>
      </c>
      <c r="W72" s="115" t="n"/>
      <c r="X72" s="115" t="n"/>
      <c r="Y72" s="115" t="n"/>
      <c r="Z72" s="117">
        <f>IF($A72="","",COUNTIFS('RFI REGISTER'!$D$5:$D$250,$A72,'RFI REGISTER'!$A$5:$A$250,"RFI-*",'RFI REGISTER'!$C$5:$C$250,"&lt;&gt;Closed",'RFI REGISTER'!$C$5:$C$250,"&lt;&gt;Cancelled"))</f>
        <v/>
      </c>
      <c r="AA72" s="117">
        <f>IF($A72="","",COUNTIFS(ISSUES!$P$5:$P$200,"*"&amp;$A72&amp;"*",ISSUES!$H$5:$H$200,"&lt;&gt;Closed",ISSUES!$H$5:$H$200,"&lt;&gt;Resolved",ISSUES!$H$5:$H$200,"&lt;&gt;Cancelled",ISSUES!$H$5:$H$200,"&lt;&gt;",ISSUES!$A$5:$A$200,"&lt;&gt;"))</f>
        <v/>
      </c>
      <c r="AB72" s="115" t="n"/>
      <c r="AC72" s="117">
        <f>IF(A72="","",IF(COUNTIF('WORK PACKAGES'!$A$2:$A$100,A72)=0,"NOT IN WORK PACKAGES",IF(COUNTIF($A$2:$A$100,A72)&gt;1,"DUPLICATE","OK")))</f>
        <v/>
      </c>
    </row>
    <row r="73">
      <c r="A73" s="51" t="n"/>
      <c r="B73" s="117">
        <f>IF($A73="","",IFERROR(IF(INDEX('WORK PACKAGES'!$B$2:$B$100,MATCH($A73,'WORK PACKAGES'!$A$2:$A$100,0))="","",INDEX('WORK PACKAGES'!$B$2:$B$100,MATCH($A73,'WORK PACKAGES'!$A$2:$A$100,0))),""))</f>
        <v/>
      </c>
      <c r="C73" s="117">
        <f>IF($A73="","",IFERROR(IF(INDEX('WORK PACKAGES'!$G$2:$G$100,MATCH($A73,'WORK PACKAGES'!$A$2:$A$100,0))="","",INDEX('WORK PACKAGES'!$G$2:$G$100,MATCH($A73,'WORK PACKAGES'!$A$2:$A$100,0))),""))</f>
        <v/>
      </c>
      <c r="D73" s="117">
        <f>IF($A73="","",IFERROR(IF(INDEX('WORK PACKAGES'!$E$2:$E$100,MATCH($A73,'WORK PACKAGES'!$A$2:$A$100,0))="","",INDEX('WORK PACKAGES'!$E$2:$E$100,MATCH($A73,'WORK PACKAGES'!$A$2:$A$100,0))),""))</f>
        <v/>
      </c>
      <c r="E73" s="117">
        <f>IF(A73="","",IF(COUNTIFS('PUNCH LIST'!$G$3:$G$464,A73,'PUNCH LIST'!$Q$3:$Q$464,"Open")=0,"",COUNTIFS('PUNCH LIST'!$G$3:$G$464,A73,'PUNCH LIST'!$Q$3:$Q$464,"Open")))</f>
        <v/>
      </c>
      <c r="F73" s="116" t="n"/>
      <c r="G73" s="116" t="n"/>
      <c r="H73" s="116" t="n"/>
      <c r="I73" s="116" t="n"/>
      <c r="J73" s="116" t="n"/>
      <c r="K73" s="116" t="n"/>
      <c r="L73" s="115" t="n"/>
      <c r="M73" s="115" t="n"/>
      <c r="N73" s="117">
        <f>IF($A73="","",IF(ISBLANK(F73),"",IF(TRIM(F73)="--","--",IF(ISNUMBER(F73),IF(F73&gt;=1,"Yes",IF(F73=0,"No","PARTIAL")),"CHECK"))))</f>
        <v/>
      </c>
      <c r="O73" s="117">
        <f>IF($A73="","",IF(ISBLANK(G73),"",IF(TRIM(G73)="--","--",IF(ISNUMBER(G73),IF(G73&gt;=1,"Yes",IF(G73=0,"No","PARTIAL")),"CHECK"))))</f>
        <v/>
      </c>
      <c r="P73" s="117">
        <f>IF($A73="","",IF(ISBLANK(H73),"",IF(TRIM(H73)="--","--",IF(ISNUMBER(H73),IF(H73&gt;=1,"Yes",IF(H73=0,"No","PARTIAL")),"CHECK"))))</f>
        <v/>
      </c>
      <c r="Q73" s="117">
        <f>IF($A73="","",IF(ISBLANK(I73),"",IF(TRIM(I73)="--","--",IF(ISNUMBER(I73),IF(I73&gt;=1,"Yes",IF(I73=0,"No","PARTIAL")),"CHECK"))))</f>
        <v/>
      </c>
      <c r="R73" s="117">
        <f>IF($A73="","",IF(ISBLANK(J73),"",IF(TRIM(J73)="--","--",IF(ISNUMBER(J73),IF(J73&gt;=1,"Yes",IF(J73=0,"No","PARTIAL")),"CHECK"))))</f>
        <v/>
      </c>
      <c r="S73" s="117">
        <f>IF($A73="","",IF(ISBLANK(K73),"",IF(TRIM(K73)="--","--",IF(ISNUMBER(K73),IF(K73&gt;=1,"Yes",IF(K73=0,"No","PARTIAL")),"CHECK"))))</f>
        <v/>
      </c>
      <c r="T73" s="115" t="n"/>
      <c r="U73" s="115" t="n"/>
      <c r="V73" s="117">
        <f>IF($A73="","",IF(COUNTIF(N73:S73,"--")=6,"--",IF(COUNTIF(N73:S73,"Yes")+COUNTIF(N73:S73,"--")=6,"Yes","No")))</f>
        <v/>
      </c>
      <c r="W73" s="115" t="n"/>
      <c r="X73" s="115" t="n"/>
      <c r="Y73" s="115" t="n"/>
      <c r="Z73" s="117">
        <f>IF($A73="","",COUNTIFS('RFI REGISTER'!$D$5:$D$250,$A73,'RFI REGISTER'!$A$5:$A$250,"RFI-*",'RFI REGISTER'!$C$5:$C$250,"&lt;&gt;Closed",'RFI REGISTER'!$C$5:$C$250,"&lt;&gt;Cancelled"))</f>
        <v/>
      </c>
      <c r="AA73" s="117">
        <f>IF($A73="","",COUNTIFS(ISSUES!$P$5:$P$200,"*"&amp;$A73&amp;"*",ISSUES!$H$5:$H$200,"&lt;&gt;Closed",ISSUES!$H$5:$H$200,"&lt;&gt;Resolved",ISSUES!$H$5:$H$200,"&lt;&gt;Cancelled",ISSUES!$H$5:$H$200,"&lt;&gt;",ISSUES!$A$5:$A$200,"&lt;&gt;"))</f>
        <v/>
      </c>
      <c r="AB73" s="115" t="n"/>
      <c r="AC73" s="117">
        <f>IF(A73="","",IF(COUNTIF('WORK PACKAGES'!$A$2:$A$100,A73)=0,"NOT IN WORK PACKAGES",IF(COUNTIF($A$2:$A$100,A73)&gt;1,"DUPLICATE","OK")))</f>
        <v/>
      </c>
    </row>
    <row r="74">
      <c r="A74" s="51" t="n"/>
      <c r="B74" s="117">
        <f>IF($A74="","",IFERROR(IF(INDEX('WORK PACKAGES'!$B$2:$B$100,MATCH($A74,'WORK PACKAGES'!$A$2:$A$100,0))="","",INDEX('WORK PACKAGES'!$B$2:$B$100,MATCH($A74,'WORK PACKAGES'!$A$2:$A$100,0))),""))</f>
        <v/>
      </c>
      <c r="C74" s="117">
        <f>IF($A74="","",IFERROR(IF(INDEX('WORK PACKAGES'!$G$2:$G$100,MATCH($A74,'WORK PACKAGES'!$A$2:$A$100,0))="","",INDEX('WORK PACKAGES'!$G$2:$G$100,MATCH($A74,'WORK PACKAGES'!$A$2:$A$100,0))),""))</f>
        <v/>
      </c>
      <c r="D74" s="117">
        <f>IF($A74="","",IFERROR(IF(INDEX('WORK PACKAGES'!$E$2:$E$100,MATCH($A74,'WORK PACKAGES'!$A$2:$A$100,0))="","",INDEX('WORK PACKAGES'!$E$2:$E$100,MATCH($A74,'WORK PACKAGES'!$A$2:$A$100,0))),""))</f>
        <v/>
      </c>
      <c r="E74" s="117">
        <f>IF(A74="","",IF(COUNTIFS('PUNCH LIST'!$G$3:$G$464,A74,'PUNCH LIST'!$Q$3:$Q$464,"Open")=0,"",COUNTIFS('PUNCH LIST'!$G$3:$G$464,A74,'PUNCH LIST'!$Q$3:$Q$464,"Open")))</f>
        <v/>
      </c>
      <c r="F74" s="116" t="n"/>
      <c r="G74" s="116" t="n"/>
      <c r="H74" s="116" t="n"/>
      <c r="I74" s="116" t="n"/>
      <c r="J74" s="116" t="n"/>
      <c r="K74" s="116" t="n"/>
      <c r="L74" s="115" t="n"/>
      <c r="M74" s="115" t="n"/>
      <c r="N74" s="117">
        <f>IF($A74="","",IF(ISBLANK(F74),"",IF(TRIM(F74)="--","--",IF(ISNUMBER(F74),IF(F74&gt;=1,"Yes",IF(F74=0,"No","PARTIAL")),"CHECK"))))</f>
        <v/>
      </c>
      <c r="O74" s="117">
        <f>IF($A74="","",IF(ISBLANK(G74),"",IF(TRIM(G74)="--","--",IF(ISNUMBER(G74),IF(G74&gt;=1,"Yes",IF(G74=0,"No","PARTIAL")),"CHECK"))))</f>
        <v/>
      </c>
      <c r="P74" s="117">
        <f>IF($A74="","",IF(ISBLANK(H74),"",IF(TRIM(H74)="--","--",IF(ISNUMBER(H74),IF(H74&gt;=1,"Yes",IF(H74=0,"No","PARTIAL")),"CHECK"))))</f>
        <v/>
      </c>
      <c r="Q74" s="117">
        <f>IF($A74="","",IF(ISBLANK(I74),"",IF(TRIM(I74)="--","--",IF(ISNUMBER(I74),IF(I74&gt;=1,"Yes",IF(I74=0,"No","PARTIAL")),"CHECK"))))</f>
        <v/>
      </c>
      <c r="R74" s="117">
        <f>IF($A74="","",IF(ISBLANK(J74),"",IF(TRIM(J74)="--","--",IF(ISNUMBER(J74),IF(J74&gt;=1,"Yes",IF(J74=0,"No","PARTIAL")),"CHECK"))))</f>
        <v/>
      </c>
      <c r="S74" s="117">
        <f>IF($A74="","",IF(ISBLANK(K74),"",IF(TRIM(K74)="--","--",IF(ISNUMBER(K74),IF(K74&gt;=1,"Yes",IF(K74=0,"No","PARTIAL")),"CHECK"))))</f>
        <v/>
      </c>
      <c r="T74" s="115" t="n"/>
      <c r="U74" s="115" t="n"/>
      <c r="V74" s="117">
        <f>IF($A74="","",IF(COUNTIF(N74:S74,"--")=6,"--",IF(COUNTIF(N74:S74,"Yes")+COUNTIF(N74:S74,"--")=6,"Yes","No")))</f>
        <v/>
      </c>
      <c r="W74" s="115" t="n"/>
      <c r="X74" s="115" t="n"/>
      <c r="Y74" s="115" t="n"/>
      <c r="Z74" s="117">
        <f>IF($A74="","",COUNTIFS('RFI REGISTER'!$D$5:$D$250,$A74,'RFI REGISTER'!$A$5:$A$250,"RFI-*",'RFI REGISTER'!$C$5:$C$250,"&lt;&gt;Closed",'RFI REGISTER'!$C$5:$C$250,"&lt;&gt;Cancelled"))</f>
        <v/>
      </c>
      <c r="AA74" s="117">
        <f>IF($A74="","",COUNTIFS(ISSUES!$P$5:$P$200,"*"&amp;$A74&amp;"*",ISSUES!$H$5:$H$200,"&lt;&gt;Closed",ISSUES!$H$5:$H$200,"&lt;&gt;Resolved",ISSUES!$H$5:$H$200,"&lt;&gt;Cancelled",ISSUES!$H$5:$H$200,"&lt;&gt;",ISSUES!$A$5:$A$200,"&lt;&gt;"))</f>
        <v/>
      </c>
      <c r="AB74" s="115" t="n"/>
      <c r="AC74" s="117">
        <f>IF(A74="","",IF(COUNTIF('WORK PACKAGES'!$A$2:$A$100,A74)=0,"NOT IN WORK PACKAGES",IF(COUNTIF($A$2:$A$100,A74)&gt;1,"DUPLICATE","OK")))</f>
        <v/>
      </c>
    </row>
    <row r="75">
      <c r="A75" s="51" t="n"/>
      <c r="B75" s="117">
        <f>IF($A75="","",IFERROR(IF(INDEX('WORK PACKAGES'!$B$2:$B$100,MATCH($A75,'WORK PACKAGES'!$A$2:$A$100,0))="","",INDEX('WORK PACKAGES'!$B$2:$B$100,MATCH($A75,'WORK PACKAGES'!$A$2:$A$100,0))),""))</f>
        <v/>
      </c>
      <c r="C75" s="117">
        <f>IF($A75="","",IFERROR(IF(INDEX('WORK PACKAGES'!$G$2:$G$100,MATCH($A75,'WORK PACKAGES'!$A$2:$A$100,0))="","",INDEX('WORK PACKAGES'!$G$2:$G$100,MATCH($A75,'WORK PACKAGES'!$A$2:$A$100,0))),""))</f>
        <v/>
      </c>
      <c r="D75" s="117">
        <f>IF($A75="","",IFERROR(IF(INDEX('WORK PACKAGES'!$E$2:$E$100,MATCH($A75,'WORK PACKAGES'!$A$2:$A$100,0))="","",INDEX('WORK PACKAGES'!$E$2:$E$100,MATCH($A75,'WORK PACKAGES'!$A$2:$A$100,0))),""))</f>
        <v/>
      </c>
      <c r="E75" s="117">
        <f>IF(A75="","",IF(COUNTIFS('PUNCH LIST'!$G$3:$G$464,A75,'PUNCH LIST'!$Q$3:$Q$464,"Open")=0,"",COUNTIFS('PUNCH LIST'!$G$3:$G$464,A75,'PUNCH LIST'!$Q$3:$Q$464,"Open")))</f>
        <v/>
      </c>
      <c r="F75" s="116" t="n"/>
      <c r="G75" s="116" t="n"/>
      <c r="H75" s="116" t="n"/>
      <c r="I75" s="116" t="n"/>
      <c r="J75" s="116" t="n"/>
      <c r="K75" s="116" t="n"/>
      <c r="L75" s="115" t="n"/>
      <c r="M75" s="115" t="n"/>
      <c r="N75" s="117">
        <f>IF($A75="","",IF(ISBLANK(F75),"",IF(TRIM(F75)="--","--",IF(ISNUMBER(F75),IF(F75&gt;=1,"Yes",IF(F75=0,"No","PARTIAL")),"CHECK"))))</f>
        <v/>
      </c>
      <c r="O75" s="117">
        <f>IF($A75="","",IF(ISBLANK(G75),"",IF(TRIM(G75)="--","--",IF(ISNUMBER(G75),IF(G75&gt;=1,"Yes",IF(G75=0,"No","PARTIAL")),"CHECK"))))</f>
        <v/>
      </c>
      <c r="P75" s="117">
        <f>IF($A75="","",IF(ISBLANK(H75),"",IF(TRIM(H75)="--","--",IF(ISNUMBER(H75),IF(H75&gt;=1,"Yes",IF(H75=0,"No","PARTIAL")),"CHECK"))))</f>
        <v/>
      </c>
      <c r="Q75" s="117">
        <f>IF($A75="","",IF(ISBLANK(I75),"",IF(TRIM(I75)="--","--",IF(ISNUMBER(I75),IF(I75&gt;=1,"Yes",IF(I75=0,"No","PARTIAL")),"CHECK"))))</f>
        <v/>
      </c>
      <c r="R75" s="117">
        <f>IF($A75="","",IF(ISBLANK(J75),"",IF(TRIM(J75)="--","--",IF(ISNUMBER(J75),IF(J75&gt;=1,"Yes",IF(J75=0,"No","PARTIAL")),"CHECK"))))</f>
        <v/>
      </c>
      <c r="S75" s="117">
        <f>IF($A75="","",IF(ISBLANK(K75),"",IF(TRIM(K75)="--","--",IF(ISNUMBER(K75),IF(K75&gt;=1,"Yes",IF(K75=0,"No","PARTIAL")),"CHECK"))))</f>
        <v/>
      </c>
      <c r="T75" s="115" t="n"/>
      <c r="U75" s="115" t="n"/>
      <c r="V75" s="117">
        <f>IF($A75="","",IF(COUNTIF(N75:S75,"--")=6,"--",IF(COUNTIF(N75:S75,"Yes")+COUNTIF(N75:S75,"--")=6,"Yes","No")))</f>
        <v/>
      </c>
      <c r="W75" s="115" t="n"/>
      <c r="X75" s="115" t="n"/>
      <c r="Y75" s="115" t="n"/>
      <c r="Z75" s="117">
        <f>IF($A75="","",COUNTIFS('RFI REGISTER'!$D$5:$D$250,$A75,'RFI REGISTER'!$A$5:$A$250,"RFI-*",'RFI REGISTER'!$C$5:$C$250,"&lt;&gt;Closed",'RFI REGISTER'!$C$5:$C$250,"&lt;&gt;Cancelled"))</f>
        <v/>
      </c>
      <c r="AA75" s="117">
        <f>IF($A75="","",COUNTIFS(ISSUES!$P$5:$P$200,"*"&amp;$A75&amp;"*",ISSUES!$H$5:$H$200,"&lt;&gt;Closed",ISSUES!$H$5:$H$200,"&lt;&gt;Resolved",ISSUES!$H$5:$H$200,"&lt;&gt;Cancelled",ISSUES!$H$5:$H$200,"&lt;&gt;",ISSUES!$A$5:$A$200,"&lt;&gt;"))</f>
        <v/>
      </c>
      <c r="AB75" s="115" t="n"/>
      <c r="AC75" s="117">
        <f>IF(A75="","",IF(COUNTIF('WORK PACKAGES'!$A$2:$A$100,A75)=0,"NOT IN WORK PACKAGES",IF(COUNTIF($A$2:$A$100,A75)&gt;1,"DUPLICATE","OK")))</f>
        <v/>
      </c>
    </row>
    <row r="76">
      <c r="A76" s="51" t="n"/>
      <c r="B76" s="117">
        <f>IF($A76="","",IFERROR(IF(INDEX('WORK PACKAGES'!$B$2:$B$100,MATCH($A76,'WORK PACKAGES'!$A$2:$A$100,0))="","",INDEX('WORK PACKAGES'!$B$2:$B$100,MATCH($A76,'WORK PACKAGES'!$A$2:$A$100,0))),""))</f>
        <v/>
      </c>
      <c r="C76" s="117">
        <f>IF($A76="","",IFERROR(IF(INDEX('WORK PACKAGES'!$G$2:$G$100,MATCH($A76,'WORK PACKAGES'!$A$2:$A$100,0))="","",INDEX('WORK PACKAGES'!$G$2:$G$100,MATCH($A76,'WORK PACKAGES'!$A$2:$A$100,0))),""))</f>
        <v/>
      </c>
      <c r="D76" s="117">
        <f>IF($A76="","",IFERROR(IF(INDEX('WORK PACKAGES'!$E$2:$E$100,MATCH($A76,'WORK PACKAGES'!$A$2:$A$100,0))="","",INDEX('WORK PACKAGES'!$E$2:$E$100,MATCH($A76,'WORK PACKAGES'!$A$2:$A$100,0))),""))</f>
        <v/>
      </c>
      <c r="E76" s="117">
        <f>IF(A76="","",IF(COUNTIFS('PUNCH LIST'!$G$3:$G$464,A76,'PUNCH LIST'!$Q$3:$Q$464,"Open")=0,"",COUNTIFS('PUNCH LIST'!$G$3:$G$464,A76,'PUNCH LIST'!$Q$3:$Q$464,"Open")))</f>
        <v/>
      </c>
      <c r="F76" s="116" t="n"/>
      <c r="G76" s="116" t="n"/>
      <c r="H76" s="116" t="n"/>
      <c r="I76" s="116" t="n"/>
      <c r="J76" s="116" t="n"/>
      <c r="K76" s="116" t="n"/>
      <c r="L76" s="115" t="n"/>
      <c r="M76" s="115" t="n"/>
      <c r="N76" s="117">
        <f>IF($A76="","",IF(ISBLANK(F76),"",IF(TRIM(F76)="--","--",IF(ISNUMBER(F76),IF(F76&gt;=1,"Yes",IF(F76=0,"No","PARTIAL")),"CHECK"))))</f>
        <v/>
      </c>
      <c r="O76" s="117">
        <f>IF($A76="","",IF(ISBLANK(G76),"",IF(TRIM(G76)="--","--",IF(ISNUMBER(G76),IF(G76&gt;=1,"Yes",IF(G76=0,"No","PARTIAL")),"CHECK"))))</f>
        <v/>
      </c>
      <c r="P76" s="117">
        <f>IF($A76="","",IF(ISBLANK(H76),"",IF(TRIM(H76)="--","--",IF(ISNUMBER(H76),IF(H76&gt;=1,"Yes",IF(H76=0,"No","PARTIAL")),"CHECK"))))</f>
        <v/>
      </c>
      <c r="Q76" s="117">
        <f>IF($A76="","",IF(ISBLANK(I76),"",IF(TRIM(I76)="--","--",IF(ISNUMBER(I76),IF(I76&gt;=1,"Yes",IF(I76=0,"No","PARTIAL")),"CHECK"))))</f>
        <v/>
      </c>
      <c r="R76" s="117">
        <f>IF($A76="","",IF(ISBLANK(J76),"",IF(TRIM(J76)="--","--",IF(ISNUMBER(J76),IF(J76&gt;=1,"Yes",IF(J76=0,"No","PARTIAL")),"CHECK"))))</f>
        <v/>
      </c>
      <c r="S76" s="117">
        <f>IF($A76="","",IF(ISBLANK(K76),"",IF(TRIM(K76)="--","--",IF(ISNUMBER(K76),IF(K76&gt;=1,"Yes",IF(K76=0,"No","PARTIAL")),"CHECK"))))</f>
        <v/>
      </c>
      <c r="T76" s="115" t="n"/>
      <c r="U76" s="115" t="n"/>
      <c r="V76" s="117">
        <f>IF($A76="","",IF(COUNTIF(N76:S76,"--")=6,"--",IF(COUNTIF(N76:S76,"Yes")+COUNTIF(N76:S76,"--")=6,"Yes","No")))</f>
        <v/>
      </c>
      <c r="W76" s="115" t="n"/>
      <c r="X76" s="115" t="n"/>
      <c r="Y76" s="115" t="n"/>
      <c r="Z76" s="117">
        <f>IF($A76="","",COUNTIFS('RFI REGISTER'!$D$5:$D$250,$A76,'RFI REGISTER'!$A$5:$A$250,"RFI-*",'RFI REGISTER'!$C$5:$C$250,"&lt;&gt;Closed",'RFI REGISTER'!$C$5:$C$250,"&lt;&gt;Cancelled"))</f>
        <v/>
      </c>
      <c r="AA76" s="117">
        <f>IF($A76="","",COUNTIFS(ISSUES!$P$5:$P$200,"*"&amp;$A76&amp;"*",ISSUES!$H$5:$H$200,"&lt;&gt;Closed",ISSUES!$H$5:$H$200,"&lt;&gt;Resolved",ISSUES!$H$5:$H$200,"&lt;&gt;Cancelled",ISSUES!$H$5:$H$200,"&lt;&gt;",ISSUES!$A$5:$A$200,"&lt;&gt;"))</f>
        <v/>
      </c>
      <c r="AB76" s="115" t="n"/>
      <c r="AC76" s="117">
        <f>IF(A76="","",IF(COUNTIF('WORK PACKAGES'!$A$2:$A$100,A76)=0,"NOT IN WORK PACKAGES",IF(COUNTIF($A$2:$A$100,A76)&gt;1,"DUPLICATE","OK")))</f>
        <v/>
      </c>
    </row>
    <row r="77">
      <c r="A77" s="51" t="n"/>
      <c r="B77" s="117">
        <f>IF($A77="","",IFERROR(IF(INDEX('WORK PACKAGES'!$B$2:$B$100,MATCH($A77,'WORK PACKAGES'!$A$2:$A$100,0))="","",INDEX('WORK PACKAGES'!$B$2:$B$100,MATCH($A77,'WORK PACKAGES'!$A$2:$A$100,0))),""))</f>
        <v/>
      </c>
      <c r="C77" s="117">
        <f>IF($A77="","",IFERROR(IF(INDEX('WORK PACKAGES'!$G$2:$G$100,MATCH($A77,'WORK PACKAGES'!$A$2:$A$100,0))="","",INDEX('WORK PACKAGES'!$G$2:$G$100,MATCH($A77,'WORK PACKAGES'!$A$2:$A$100,0))),""))</f>
        <v/>
      </c>
      <c r="D77" s="117">
        <f>IF($A77="","",IFERROR(IF(INDEX('WORK PACKAGES'!$E$2:$E$100,MATCH($A77,'WORK PACKAGES'!$A$2:$A$100,0))="","",INDEX('WORK PACKAGES'!$E$2:$E$100,MATCH($A77,'WORK PACKAGES'!$A$2:$A$100,0))),""))</f>
        <v/>
      </c>
      <c r="E77" s="117">
        <f>IF(A77="","",IF(COUNTIFS('PUNCH LIST'!$G$3:$G$464,A77,'PUNCH LIST'!$Q$3:$Q$464,"Open")=0,"",COUNTIFS('PUNCH LIST'!$G$3:$G$464,A77,'PUNCH LIST'!$Q$3:$Q$464,"Open")))</f>
        <v/>
      </c>
      <c r="F77" s="116" t="n"/>
      <c r="G77" s="116" t="n"/>
      <c r="H77" s="116" t="n"/>
      <c r="I77" s="116" t="n"/>
      <c r="J77" s="116" t="n"/>
      <c r="K77" s="116" t="n"/>
      <c r="L77" s="115" t="n"/>
      <c r="M77" s="115" t="n"/>
      <c r="N77" s="117">
        <f>IF($A77="","",IF(ISBLANK(F77),"",IF(TRIM(F77)="--","--",IF(ISNUMBER(F77),IF(F77&gt;=1,"Yes",IF(F77=0,"No","PARTIAL")),"CHECK"))))</f>
        <v/>
      </c>
      <c r="O77" s="117">
        <f>IF($A77="","",IF(ISBLANK(G77),"",IF(TRIM(G77)="--","--",IF(ISNUMBER(G77),IF(G77&gt;=1,"Yes",IF(G77=0,"No","PARTIAL")),"CHECK"))))</f>
        <v/>
      </c>
      <c r="P77" s="117">
        <f>IF($A77="","",IF(ISBLANK(H77),"",IF(TRIM(H77)="--","--",IF(ISNUMBER(H77),IF(H77&gt;=1,"Yes",IF(H77=0,"No","PARTIAL")),"CHECK"))))</f>
        <v/>
      </c>
      <c r="Q77" s="117">
        <f>IF($A77="","",IF(ISBLANK(I77),"",IF(TRIM(I77)="--","--",IF(ISNUMBER(I77),IF(I77&gt;=1,"Yes",IF(I77=0,"No","PARTIAL")),"CHECK"))))</f>
        <v/>
      </c>
      <c r="R77" s="117">
        <f>IF($A77="","",IF(ISBLANK(J77),"",IF(TRIM(J77)="--","--",IF(ISNUMBER(J77),IF(J77&gt;=1,"Yes",IF(J77=0,"No","PARTIAL")),"CHECK"))))</f>
        <v/>
      </c>
      <c r="S77" s="117">
        <f>IF($A77="","",IF(ISBLANK(K77),"",IF(TRIM(K77)="--","--",IF(ISNUMBER(K77),IF(K77&gt;=1,"Yes",IF(K77=0,"No","PARTIAL")),"CHECK"))))</f>
        <v/>
      </c>
      <c r="T77" s="115" t="n"/>
      <c r="U77" s="115" t="n"/>
      <c r="V77" s="117">
        <f>IF($A77="","",IF(COUNTIF(N77:S77,"--")=6,"--",IF(COUNTIF(N77:S77,"Yes")+COUNTIF(N77:S77,"--")=6,"Yes","No")))</f>
        <v/>
      </c>
      <c r="W77" s="115" t="n"/>
      <c r="X77" s="115" t="n"/>
      <c r="Y77" s="115" t="n"/>
      <c r="Z77" s="117">
        <f>IF($A77="","",COUNTIFS('RFI REGISTER'!$D$5:$D$250,$A77,'RFI REGISTER'!$A$5:$A$250,"RFI-*",'RFI REGISTER'!$C$5:$C$250,"&lt;&gt;Closed",'RFI REGISTER'!$C$5:$C$250,"&lt;&gt;Cancelled"))</f>
        <v/>
      </c>
      <c r="AA77" s="117">
        <f>IF($A77="","",COUNTIFS(ISSUES!$P$5:$P$200,"*"&amp;$A77&amp;"*",ISSUES!$H$5:$H$200,"&lt;&gt;Closed",ISSUES!$H$5:$H$200,"&lt;&gt;Resolved",ISSUES!$H$5:$H$200,"&lt;&gt;Cancelled",ISSUES!$H$5:$H$200,"&lt;&gt;",ISSUES!$A$5:$A$200,"&lt;&gt;"))</f>
        <v/>
      </c>
      <c r="AB77" s="115" t="n"/>
      <c r="AC77" s="117">
        <f>IF(A77="","",IF(COUNTIF('WORK PACKAGES'!$A$2:$A$100,A77)=0,"NOT IN WORK PACKAGES",IF(COUNTIF($A$2:$A$100,A77)&gt;1,"DUPLICATE","OK")))</f>
        <v/>
      </c>
    </row>
    <row r="78">
      <c r="A78" s="51" t="n"/>
      <c r="B78" s="117">
        <f>IF($A78="","",IFERROR(IF(INDEX('WORK PACKAGES'!$B$2:$B$100,MATCH($A78,'WORK PACKAGES'!$A$2:$A$100,0))="","",INDEX('WORK PACKAGES'!$B$2:$B$100,MATCH($A78,'WORK PACKAGES'!$A$2:$A$100,0))),""))</f>
        <v/>
      </c>
      <c r="C78" s="117">
        <f>IF($A78="","",IFERROR(IF(INDEX('WORK PACKAGES'!$G$2:$G$100,MATCH($A78,'WORK PACKAGES'!$A$2:$A$100,0))="","",INDEX('WORK PACKAGES'!$G$2:$G$100,MATCH($A78,'WORK PACKAGES'!$A$2:$A$100,0))),""))</f>
        <v/>
      </c>
      <c r="D78" s="117">
        <f>IF($A78="","",IFERROR(IF(INDEX('WORK PACKAGES'!$E$2:$E$100,MATCH($A78,'WORK PACKAGES'!$A$2:$A$100,0))="","",INDEX('WORK PACKAGES'!$E$2:$E$100,MATCH($A78,'WORK PACKAGES'!$A$2:$A$100,0))),""))</f>
        <v/>
      </c>
      <c r="E78" s="117">
        <f>IF(A78="","",IF(COUNTIFS('PUNCH LIST'!$G$3:$G$464,A78,'PUNCH LIST'!$Q$3:$Q$464,"Open")=0,"",COUNTIFS('PUNCH LIST'!$G$3:$G$464,A78,'PUNCH LIST'!$Q$3:$Q$464,"Open")))</f>
        <v/>
      </c>
      <c r="F78" s="116" t="n"/>
      <c r="G78" s="116" t="n"/>
      <c r="H78" s="116" t="n"/>
      <c r="I78" s="116" t="n"/>
      <c r="J78" s="116" t="n"/>
      <c r="K78" s="116" t="n"/>
      <c r="L78" s="115" t="n"/>
      <c r="M78" s="115" t="n"/>
      <c r="N78" s="117">
        <f>IF($A78="","",IF(ISBLANK(F78),"",IF(TRIM(F78)="--","--",IF(ISNUMBER(F78),IF(F78&gt;=1,"Yes",IF(F78=0,"No","PARTIAL")),"CHECK"))))</f>
        <v/>
      </c>
      <c r="O78" s="117">
        <f>IF($A78="","",IF(ISBLANK(G78),"",IF(TRIM(G78)="--","--",IF(ISNUMBER(G78),IF(G78&gt;=1,"Yes",IF(G78=0,"No","PARTIAL")),"CHECK"))))</f>
        <v/>
      </c>
      <c r="P78" s="117">
        <f>IF($A78="","",IF(ISBLANK(H78),"",IF(TRIM(H78)="--","--",IF(ISNUMBER(H78),IF(H78&gt;=1,"Yes",IF(H78=0,"No","PARTIAL")),"CHECK"))))</f>
        <v/>
      </c>
      <c r="Q78" s="117">
        <f>IF($A78="","",IF(ISBLANK(I78),"",IF(TRIM(I78)="--","--",IF(ISNUMBER(I78),IF(I78&gt;=1,"Yes",IF(I78=0,"No","PARTIAL")),"CHECK"))))</f>
        <v/>
      </c>
      <c r="R78" s="117">
        <f>IF($A78="","",IF(ISBLANK(J78),"",IF(TRIM(J78)="--","--",IF(ISNUMBER(J78),IF(J78&gt;=1,"Yes",IF(J78=0,"No","PARTIAL")),"CHECK"))))</f>
        <v/>
      </c>
      <c r="S78" s="117">
        <f>IF($A78="","",IF(ISBLANK(K78),"",IF(TRIM(K78)="--","--",IF(ISNUMBER(K78),IF(K78&gt;=1,"Yes",IF(K78=0,"No","PARTIAL")),"CHECK"))))</f>
        <v/>
      </c>
      <c r="T78" s="115" t="n"/>
      <c r="U78" s="115" t="n"/>
      <c r="V78" s="117">
        <f>IF($A78="","",IF(COUNTIF(N78:S78,"--")=6,"--",IF(COUNTIF(N78:S78,"Yes")+COUNTIF(N78:S78,"--")=6,"Yes","No")))</f>
        <v/>
      </c>
      <c r="W78" s="115" t="n"/>
      <c r="X78" s="115" t="n"/>
      <c r="Y78" s="115" t="n"/>
      <c r="Z78" s="117">
        <f>IF($A78="","",COUNTIFS('RFI REGISTER'!$D$5:$D$250,$A78,'RFI REGISTER'!$A$5:$A$250,"RFI-*",'RFI REGISTER'!$C$5:$C$250,"&lt;&gt;Closed",'RFI REGISTER'!$C$5:$C$250,"&lt;&gt;Cancelled"))</f>
        <v/>
      </c>
      <c r="AA78" s="117">
        <f>IF($A78="","",COUNTIFS(ISSUES!$P$5:$P$200,"*"&amp;$A78&amp;"*",ISSUES!$H$5:$H$200,"&lt;&gt;Closed",ISSUES!$H$5:$H$200,"&lt;&gt;Resolved",ISSUES!$H$5:$H$200,"&lt;&gt;Cancelled",ISSUES!$H$5:$H$200,"&lt;&gt;",ISSUES!$A$5:$A$200,"&lt;&gt;"))</f>
        <v/>
      </c>
      <c r="AB78" s="115" t="n"/>
      <c r="AC78" s="117">
        <f>IF(A78="","",IF(COUNTIF('WORK PACKAGES'!$A$2:$A$100,A78)=0,"NOT IN WORK PACKAGES",IF(COUNTIF($A$2:$A$100,A78)&gt;1,"DUPLICATE","OK")))</f>
        <v/>
      </c>
    </row>
    <row r="79">
      <c r="A79" s="51" t="n"/>
      <c r="B79" s="117">
        <f>IF($A79="","",IFERROR(IF(INDEX('WORK PACKAGES'!$B$2:$B$100,MATCH($A79,'WORK PACKAGES'!$A$2:$A$100,0))="","",INDEX('WORK PACKAGES'!$B$2:$B$100,MATCH($A79,'WORK PACKAGES'!$A$2:$A$100,0))),""))</f>
        <v/>
      </c>
      <c r="C79" s="117">
        <f>IF($A79="","",IFERROR(IF(INDEX('WORK PACKAGES'!$G$2:$G$100,MATCH($A79,'WORK PACKAGES'!$A$2:$A$100,0))="","",INDEX('WORK PACKAGES'!$G$2:$G$100,MATCH($A79,'WORK PACKAGES'!$A$2:$A$100,0))),""))</f>
        <v/>
      </c>
      <c r="D79" s="117">
        <f>IF($A79="","",IFERROR(IF(INDEX('WORK PACKAGES'!$E$2:$E$100,MATCH($A79,'WORK PACKAGES'!$A$2:$A$100,0))="","",INDEX('WORK PACKAGES'!$E$2:$E$100,MATCH($A79,'WORK PACKAGES'!$A$2:$A$100,0))),""))</f>
        <v/>
      </c>
      <c r="E79" s="117">
        <f>IF(A79="","",IF(COUNTIFS('PUNCH LIST'!$G$3:$G$464,A79,'PUNCH LIST'!$Q$3:$Q$464,"Open")=0,"",COUNTIFS('PUNCH LIST'!$G$3:$G$464,A79,'PUNCH LIST'!$Q$3:$Q$464,"Open")))</f>
        <v/>
      </c>
      <c r="F79" s="116" t="n"/>
      <c r="G79" s="116" t="n"/>
      <c r="H79" s="116" t="n"/>
      <c r="I79" s="116" t="n"/>
      <c r="J79" s="116" t="n"/>
      <c r="K79" s="116" t="n"/>
      <c r="L79" s="115" t="n"/>
      <c r="M79" s="115" t="n"/>
      <c r="N79" s="117">
        <f>IF($A79="","",IF(ISBLANK(F79),"",IF(TRIM(F79)="--","--",IF(ISNUMBER(F79),IF(F79&gt;=1,"Yes",IF(F79=0,"No","PARTIAL")),"CHECK"))))</f>
        <v/>
      </c>
      <c r="O79" s="117">
        <f>IF($A79="","",IF(ISBLANK(G79),"",IF(TRIM(G79)="--","--",IF(ISNUMBER(G79),IF(G79&gt;=1,"Yes",IF(G79=0,"No","PARTIAL")),"CHECK"))))</f>
        <v/>
      </c>
      <c r="P79" s="117">
        <f>IF($A79="","",IF(ISBLANK(H79),"",IF(TRIM(H79)="--","--",IF(ISNUMBER(H79),IF(H79&gt;=1,"Yes",IF(H79=0,"No","PARTIAL")),"CHECK"))))</f>
        <v/>
      </c>
      <c r="Q79" s="117">
        <f>IF($A79="","",IF(ISBLANK(I79),"",IF(TRIM(I79)="--","--",IF(ISNUMBER(I79),IF(I79&gt;=1,"Yes",IF(I79=0,"No","PARTIAL")),"CHECK"))))</f>
        <v/>
      </c>
      <c r="R79" s="117">
        <f>IF($A79="","",IF(ISBLANK(J79),"",IF(TRIM(J79)="--","--",IF(ISNUMBER(J79),IF(J79&gt;=1,"Yes",IF(J79=0,"No","PARTIAL")),"CHECK"))))</f>
        <v/>
      </c>
      <c r="S79" s="117">
        <f>IF($A79="","",IF(ISBLANK(K79),"",IF(TRIM(K79)="--","--",IF(ISNUMBER(K79),IF(K79&gt;=1,"Yes",IF(K79=0,"No","PARTIAL")),"CHECK"))))</f>
        <v/>
      </c>
      <c r="T79" s="115" t="n"/>
      <c r="U79" s="115" t="n"/>
      <c r="V79" s="117">
        <f>IF($A79="","",IF(COUNTIF(N79:S79,"--")=6,"--",IF(COUNTIF(N79:S79,"Yes")+COUNTIF(N79:S79,"--")=6,"Yes","No")))</f>
        <v/>
      </c>
      <c r="W79" s="115" t="n"/>
      <c r="X79" s="115" t="n"/>
      <c r="Y79" s="115" t="n"/>
      <c r="Z79" s="117">
        <f>IF($A79="","",COUNTIFS('RFI REGISTER'!$D$5:$D$250,$A79,'RFI REGISTER'!$A$5:$A$250,"RFI-*",'RFI REGISTER'!$C$5:$C$250,"&lt;&gt;Closed",'RFI REGISTER'!$C$5:$C$250,"&lt;&gt;Cancelled"))</f>
        <v/>
      </c>
      <c r="AA79" s="117">
        <f>IF($A79="","",COUNTIFS(ISSUES!$P$5:$P$200,"*"&amp;$A79&amp;"*",ISSUES!$H$5:$H$200,"&lt;&gt;Closed",ISSUES!$H$5:$H$200,"&lt;&gt;Resolved",ISSUES!$H$5:$H$200,"&lt;&gt;Cancelled",ISSUES!$H$5:$H$200,"&lt;&gt;",ISSUES!$A$5:$A$200,"&lt;&gt;"))</f>
        <v/>
      </c>
      <c r="AB79" s="115" t="n"/>
      <c r="AC79" s="117">
        <f>IF(A79="","",IF(COUNTIF('WORK PACKAGES'!$A$2:$A$100,A79)=0,"NOT IN WORK PACKAGES",IF(COUNTIF($A$2:$A$100,A79)&gt;1,"DUPLICATE","OK")))</f>
        <v/>
      </c>
    </row>
    <row r="80">
      <c r="A80" s="51" t="n"/>
      <c r="B80" s="117">
        <f>IF($A80="","",IFERROR(IF(INDEX('WORK PACKAGES'!$B$2:$B$100,MATCH($A80,'WORK PACKAGES'!$A$2:$A$100,0))="","",INDEX('WORK PACKAGES'!$B$2:$B$100,MATCH($A80,'WORK PACKAGES'!$A$2:$A$100,0))),""))</f>
        <v/>
      </c>
      <c r="C80" s="117">
        <f>IF($A80="","",IFERROR(IF(INDEX('WORK PACKAGES'!$G$2:$G$100,MATCH($A80,'WORK PACKAGES'!$A$2:$A$100,0))="","",INDEX('WORK PACKAGES'!$G$2:$G$100,MATCH($A80,'WORK PACKAGES'!$A$2:$A$100,0))),""))</f>
        <v/>
      </c>
      <c r="D80" s="117">
        <f>IF($A80="","",IFERROR(IF(INDEX('WORK PACKAGES'!$E$2:$E$100,MATCH($A80,'WORK PACKAGES'!$A$2:$A$100,0))="","",INDEX('WORK PACKAGES'!$E$2:$E$100,MATCH($A80,'WORK PACKAGES'!$A$2:$A$100,0))),""))</f>
        <v/>
      </c>
      <c r="E80" s="117">
        <f>IF(A80="","",IF(COUNTIFS('PUNCH LIST'!$G$3:$G$464,A80,'PUNCH LIST'!$Q$3:$Q$464,"Open")=0,"",COUNTIFS('PUNCH LIST'!$G$3:$G$464,A80,'PUNCH LIST'!$Q$3:$Q$464,"Open")))</f>
        <v/>
      </c>
      <c r="F80" s="116" t="n"/>
      <c r="G80" s="116" t="n"/>
      <c r="H80" s="116" t="n"/>
      <c r="I80" s="116" t="n"/>
      <c r="J80" s="116" t="n"/>
      <c r="K80" s="116" t="n"/>
      <c r="L80" s="115" t="n"/>
      <c r="M80" s="115" t="n"/>
      <c r="N80" s="117">
        <f>IF($A80="","",IF(ISBLANK(F80),"",IF(TRIM(F80)="--","--",IF(ISNUMBER(F80),IF(F80&gt;=1,"Yes",IF(F80=0,"No","PARTIAL")),"CHECK"))))</f>
        <v/>
      </c>
      <c r="O80" s="117">
        <f>IF($A80="","",IF(ISBLANK(G80),"",IF(TRIM(G80)="--","--",IF(ISNUMBER(G80),IF(G80&gt;=1,"Yes",IF(G80=0,"No","PARTIAL")),"CHECK"))))</f>
        <v/>
      </c>
      <c r="P80" s="117">
        <f>IF($A80="","",IF(ISBLANK(H80),"",IF(TRIM(H80)="--","--",IF(ISNUMBER(H80),IF(H80&gt;=1,"Yes",IF(H80=0,"No","PARTIAL")),"CHECK"))))</f>
        <v/>
      </c>
      <c r="Q80" s="117">
        <f>IF($A80="","",IF(ISBLANK(I80),"",IF(TRIM(I80)="--","--",IF(ISNUMBER(I80),IF(I80&gt;=1,"Yes",IF(I80=0,"No","PARTIAL")),"CHECK"))))</f>
        <v/>
      </c>
      <c r="R80" s="117">
        <f>IF($A80="","",IF(ISBLANK(J80),"",IF(TRIM(J80)="--","--",IF(ISNUMBER(J80),IF(J80&gt;=1,"Yes",IF(J80=0,"No","PARTIAL")),"CHECK"))))</f>
        <v/>
      </c>
      <c r="S80" s="117">
        <f>IF($A80="","",IF(ISBLANK(K80),"",IF(TRIM(K80)="--","--",IF(ISNUMBER(K80),IF(K80&gt;=1,"Yes",IF(K80=0,"No","PARTIAL")),"CHECK"))))</f>
        <v/>
      </c>
      <c r="T80" s="115" t="n"/>
      <c r="U80" s="115" t="n"/>
      <c r="V80" s="117">
        <f>IF($A80="","",IF(COUNTIF(N80:S80,"--")=6,"--",IF(COUNTIF(N80:S80,"Yes")+COUNTIF(N80:S80,"--")=6,"Yes","No")))</f>
        <v/>
      </c>
      <c r="W80" s="115" t="n"/>
      <c r="X80" s="115" t="n"/>
      <c r="Y80" s="115" t="n"/>
      <c r="Z80" s="117">
        <f>IF($A80="","",COUNTIFS('RFI REGISTER'!$D$5:$D$250,$A80,'RFI REGISTER'!$A$5:$A$250,"RFI-*",'RFI REGISTER'!$C$5:$C$250,"&lt;&gt;Closed",'RFI REGISTER'!$C$5:$C$250,"&lt;&gt;Cancelled"))</f>
        <v/>
      </c>
      <c r="AA80" s="117">
        <f>IF($A80="","",COUNTIFS(ISSUES!$P$5:$P$200,"*"&amp;$A80&amp;"*",ISSUES!$H$5:$H$200,"&lt;&gt;Closed",ISSUES!$H$5:$H$200,"&lt;&gt;Resolved",ISSUES!$H$5:$H$200,"&lt;&gt;Cancelled",ISSUES!$H$5:$H$200,"&lt;&gt;",ISSUES!$A$5:$A$200,"&lt;&gt;"))</f>
        <v/>
      </c>
      <c r="AB80" s="115" t="n"/>
      <c r="AC80" s="117">
        <f>IF(A80="","",IF(COUNTIF('WORK PACKAGES'!$A$2:$A$100,A80)=0,"NOT IN WORK PACKAGES",IF(COUNTIF($A$2:$A$100,A80)&gt;1,"DUPLICATE","OK")))</f>
        <v/>
      </c>
    </row>
    <row r="81">
      <c r="A81" s="51" t="n"/>
      <c r="B81" s="117">
        <f>IF($A81="","",IFERROR(IF(INDEX('WORK PACKAGES'!$B$2:$B$100,MATCH($A81,'WORK PACKAGES'!$A$2:$A$100,0))="","",INDEX('WORK PACKAGES'!$B$2:$B$100,MATCH($A81,'WORK PACKAGES'!$A$2:$A$100,0))),""))</f>
        <v/>
      </c>
      <c r="C81" s="117">
        <f>IF($A81="","",IFERROR(IF(INDEX('WORK PACKAGES'!$G$2:$G$100,MATCH($A81,'WORK PACKAGES'!$A$2:$A$100,0))="","",INDEX('WORK PACKAGES'!$G$2:$G$100,MATCH($A81,'WORK PACKAGES'!$A$2:$A$100,0))),""))</f>
        <v/>
      </c>
      <c r="D81" s="117">
        <f>IF($A81="","",IFERROR(IF(INDEX('WORK PACKAGES'!$E$2:$E$100,MATCH($A81,'WORK PACKAGES'!$A$2:$A$100,0))="","",INDEX('WORK PACKAGES'!$E$2:$E$100,MATCH($A81,'WORK PACKAGES'!$A$2:$A$100,0))),""))</f>
        <v/>
      </c>
      <c r="E81" s="117">
        <f>IF(A81="","",IF(COUNTIFS('PUNCH LIST'!$G$3:$G$464,A81,'PUNCH LIST'!$Q$3:$Q$464,"Open")=0,"",COUNTIFS('PUNCH LIST'!$G$3:$G$464,A81,'PUNCH LIST'!$Q$3:$Q$464,"Open")))</f>
        <v/>
      </c>
      <c r="F81" s="116" t="n"/>
      <c r="G81" s="116" t="n"/>
      <c r="H81" s="116" t="n"/>
      <c r="I81" s="116" t="n"/>
      <c r="J81" s="116" t="n"/>
      <c r="K81" s="116" t="n"/>
      <c r="L81" s="115" t="n"/>
      <c r="M81" s="115" t="n"/>
      <c r="N81" s="117">
        <f>IF($A81="","",IF(ISBLANK(F81),"",IF(TRIM(F81)="--","--",IF(ISNUMBER(F81),IF(F81&gt;=1,"Yes",IF(F81=0,"No","PARTIAL")),"CHECK"))))</f>
        <v/>
      </c>
      <c r="O81" s="117">
        <f>IF($A81="","",IF(ISBLANK(G81),"",IF(TRIM(G81)="--","--",IF(ISNUMBER(G81),IF(G81&gt;=1,"Yes",IF(G81=0,"No","PARTIAL")),"CHECK"))))</f>
        <v/>
      </c>
      <c r="P81" s="117">
        <f>IF($A81="","",IF(ISBLANK(H81),"",IF(TRIM(H81)="--","--",IF(ISNUMBER(H81),IF(H81&gt;=1,"Yes",IF(H81=0,"No","PARTIAL")),"CHECK"))))</f>
        <v/>
      </c>
      <c r="Q81" s="117">
        <f>IF($A81="","",IF(ISBLANK(I81),"",IF(TRIM(I81)="--","--",IF(ISNUMBER(I81),IF(I81&gt;=1,"Yes",IF(I81=0,"No","PARTIAL")),"CHECK"))))</f>
        <v/>
      </c>
      <c r="R81" s="117">
        <f>IF($A81="","",IF(ISBLANK(J81),"",IF(TRIM(J81)="--","--",IF(ISNUMBER(J81),IF(J81&gt;=1,"Yes",IF(J81=0,"No","PARTIAL")),"CHECK"))))</f>
        <v/>
      </c>
      <c r="S81" s="117">
        <f>IF($A81="","",IF(ISBLANK(K81),"",IF(TRIM(K81)="--","--",IF(ISNUMBER(K81),IF(K81&gt;=1,"Yes",IF(K81=0,"No","PARTIAL")),"CHECK"))))</f>
        <v/>
      </c>
      <c r="T81" s="115" t="n"/>
      <c r="U81" s="115" t="n"/>
      <c r="V81" s="117">
        <f>IF($A81="","",IF(COUNTIF(N81:S81,"--")=6,"--",IF(COUNTIF(N81:S81,"Yes")+COUNTIF(N81:S81,"--")=6,"Yes","No")))</f>
        <v/>
      </c>
      <c r="W81" s="115" t="n"/>
      <c r="X81" s="115" t="n"/>
      <c r="Y81" s="115" t="n"/>
      <c r="Z81" s="117">
        <f>IF($A81="","",COUNTIFS('RFI REGISTER'!$D$5:$D$250,$A81,'RFI REGISTER'!$A$5:$A$250,"RFI-*",'RFI REGISTER'!$C$5:$C$250,"&lt;&gt;Closed",'RFI REGISTER'!$C$5:$C$250,"&lt;&gt;Cancelled"))</f>
        <v/>
      </c>
      <c r="AA81" s="117">
        <f>IF($A81="","",COUNTIFS(ISSUES!$P$5:$P$200,"*"&amp;$A81&amp;"*",ISSUES!$H$5:$H$200,"&lt;&gt;Closed",ISSUES!$H$5:$H$200,"&lt;&gt;Resolved",ISSUES!$H$5:$H$200,"&lt;&gt;Cancelled",ISSUES!$H$5:$H$200,"&lt;&gt;",ISSUES!$A$5:$A$200,"&lt;&gt;"))</f>
        <v/>
      </c>
      <c r="AB81" s="115" t="n"/>
      <c r="AC81" s="117">
        <f>IF(A81="","",IF(COUNTIF('WORK PACKAGES'!$A$2:$A$100,A81)=0,"NOT IN WORK PACKAGES",IF(COUNTIF($A$2:$A$100,A81)&gt;1,"DUPLICATE","OK")))</f>
        <v/>
      </c>
    </row>
    <row r="82">
      <c r="A82" s="51" t="n"/>
      <c r="B82" s="117">
        <f>IF($A82="","",IFERROR(IF(INDEX('WORK PACKAGES'!$B$2:$B$100,MATCH($A82,'WORK PACKAGES'!$A$2:$A$100,0))="","",INDEX('WORK PACKAGES'!$B$2:$B$100,MATCH($A82,'WORK PACKAGES'!$A$2:$A$100,0))),""))</f>
        <v/>
      </c>
      <c r="C82" s="117">
        <f>IF($A82="","",IFERROR(IF(INDEX('WORK PACKAGES'!$G$2:$G$100,MATCH($A82,'WORK PACKAGES'!$A$2:$A$100,0))="","",INDEX('WORK PACKAGES'!$G$2:$G$100,MATCH($A82,'WORK PACKAGES'!$A$2:$A$100,0))),""))</f>
        <v/>
      </c>
      <c r="D82" s="117">
        <f>IF($A82="","",IFERROR(IF(INDEX('WORK PACKAGES'!$E$2:$E$100,MATCH($A82,'WORK PACKAGES'!$A$2:$A$100,0))="","",INDEX('WORK PACKAGES'!$E$2:$E$100,MATCH($A82,'WORK PACKAGES'!$A$2:$A$100,0))),""))</f>
        <v/>
      </c>
      <c r="E82" s="117">
        <f>IF(A82="","",IF(COUNTIFS('PUNCH LIST'!$G$3:$G$464,A82,'PUNCH LIST'!$Q$3:$Q$464,"Open")=0,"",COUNTIFS('PUNCH LIST'!$G$3:$G$464,A82,'PUNCH LIST'!$Q$3:$Q$464,"Open")))</f>
        <v/>
      </c>
      <c r="F82" s="116" t="n"/>
      <c r="G82" s="116" t="n"/>
      <c r="H82" s="116" t="n"/>
      <c r="I82" s="116" t="n"/>
      <c r="J82" s="116" t="n"/>
      <c r="K82" s="116" t="n"/>
      <c r="L82" s="115" t="n"/>
      <c r="M82" s="115" t="n"/>
      <c r="N82" s="117">
        <f>IF($A82="","",IF(ISBLANK(F82),"",IF(TRIM(F82)="--","--",IF(ISNUMBER(F82),IF(F82&gt;=1,"Yes",IF(F82=0,"No","PARTIAL")),"CHECK"))))</f>
        <v/>
      </c>
      <c r="O82" s="117">
        <f>IF($A82="","",IF(ISBLANK(G82),"",IF(TRIM(G82)="--","--",IF(ISNUMBER(G82),IF(G82&gt;=1,"Yes",IF(G82=0,"No","PARTIAL")),"CHECK"))))</f>
        <v/>
      </c>
      <c r="P82" s="117">
        <f>IF($A82="","",IF(ISBLANK(H82),"",IF(TRIM(H82)="--","--",IF(ISNUMBER(H82),IF(H82&gt;=1,"Yes",IF(H82=0,"No","PARTIAL")),"CHECK"))))</f>
        <v/>
      </c>
      <c r="Q82" s="117">
        <f>IF($A82="","",IF(ISBLANK(I82),"",IF(TRIM(I82)="--","--",IF(ISNUMBER(I82),IF(I82&gt;=1,"Yes",IF(I82=0,"No","PARTIAL")),"CHECK"))))</f>
        <v/>
      </c>
      <c r="R82" s="117">
        <f>IF($A82="","",IF(ISBLANK(J82),"",IF(TRIM(J82)="--","--",IF(ISNUMBER(J82),IF(J82&gt;=1,"Yes",IF(J82=0,"No","PARTIAL")),"CHECK"))))</f>
        <v/>
      </c>
      <c r="S82" s="117">
        <f>IF($A82="","",IF(ISBLANK(K82),"",IF(TRIM(K82)="--","--",IF(ISNUMBER(K82),IF(K82&gt;=1,"Yes",IF(K82=0,"No","PARTIAL")),"CHECK"))))</f>
        <v/>
      </c>
      <c r="T82" s="115" t="n"/>
      <c r="U82" s="115" t="n"/>
      <c r="V82" s="117">
        <f>IF($A82="","",IF(COUNTIF(N82:S82,"--")=6,"--",IF(COUNTIF(N82:S82,"Yes")+COUNTIF(N82:S82,"--")=6,"Yes","No")))</f>
        <v/>
      </c>
      <c r="W82" s="115" t="n"/>
      <c r="X82" s="115" t="n"/>
      <c r="Y82" s="115" t="n"/>
      <c r="Z82" s="117">
        <f>IF($A82="","",COUNTIFS('RFI REGISTER'!$D$5:$D$250,$A82,'RFI REGISTER'!$A$5:$A$250,"RFI-*",'RFI REGISTER'!$C$5:$C$250,"&lt;&gt;Closed",'RFI REGISTER'!$C$5:$C$250,"&lt;&gt;Cancelled"))</f>
        <v/>
      </c>
      <c r="AA82" s="117">
        <f>IF($A82="","",COUNTIFS(ISSUES!$P$5:$P$200,"*"&amp;$A82&amp;"*",ISSUES!$H$5:$H$200,"&lt;&gt;Closed",ISSUES!$H$5:$H$200,"&lt;&gt;Resolved",ISSUES!$H$5:$H$200,"&lt;&gt;Cancelled",ISSUES!$H$5:$H$200,"&lt;&gt;",ISSUES!$A$5:$A$200,"&lt;&gt;"))</f>
        <v/>
      </c>
      <c r="AB82" s="115" t="n"/>
      <c r="AC82" s="117">
        <f>IF(A82="","",IF(COUNTIF('WORK PACKAGES'!$A$2:$A$100,A82)=0,"NOT IN WORK PACKAGES",IF(COUNTIF($A$2:$A$100,A82)&gt;1,"DUPLICATE","OK")))</f>
        <v/>
      </c>
    </row>
    <row r="83">
      <c r="A83" s="51" t="n"/>
      <c r="B83" s="117">
        <f>IF($A83="","",IFERROR(IF(INDEX('WORK PACKAGES'!$B$2:$B$100,MATCH($A83,'WORK PACKAGES'!$A$2:$A$100,0))="","",INDEX('WORK PACKAGES'!$B$2:$B$100,MATCH($A83,'WORK PACKAGES'!$A$2:$A$100,0))),""))</f>
        <v/>
      </c>
      <c r="C83" s="117">
        <f>IF($A83="","",IFERROR(IF(INDEX('WORK PACKAGES'!$G$2:$G$100,MATCH($A83,'WORK PACKAGES'!$A$2:$A$100,0))="","",INDEX('WORK PACKAGES'!$G$2:$G$100,MATCH($A83,'WORK PACKAGES'!$A$2:$A$100,0))),""))</f>
        <v/>
      </c>
      <c r="D83" s="117">
        <f>IF($A83="","",IFERROR(IF(INDEX('WORK PACKAGES'!$E$2:$E$100,MATCH($A83,'WORK PACKAGES'!$A$2:$A$100,0))="","",INDEX('WORK PACKAGES'!$E$2:$E$100,MATCH($A83,'WORK PACKAGES'!$A$2:$A$100,0))),""))</f>
        <v/>
      </c>
      <c r="E83" s="117">
        <f>IF(A83="","",IF(COUNTIFS('PUNCH LIST'!$G$3:$G$464,A83,'PUNCH LIST'!$Q$3:$Q$464,"Open")=0,"",COUNTIFS('PUNCH LIST'!$G$3:$G$464,A83,'PUNCH LIST'!$Q$3:$Q$464,"Open")))</f>
        <v/>
      </c>
      <c r="F83" s="116" t="n"/>
      <c r="G83" s="116" t="n"/>
      <c r="H83" s="116" t="n"/>
      <c r="I83" s="116" t="n"/>
      <c r="J83" s="116" t="n"/>
      <c r="K83" s="116" t="n"/>
      <c r="L83" s="115" t="n"/>
      <c r="M83" s="115" t="n"/>
      <c r="N83" s="117">
        <f>IF($A83="","",IF(ISBLANK(F83),"",IF(TRIM(F83)="--","--",IF(ISNUMBER(F83),IF(F83&gt;=1,"Yes",IF(F83=0,"No","PARTIAL")),"CHECK"))))</f>
        <v/>
      </c>
      <c r="O83" s="117">
        <f>IF($A83="","",IF(ISBLANK(G83),"",IF(TRIM(G83)="--","--",IF(ISNUMBER(G83),IF(G83&gt;=1,"Yes",IF(G83=0,"No","PARTIAL")),"CHECK"))))</f>
        <v/>
      </c>
      <c r="P83" s="117">
        <f>IF($A83="","",IF(ISBLANK(H83),"",IF(TRIM(H83)="--","--",IF(ISNUMBER(H83),IF(H83&gt;=1,"Yes",IF(H83=0,"No","PARTIAL")),"CHECK"))))</f>
        <v/>
      </c>
      <c r="Q83" s="117">
        <f>IF($A83="","",IF(ISBLANK(I83),"",IF(TRIM(I83)="--","--",IF(ISNUMBER(I83),IF(I83&gt;=1,"Yes",IF(I83=0,"No","PARTIAL")),"CHECK"))))</f>
        <v/>
      </c>
      <c r="R83" s="117">
        <f>IF($A83="","",IF(ISBLANK(J83),"",IF(TRIM(J83)="--","--",IF(ISNUMBER(J83),IF(J83&gt;=1,"Yes",IF(J83=0,"No","PARTIAL")),"CHECK"))))</f>
        <v/>
      </c>
      <c r="S83" s="117">
        <f>IF($A83="","",IF(ISBLANK(K83),"",IF(TRIM(K83)="--","--",IF(ISNUMBER(K83),IF(K83&gt;=1,"Yes",IF(K83=0,"No","PARTIAL")),"CHECK"))))</f>
        <v/>
      </c>
      <c r="T83" s="115" t="n"/>
      <c r="U83" s="115" t="n"/>
      <c r="V83" s="117">
        <f>IF($A83="","",IF(COUNTIF(N83:S83,"--")=6,"--",IF(COUNTIF(N83:S83,"Yes")+COUNTIF(N83:S83,"--")=6,"Yes","No")))</f>
        <v/>
      </c>
      <c r="W83" s="115" t="n"/>
      <c r="X83" s="115" t="n"/>
      <c r="Y83" s="115" t="n"/>
      <c r="Z83" s="117">
        <f>IF($A83="","",COUNTIFS('RFI REGISTER'!$D$5:$D$250,$A83,'RFI REGISTER'!$A$5:$A$250,"RFI-*",'RFI REGISTER'!$C$5:$C$250,"&lt;&gt;Closed",'RFI REGISTER'!$C$5:$C$250,"&lt;&gt;Cancelled"))</f>
        <v/>
      </c>
      <c r="AA83" s="117">
        <f>IF($A83="","",COUNTIFS(ISSUES!$P$5:$P$200,"*"&amp;$A83&amp;"*",ISSUES!$H$5:$H$200,"&lt;&gt;Closed",ISSUES!$H$5:$H$200,"&lt;&gt;Resolved",ISSUES!$H$5:$H$200,"&lt;&gt;Cancelled",ISSUES!$H$5:$H$200,"&lt;&gt;",ISSUES!$A$5:$A$200,"&lt;&gt;"))</f>
        <v/>
      </c>
      <c r="AB83" s="115" t="n"/>
      <c r="AC83" s="117">
        <f>IF(A83="","",IF(COUNTIF('WORK PACKAGES'!$A$2:$A$100,A83)=0,"NOT IN WORK PACKAGES",IF(COUNTIF($A$2:$A$100,A83)&gt;1,"DUPLICATE","OK")))</f>
        <v/>
      </c>
    </row>
    <row r="84">
      <c r="A84" s="51" t="n"/>
      <c r="B84" s="117">
        <f>IF($A84="","",IFERROR(IF(INDEX('WORK PACKAGES'!$B$2:$B$100,MATCH($A84,'WORK PACKAGES'!$A$2:$A$100,0))="","",INDEX('WORK PACKAGES'!$B$2:$B$100,MATCH($A84,'WORK PACKAGES'!$A$2:$A$100,0))),""))</f>
        <v/>
      </c>
      <c r="C84" s="117">
        <f>IF($A84="","",IFERROR(IF(INDEX('WORK PACKAGES'!$G$2:$G$100,MATCH($A84,'WORK PACKAGES'!$A$2:$A$100,0))="","",INDEX('WORK PACKAGES'!$G$2:$G$100,MATCH($A84,'WORK PACKAGES'!$A$2:$A$100,0))),""))</f>
        <v/>
      </c>
      <c r="D84" s="117">
        <f>IF($A84="","",IFERROR(IF(INDEX('WORK PACKAGES'!$E$2:$E$100,MATCH($A84,'WORK PACKAGES'!$A$2:$A$100,0))="","",INDEX('WORK PACKAGES'!$E$2:$E$100,MATCH($A84,'WORK PACKAGES'!$A$2:$A$100,0))),""))</f>
        <v/>
      </c>
      <c r="E84" s="117">
        <f>IF(A84="","",IF(COUNTIFS('PUNCH LIST'!$G$3:$G$464,A84,'PUNCH LIST'!$Q$3:$Q$464,"Open")=0,"",COUNTIFS('PUNCH LIST'!$G$3:$G$464,A84,'PUNCH LIST'!$Q$3:$Q$464,"Open")))</f>
        <v/>
      </c>
      <c r="F84" s="116" t="n"/>
      <c r="G84" s="116" t="n"/>
      <c r="H84" s="116" t="n"/>
      <c r="I84" s="116" t="n"/>
      <c r="J84" s="116" t="n"/>
      <c r="K84" s="116" t="n"/>
      <c r="L84" s="115" t="n"/>
      <c r="M84" s="115" t="n"/>
      <c r="N84" s="117">
        <f>IF($A84="","",IF(ISBLANK(F84),"",IF(TRIM(F84)="--","--",IF(ISNUMBER(F84),IF(F84&gt;=1,"Yes",IF(F84=0,"No","PARTIAL")),"CHECK"))))</f>
        <v/>
      </c>
      <c r="O84" s="117">
        <f>IF($A84="","",IF(ISBLANK(G84),"",IF(TRIM(G84)="--","--",IF(ISNUMBER(G84),IF(G84&gt;=1,"Yes",IF(G84=0,"No","PARTIAL")),"CHECK"))))</f>
        <v/>
      </c>
      <c r="P84" s="117">
        <f>IF($A84="","",IF(ISBLANK(H84),"",IF(TRIM(H84)="--","--",IF(ISNUMBER(H84),IF(H84&gt;=1,"Yes",IF(H84=0,"No","PARTIAL")),"CHECK"))))</f>
        <v/>
      </c>
      <c r="Q84" s="117">
        <f>IF($A84="","",IF(ISBLANK(I84),"",IF(TRIM(I84)="--","--",IF(ISNUMBER(I84),IF(I84&gt;=1,"Yes",IF(I84=0,"No","PARTIAL")),"CHECK"))))</f>
        <v/>
      </c>
      <c r="R84" s="117">
        <f>IF($A84="","",IF(ISBLANK(J84),"",IF(TRIM(J84)="--","--",IF(ISNUMBER(J84),IF(J84&gt;=1,"Yes",IF(J84=0,"No","PARTIAL")),"CHECK"))))</f>
        <v/>
      </c>
      <c r="S84" s="117">
        <f>IF($A84="","",IF(ISBLANK(K84),"",IF(TRIM(K84)="--","--",IF(ISNUMBER(K84),IF(K84&gt;=1,"Yes",IF(K84=0,"No","PARTIAL")),"CHECK"))))</f>
        <v/>
      </c>
      <c r="T84" s="115" t="n"/>
      <c r="U84" s="115" t="n"/>
      <c r="V84" s="117">
        <f>IF($A84="","",IF(COUNTIF(N84:S84,"--")=6,"--",IF(COUNTIF(N84:S84,"Yes")+COUNTIF(N84:S84,"--")=6,"Yes","No")))</f>
        <v/>
      </c>
      <c r="W84" s="115" t="n"/>
      <c r="X84" s="115" t="n"/>
      <c r="Y84" s="115" t="n"/>
      <c r="Z84" s="117">
        <f>IF($A84="","",COUNTIFS('RFI REGISTER'!$D$5:$D$250,$A84,'RFI REGISTER'!$A$5:$A$250,"RFI-*",'RFI REGISTER'!$C$5:$C$250,"&lt;&gt;Closed",'RFI REGISTER'!$C$5:$C$250,"&lt;&gt;Cancelled"))</f>
        <v/>
      </c>
      <c r="AA84" s="117">
        <f>IF($A84="","",COUNTIFS(ISSUES!$P$5:$P$200,"*"&amp;$A84&amp;"*",ISSUES!$H$5:$H$200,"&lt;&gt;Closed",ISSUES!$H$5:$H$200,"&lt;&gt;Resolved",ISSUES!$H$5:$H$200,"&lt;&gt;Cancelled",ISSUES!$H$5:$H$200,"&lt;&gt;",ISSUES!$A$5:$A$200,"&lt;&gt;"))</f>
        <v/>
      </c>
      <c r="AB84" s="115" t="n"/>
      <c r="AC84" s="117">
        <f>IF(A84="","",IF(COUNTIF('WORK PACKAGES'!$A$2:$A$100,A84)=0,"NOT IN WORK PACKAGES",IF(COUNTIF($A$2:$A$100,A84)&gt;1,"DUPLICATE","OK")))</f>
        <v/>
      </c>
    </row>
    <row r="85">
      <c r="A85" s="51" t="n"/>
      <c r="B85" s="117">
        <f>IF($A85="","",IFERROR(IF(INDEX('WORK PACKAGES'!$B$2:$B$100,MATCH($A85,'WORK PACKAGES'!$A$2:$A$100,0))="","",INDEX('WORK PACKAGES'!$B$2:$B$100,MATCH($A85,'WORK PACKAGES'!$A$2:$A$100,0))),""))</f>
        <v/>
      </c>
      <c r="C85" s="117">
        <f>IF($A85="","",IFERROR(IF(INDEX('WORK PACKAGES'!$G$2:$G$100,MATCH($A85,'WORK PACKAGES'!$A$2:$A$100,0))="","",INDEX('WORK PACKAGES'!$G$2:$G$100,MATCH($A85,'WORK PACKAGES'!$A$2:$A$100,0))),""))</f>
        <v/>
      </c>
      <c r="D85" s="117">
        <f>IF($A85="","",IFERROR(IF(INDEX('WORK PACKAGES'!$E$2:$E$100,MATCH($A85,'WORK PACKAGES'!$A$2:$A$100,0))="","",INDEX('WORK PACKAGES'!$E$2:$E$100,MATCH($A85,'WORK PACKAGES'!$A$2:$A$100,0))),""))</f>
        <v/>
      </c>
      <c r="E85" s="117">
        <f>IF(A85="","",IF(COUNTIFS('PUNCH LIST'!$G$3:$G$464,A85,'PUNCH LIST'!$Q$3:$Q$464,"Open")=0,"",COUNTIFS('PUNCH LIST'!$G$3:$G$464,A85,'PUNCH LIST'!$Q$3:$Q$464,"Open")))</f>
        <v/>
      </c>
      <c r="F85" s="116" t="n"/>
      <c r="G85" s="116" t="n"/>
      <c r="H85" s="116" t="n"/>
      <c r="I85" s="116" t="n"/>
      <c r="J85" s="116" t="n"/>
      <c r="K85" s="116" t="n"/>
      <c r="L85" s="115" t="n"/>
      <c r="M85" s="115" t="n"/>
      <c r="N85" s="117">
        <f>IF($A85="","",IF(ISBLANK(F85),"",IF(TRIM(F85)="--","--",IF(ISNUMBER(F85),IF(F85&gt;=1,"Yes",IF(F85=0,"No","PARTIAL")),"CHECK"))))</f>
        <v/>
      </c>
      <c r="O85" s="117">
        <f>IF($A85="","",IF(ISBLANK(G85),"",IF(TRIM(G85)="--","--",IF(ISNUMBER(G85),IF(G85&gt;=1,"Yes",IF(G85=0,"No","PARTIAL")),"CHECK"))))</f>
        <v/>
      </c>
      <c r="P85" s="117">
        <f>IF($A85="","",IF(ISBLANK(H85),"",IF(TRIM(H85)="--","--",IF(ISNUMBER(H85),IF(H85&gt;=1,"Yes",IF(H85=0,"No","PARTIAL")),"CHECK"))))</f>
        <v/>
      </c>
      <c r="Q85" s="117">
        <f>IF($A85="","",IF(ISBLANK(I85),"",IF(TRIM(I85)="--","--",IF(ISNUMBER(I85),IF(I85&gt;=1,"Yes",IF(I85=0,"No","PARTIAL")),"CHECK"))))</f>
        <v/>
      </c>
      <c r="R85" s="117">
        <f>IF($A85="","",IF(ISBLANK(J85),"",IF(TRIM(J85)="--","--",IF(ISNUMBER(J85),IF(J85&gt;=1,"Yes",IF(J85=0,"No","PARTIAL")),"CHECK"))))</f>
        <v/>
      </c>
      <c r="S85" s="117">
        <f>IF($A85="","",IF(ISBLANK(K85),"",IF(TRIM(K85)="--","--",IF(ISNUMBER(K85),IF(K85&gt;=1,"Yes",IF(K85=0,"No","PARTIAL")),"CHECK"))))</f>
        <v/>
      </c>
      <c r="T85" s="115" t="n"/>
      <c r="U85" s="115" t="n"/>
      <c r="V85" s="117">
        <f>IF($A85="","",IF(COUNTIF(N85:S85,"--")=6,"--",IF(COUNTIF(N85:S85,"Yes")+COUNTIF(N85:S85,"--")=6,"Yes","No")))</f>
        <v/>
      </c>
      <c r="W85" s="115" t="n"/>
      <c r="X85" s="115" t="n"/>
      <c r="Y85" s="115" t="n"/>
      <c r="Z85" s="117">
        <f>IF($A85="","",COUNTIFS('RFI REGISTER'!$D$5:$D$250,$A85,'RFI REGISTER'!$A$5:$A$250,"RFI-*",'RFI REGISTER'!$C$5:$C$250,"&lt;&gt;Closed",'RFI REGISTER'!$C$5:$C$250,"&lt;&gt;Cancelled"))</f>
        <v/>
      </c>
      <c r="AA85" s="117">
        <f>IF($A85="","",COUNTIFS(ISSUES!$P$5:$P$200,"*"&amp;$A85&amp;"*",ISSUES!$H$5:$H$200,"&lt;&gt;Closed",ISSUES!$H$5:$H$200,"&lt;&gt;Resolved",ISSUES!$H$5:$H$200,"&lt;&gt;Cancelled",ISSUES!$H$5:$H$200,"&lt;&gt;",ISSUES!$A$5:$A$200,"&lt;&gt;"))</f>
        <v/>
      </c>
      <c r="AB85" s="115" t="n"/>
      <c r="AC85" s="117">
        <f>IF(A85="","",IF(COUNTIF('WORK PACKAGES'!$A$2:$A$100,A85)=0,"NOT IN WORK PACKAGES",IF(COUNTIF($A$2:$A$100,A85)&gt;1,"DUPLICATE","OK")))</f>
        <v/>
      </c>
    </row>
    <row r="86">
      <c r="A86" s="51" t="n"/>
      <c r="B86" s="117">
        <f>IF($A86="","",IFERROR(IF(INDEX('WORK PACKAGES'!$B$2:$B$100,MATCH($A86,'WORK PACKAGES'!$A$2:$A$100,0))="","",INDEX('WORK PACKAGES'!$B$2:$B$100,MATCH($A86,'WORK PACKAGES'!$A$2:$A$100,0))),""))</f>
        <v/>
      </c>
      <c r="C86" s="117">
        <f>IF($A86="","",IFERROR(IF(INDEX('WORK PACKAGES'!$G$2:$G$100,MATCH($A86,'WORK PACKAGES'!$A$2:$A$100,0))="","",INDEX('WORK PACKAGES'!$G$2:$G$100,MATCH($A86,'WORK PACKAGES'!$A$2:$A$100,0))),""))</f>
        <v/>
      </c>
      <c r="D86" s="117">
        <f>IF($A86="","",IFERROR(IF(INDEX('WORK PACKAGES'!$E$2:$E$100,MATCH($A86,'WORK PACKAGES'!$A$2:$A$100,0))="","",INDEX('WORK PACKAGES'!$E$2:$E$100,MATCH($A86,'WORK PACKAGES'!$A$2:$A$100,0))),""))</f>
        <v/>
      </c>
      <c r="E86" s="117">
        <f>IF(A86="","",IF(COUNTIFS('PUNCH LIST'!$G$3:$G$464,A86,'PUNCH LIST'!$Q$3:$Q$464,"Open")=0,"",COUNTIFS('PUNCH LIST'!$G$3:$G$464,A86,'PUNCH LIST'!$Q$3:$Q$464,"Open")))</f>
        <v/>
      </c>
      <c r="F86" s="116" t="n"/>
      <c r="G86" s="116" t="n"/>
      <c r="H86" s="116" t="n"/>
      <c r="I86" s="116" t="n"/>
      <c r="J86" s="116" t="n"/>
      <c r="K86" s="116" t="n"/>
      <c r="L86" s="115" t="n"/>
      <c r="M86" s="115" t="n"/>
      <c r="N86" s="117">
        <f>IF($A86="","",IF(ISBLANK(F86),"",IF(TRIM(F86)="--","--",IF(ISNUMBER(F86),IF(F86&gt;=1,"Yes",IF(F86=0,"No","PARTIAL")),"CHECK"))))</f>
        <v/>
      </c>
      <c r="O86" s="117">
        <f>IF($A86="","",IF(ISBLANK(G86),"",IF(TRIM(G86)="--","--",IF(ISNUMBER(G86),IF(G86&gt;=1,"Yes",IF(G86=0,"No","PARTIAL")),"CHECK"))))</f>
        <v/>
      </c>
      <c r="P86" s="117">
        <f>IF($A86="","",IF(ISBLANK(H86),"",IF(TRIM(H86)="--","--",IF(ISNUMBER(H86),IF(H86&gt;=1,"Yes",IF(H86=0,"No","PARTIAL")),"CHECK"))))</f>
        <v/>
      </c>
      <c r="Q86" s="117">
        <f>IF($A86="","",IF(ISBLANK(I86),"",IF(TRIM(I86)="--","--",IF(ISNUMBER(I86),IF(I86&gt;=1,"Yes",IF(I86=0,"No","PARTIAL")),"CHECK"))))</f>
        <v/>
      </c>
      <c r="R86" s="117">
        <f>IF($A86="","",IF(ISBLANK(J86),"",IF(TRIM(J86)="--","--",IF(ISNUMBER(J86),IF(J86&gt;=1,"Yes",IF(J86=0,"No","PARTIAL")),"CHECK"))))</f>
        <v/>
      </c>
      <c r="S86" s="117">
        <f>IF($A86="","",IF(ISBLANK(K86),"",IF(TRIM(K86)="--","--",IF(ISNUMBER(K86),IF(K86&gt;=1,"Yes",IF(K86=0,"No","PARTIAL")),"CHECK"))))</f>
        <v/>
      </c>
      <c r="T86" s="115" t="n"/>
      <c r="U86" s="115" t="n"/>
      <c r="V86" s="117">
        <f>IF($A86="","",IF(COUNTIF(N86:S86,"--")=6,"--",IF(COUNTIF(N86:S86,"Yes")+COUNTIF(N86:S86,"--")=6,"Yes","No")))</f>
        <v/>
      </c>
      <c r="W86" s="115" t="n"/>
      <c r="X86" s="115" t="n"/>
      <c r="Y86" s="115" t="n"/>
      <c r="Z86" s="117">
        <f>IF($A86="","",COUNTIFS('RFI REGISTER'!$D$5:$D$250,$A86,'RFI REGISTER'!$A$5:$A$250,"RFI-*",'RFI REGISTER'!$C$5:$C$250,"&lt;&gt;Closed",'RFI REGISTER'!$C$5:$C$250,"&lt;&gt;Cancelled"))</f>
        <v/>
      </c>
      <c r="AA86" s="117">
        <f>IF($A86="","",COUNTIFS(ISSUES!$P$5:$P$200,"*"&amp;$A86&amp;"*",ISSUES!$H$5:$H$200,"&lt;&gt;Closed",ISSUES!$H$5:$H$200,"&lt;&gt;Resolved",ISSUES!$H$5:$H$200,"&lt;&gt;Cancelled",ISSUES!$H$5:$H$200,"&lt;&gt;",ISSUES!$A$5:$A$200,"&lt;&gt;"))</f>
        <v/>
      </c>
      <c r="AB86" s="115" t="n"/>
      <c r="AC86" s="117">
        <f>IF(A86="","",IF(COUNTIF('WORK PACKAGES'!$A$2:$A$100,A86)=0,"NOT IN WORK PACKAGES",IF(COUNTIF($A$2:$A$100,A86)&gt;1,"DUPLICATE","OK")))</f>
        <v/>
      </c>
    </row>
    <row r="87">
      <c r="A87" s="51" t="n"/>
      <c r="B87" s="117">
        <f>IF($A87="","",IFERROR(IF(INDEX('WORK PACKAGES'!$B$2:$B$100,MATCH($A87,'WORK PACKAGES'!$A$2:$A$100,0))="","",INDEX('WORK PACKAGES'!$B$2:$B$100,MATCH($A87,'WORK PACKAGES'!$A$2:$A$100,0))),""))</f>
        <v/>
      </c>
      <c r="C87" s="117">
        <f>IF($A87="","",IFERROR(IF(INDEX('WORK PACKAGES'!$G$2:$G$100,MATCH($A87,'WORK PACKAGES'!$A$2:$A$100,0))="","",INDEX('WORK PACKAGES'!$G$2:$G$100,MATCH($A87,'WORK PACKAGES'!$A$2:$A$100,0))),""))</f>
        <v/>
      </c>
      <c r="D87" s="117">
        <f>IF($A87="","",IFERROR(IF(INDEX('WORK PACKAGES'!$E$2:$E$100,MATCH($A87,'WORK PACKAGES'!$A$2:$A$100,0))="","",INDEX('WORK PACKAGES'!$E$2:$E$100,MATCH($A87,'WORK PACKAGES'!$A$2:$A$100,0))),""))</f>
        <v/>
      </c>
      <c r="E87" s="117">
        <f>IF(A87="","",IF(COUNTIFS('PUNCH LIST'!$G$3:$G$464,A87,'PUNCH LIST'!$Q$3:$Q$464,"Open")=0,"",COUNTIFS('PUNCH LIST'!$G$3:$G$464,A87,'PUNCH LIST'!$Q$3:$Q$464,"Open")))</f>
        <v/>
      </c>
      <c r="F87" s="116" t="n"/>
      <c r="G87" s="116" t="n"/>
      <c r="H87" s="116" t="n"/>
      <c r="I87" s="116" t="n"/>
      <c r="J87" s="116" t="n"/>
      <c r="K87" s="116" t="n"/>
      <c r="L87" s="115" t="n"/>
      <c r="M87" s="115" t="n"/>
      <c r="N87" s="117">
        <f>IF($A87="","",IF(ISBLANK(F87),"",IF(TRIM(F87)="--","--",IF(ISNUMBER(F87),IF(F87&gt;=1,"Yes",IF(F87=0,"No","PARTIAL")),"CHECK"))))</f>
        <v/>
      </c>
      <c r="O87" s="117">
        <f>IF($A87="","",IF(ISBLANK(G87),"",IF(TRIM(G87)="--","--",IF(ISNUMBER(G87),IF(G87&gt;=1,"Yes",IF(G87=0,"No","PARTIAL")),"CHECK"))))</f>
        <v/>
      </c>
      <c r="P87" s="117">
        <f>IF($A87="","",IF(ISBLANK(H87),"",IF(TRIM(H87)="--","--",IF(ISNUMBER(H87),IF(H87&gt;=1,"Yes",IF(H87=0,"No","PARTIAL")),"CHECK"))))</f>
        <v/>
      </c>
      <c r="Q87" s="117">
        <f>IF($A87="","",IF(ISBLANK(I87),"",IF(TRIM(I87)="--","--",IF(ISNUMBER(I87),IF(I87&gt;=1,"Yes",IF(I87=0,"No","PARTIAL")),"CHECK"))))</f>
        <v/>
      </c>
      <c r="R87" s="117">
        <f>IF($A87="","",IF(ISBLANK(J87),"",IF(TRIM(J87)="--","--",IF(ISNUMBER(J87),IF(J87&gt;=1,"Yes",IF(J87=0,"No","PARTIAL")),"CHECK"))))</f>
        <v/>
      </c>
      <c r="S87" s="117">
        <f>IF($A87="","",IF(ISBLANK(K87),"",IF(TRIM(K87)="--","--",IF(ISNUMBER(K87),IF(K87&gt;=1,"Yes",IF(K87=0,"No","PARTIAL")),"CHECK"))))</f>
        <v/>
      </c>
      <c r="T87" s="115" t="n"/>
      <c r="U87" s="115" t="n"/>
      <c r="V87" s="117">
        <f>IF($A87="","",IF(COUNTIF(N87:S87,"--")=6,"--",IF(COUNTIF(N87:S87,"Yes")+COUNTIF(N87:S87,"--")=6,"Yes","No")))</f>
        <v/>
      </c>
      <c r="W87" s="115" t="n"/>
      <c r="X87" s="115" t="n"/>
      <c r="Y87" s="115" t="n"/>
      <c r="Z87" s="117">
        <f>IF($A87="","",COUNTIFS('RFI REGISTER'!$D$5:$D$250,$A87,'RFI REGISTER'!$A$5:$A$250,"RFI-*",'RFI REGISTER'!$C$5:$C$250,"&lt;&gt;Closed",'RFI REGISTER'!$C$5:$C$250,"&lt;&gt;Cancelled"))</f>
        <v/>
      </c>
      <c r="AA87" s="117">
        <f>IF($A87="","",COUNTIFS(ISSUES!$P$5:$P$200,"*"&amp;$A87&amp;"*",ISSUES!$H$5:$H$200,"&lt;&gt;Closed",ISSUES!$H$5:$H$200,"&lt;&gt;Resolved",ISSUES!$H$5:$H$200,"&lt;&gt;Cancelled",ISSUES!$H$5:$H$200,"&lt;&gt;",ISSUES!$A$5:$A$200,"&lt;&gt;"))</f>
        <v/>
      </c>
      <c r="AB87" s="115" t="n"/>
      <c r="AC87" s="117">
        <f>IF(A87="","",IF(COUNTIF('WORK PACKAGES'!$A$2:$A$100,A87)=0,"NOT IN WORK PACKAGES",IF(COUNTIF($A$2:$A$100,A87)&gt;1,"DUPLICATE","OK")))</f>
        <v/>
      </c>
    </row>
    <row r="88">
      <c r="A88" s="51" t="n"/>
      <c r="B88" s="117">
        <f>IF($A88="","",IFERROR(IF(INDEX('WORK PACKAGES'!$B$2:$B$100,MATCH($A88,'WORK PACKAGES'!$A$2:$A$100,0))="","",INDEX('WORK PACKAGES'!$B$2:$B$100,MATCH($A88,'WORK PACKAGES'!$A$2:$A$100,0))),""))</f>
        <v/>
      </c>
      <c r="C88" s="117">
        <f>IF($A88="","",IFERROR(IF(INDEX('WORK PACKAGES'!$G$2:$G$100,MATCH($A88,'WORK PACKAGES'!$A$2:$A$100,0))="","",INDEX('WORK PACKAGES'!$G$2:$G$100,MATCH($A88,'WORK PACKAGES'!$A$2:$A$100,0))),""))</f>
        <v/>
      </c>
      <c r="D88" s="117">
        <f>IF($A88="","",IFERROR(IF(INDEX('WORK PACKAGES'!$E$2:$E$100,MATCH($A88,'WORK PACKAGES'!$A$2:$A$100,0))="","",INDEX('WORK PACKAGES'!$E$2:$E$100,MATCH($A88,'WORK PACKAGES'!$A$2:$A$100,0))),""))</f>
        <v/>
      </c>
      <c r="E88" s="117">
        <f>IF(A88="","",IF(COUNTIFS('PUNCH LIST'!$G$3:$G$464,A88,'PUNCH LIST'!$Q$3:$Q$464,"Open")=0,"",COUNTIFS('PUNCH LIST'!$G$3:$G$464,A88,'PUNCH LIST'!$Q$3:$Q$464,"Open")))</f>
        <v/>
      </c>
      <c r="F88" s="116" t="n"/>
      <c r="G88" s="116" t="n"/>
      <c r="H88" s="116" t="n"/>
      <c r="I88" s="116" t="n"/>
      <c r="J88" s="116" t="n"/>
      <c r="K88" s="116" t="n"/>
      <c r="L88" s="115" t="n"/>
      <c r="M88" s="115" t="n"/>
      <c r="N88" s="117">
        <f>IF($A88="","",IF(ISBLANK(F88),"",IF(TRIM(F88)="--","--",IF(ISNUMBER(F88),IF(F88&gt;=1,"Yes",IF(F88=0,"No","PARTIAL")),"CHECK"))))</f>
        <v/>
      </c>
      <c r="O88" s="117">
        <f>IF($A88="","",IF(ISBLANK(G88),"",IF(TRIM(G88)="--","--",IF(ISNUMBER(G88),IF(G88&gt;=1,"Yes",IF(G88=0,"No","PARTIAL")),"CHECK"))))</f>
        <v/>
      </c>
      <c r="P88" s="117">
        <f>IF($A88="","",IF(ISBLANK(H88),"",IF(TRIM(H88)="--","--",IF(ISNUMBER(H88),IF(H88&gt;=1,"Yes",IF(H88=0,"No","PARTIAL")),"CHECK"))))</f>
        <v/>
      </c>
      <c r="Q88" s="117">
        <f>IF($A88="","",IF(ISBLANK(I88),"",IF(TRIM(I88)="--","--",IF(ISNUMBER(I88),IF(I88&gt;=1,"Yes",IF(I88=0,"No","PARTIAL")),"CHECK"))))</f>
        <v/>
      </c>
      <c r="R88" s="117">
        <f>IF($A88="","",IF(ISBLANK(J88),"",IF(TRIM(J88)="--","--",IF(ISNUMBER(J88),IF(J88&gt;=1,"Yes",IF(J88=0,"No","PARTIAL")),"CHECK"))))</f>
        <v/>
      </c>
      <c r="S88" s="117">
        <f>IF($A88="","",IF(ISBLANK(K88),"",IF(TRIM(K88)="--","--",IF(ISNUMBER(K88),IF(K88&gt;=1,"Yes",IF(K88=0,"No","PARTIAL")),"CHECK"))))</f>
        <v/>
      </c>
      <c r="T88" s="115" t="n"/>
      <c r="U88" s="115" t="n"/>
      <c r="V88" s="117">
        <f>IF($A88="","",IF(COUNTIF(N88:S88,"--")=6,"--",IF(COUNTIF(N88:S88,"Yes")+COUNTIF(N88:S88,"--")=6,"Yes","No")))</f>
        <v/>
      </c>
      <c r="W88" s="115" t="n"/>
      <c r="X88" s="115" t="n"/>
      <c r="Y88" s="115" t="n"/>
      <c r="Z88" s="117">
        <f>IF($A88="","",COUNTIFS('RFI REGISTER'!$D$5:$D$250,$A88,'RFI REGISTER'!$A$5:$A$250,"RFI-*",'RFI REGISTER'!$C$5:$C$250,"&lt;&gt;Closed",'RFI REGISTER'!$C$5:$C$250,"&lt;&gt;Cancelled"))</f>
        <v/>
      </c>
      <c r="AA88" s="117">
        <f>IF($A88="","",COUNTIFS(ISSUES!$P$5:$P$200,"*"&amp;$A88&amp;"*",ISSUES!$H$5:$H$200,"&lt;&gt;Closed",ISSUES!$H$5:$H$200,"&lt;&gt;Resolved",ISSUES!$H$5:$H$200,"&lt;&gt;Cancelled",ISSUES!$H$5:$H$200,"&lt;&gt;",ISSUES!$A$5:$A$200,"&lt;&gt;"))</f>
        <v/>
      </c>
      <c r="AB88" s="115" t="n"/>
      <c r="AC88" s="117">
        <f>IF(A88="","",IF(COUNTIF('WORK PACKAGES'!$A$2:$A$100,A88)=0,"NOT IN WORK PACKAGES",IF(COUNTIF($A$2:$A$100,A88)&gt;1,"DUPLICATE","OK")))</f>
        <v/>
      </c>
    </row>
    <row r="89">
      <c r="A89" s="51" t="n"/>
      <c r="B89" s="117">
        <f>IF($A89="","",IFERROR(IF(INDEX('WORK PACKAGES'!$B$2:$B$100,MATCH($A89,'WORK PACKAGES'!$A$2:$A$100,0))="","",INDEX('WORK PACKAGES'!$B$2:$B$100,MATCH($A89,'WORK PACKAGES'!$A$2:$A$100,0))),""))</f>
        <v/>
      </c>
      <c r="C89" s="117">
        <f>IF($A89="","",IFERROR(IF(INDEX('WORK PACKAGES'!$G$2:$G$100,MATCH($A89,'WORK PACKAGES'!$A$2:$A$100,0))="","",INDEX('WORK PACKAGES'!$G$2:$G$100,MATCH($A89,'WORK PACKAGES'!$A$2:$A$100,0))),""))</f>
        <v/>
      </c>
      <c r="D89" s="117">
        <f>IF($A89="","",IFERROR(IF(INDEX('WORK PACKAGES'!$E$2:$E$100,MATCH($A89,'WORK PACKAGES'!$A$2:$A$100,0))="","",INDEX('WORK PACKAGES'!$E$2:$E$100,MATCH($A89,'WORK PACKAGES'!$A$2:$A$100,0))),""))</f>
        <v/>
      </c>
      <c r="E89" s="117">
        <f>IF(A89="","",IF(COUNTIFS('PUNCH LIST'!$G$3:$G$464,A89,'PUNCH LIST'!$Q$3:$Q$464,"Open")=0,"",COUNTIFS('PUNCH LIST'!$G$3:$G$464,A89,'PUNCH LIST'!$Q$3:$Q$464,"Open")))</f>
        <v/>
      </c>
      <c r="F89" s="116" t="n"/>
      <c r="G89" s="116" t="n"/>
      <c r="H89" s="116" t="n"/>
      <c r="I89" s="116" t="n"/>
      <c r="J89" s="116" t="n"/>
      <c r="K89" s="116" t="n"/>
      <c r="L89" s="115" t="n"/>
      <c r="M89" s="115" t="n"/>
      <c r="N89" s="117">
        <f>IF($A89="","",IF(ISBLANK(F89),"",IF(TRIM(F89)="--","--",IF(ISNUMBER(F89),IF(F89&gt;=1,"Yes",IF(F89=0,"No","PARTIAL")),"CHECK"))))</f>
        <v/>
      </c>
      <c r="O89" s="117">
        <f>IF($A89="","",IF(ISBLANK(G89),"",IF(TRIM(G89)="--","--",IF(ISNUMBER(G89),IF(G89&gt;=1,"Yes",IF(G89=0,"No","PARTIAL")),"CHECK"))))</f>
        <v/>
      </c>
      <c r="P89" s="117">
        <f>IF($A89="","",IF(ISBLANK(H89),"",IF(TRIM(H89)="--","--",IF(ISNUMBER(H89),IF(H89&gt;=1,"Yes",IF(H89=0,"No","PARTIAL")),"CHECK"))))</f>
        <v/>
      </c>
      <c r="Q89" s="117">
        <f>IF($A89="","",IF(ISBLANK(I89),"",IF(TRIM(I89)="--","--",IF(ISNUMBER(I89),IF(I89&gt;=1,"Yes",IF(I89=0,"No","PARTIAL")),"CHECK"))))</f>
        <v/>
      </c>
      <c r="R89" s="117">
        <f>IF($A89="","",IF(ISBLANK(J89),"",IF(TRIM(J89)="--","--",IF(ISNUMBER(J89),IF(J89&gt;=1,"Yes",IF(J89=0,"No","PARTIAL")),"CHECK"))))</f>
        <v/>
      </c>
      <c r="S89" s="117">
        <f>IF($A89="","",IF(ISBLANK(K89),"",IF(TRIM(K89)="--","--",IF(ISNUMBER(K89),IF(K89&gt;=1,"Yes",IF(K89=0,"No","PARTIAL")),"CHECK"))))</f>
        <v/>
      </c>
      <c r="T89" s="115" t="n"/>
      <c r="U89" s="115" t="n"/>
      <c r="V89" s="117">
        <f>IF($A89="","",IF(COUNTIF(N89:S89,"--")=6,"--",IF(COUNTIF(N89:S89,"Yes")+COUNTIF(N89:S89,"--")=6,"Yes","No")))</f>
        <v/>
      </c>
      <c r="W89" s="115" t="n"/>
      <c r="X89" s="115" t="n"/>
      <c r="Y89" s="115" t="n"/>
      <c r="Z89" s="117">
        <f>IF($A89="","",COUNTIFS('RFI REGISTER'!$D$5:$D$250,$A89,'RFI REGISTER'!$A$5:$A$250,"RFI-*",'RFI REGISTER'!$C$5:$C$250,"&lt;&gt;Closed",'RFI REGISTER'!$C$5:$C$250,"&lt;&gt;Cancelled"))</f>
        <v/>
      </c>
      <c r="AA89" s="117">
        <f>IF($A89="","",COUNTIFS(ISSUES!$P$5:$P$200,"*"&amp;$A89&amp;"*",ISSUES!$H$5:$H$200,"&lt;&gt;Closed",ISSUES!$H$5:$H$200,"&lt;&gt;Resolved",ISSUES!$H$5:$H$200,"&lt;&gt;Cancelled",ISSUES!$H$5:$H$200,"&lt;&gt;",ISSUES!$A$5:$A$200,"&lt;&gt;"))</f>
        <v/>
      </c>
      <c r="AB89" s="115" t="n"/>
      <c r="AC89" s="117">
        <f>IF(A89="","",IF(COUNTIF('WORK PACKAGES'!$A$2:$A$100,A89)=0,"NOT IN WORK PACKAGES",IF(COUNTIF($A$2:$A$100,A89)&gt;1,"DUPLICATE","OK")))</f>
        <v/>
      </c>
    </row>
    <row r="90">
      <c r="A90" s="51" t="n"/>
      <c r="B90" s="117">
        <f>IF($A90="","",IFERROR(IF(INDEX('WORK PACKAGES'!$B$2:$B$100,MATCH($A90,'WORK PACKAGES'!$A$2:$A$100,0))="","",INDEX('WORK PACKAGES'!$B$2:$B$100,MATCH($A90,'WORK PACKAGES'!$A$2:$A$100,0))),""))</f>
        <v/>
      </c>
      <c r="C90" s="117">
        <f>IF($A90="","",IFERROR(IF(INDEX('WORK PACKAGES'!$G$2:$G$100,MATCH($A90,'WORK PACKAGES'!$A$2:$A$100,0))="","",INDEX('WORK PACKAGES'!$G$2:$G$100,MATCH($A90,'WORK PACKAGES'!$A$2:$A$100,0))),""))</f>
        <v/>
      </c>
      <c r="D90" s="117">
        <f>IF($A90="","",IFERROR(IF(INDEX('WORK PACKAGES'!$E$2:$E$100,MATCH($A90,'WORK PACKAGES'!$A$2:$A$100,0))="","",INDEX('WORK PACKAGES'!$E$2:$E$100,MATCH($A90,'WORK PACKAGES'!$A$2:$A$100,0))),""))</f>
        <v/>
      </c>
      <c r="E90" s="117">
        <f>IF(A90="","",IF(COUNTIFS('PUNCH LIST'!$G$3:$G$464,A90,'PUNCH LIST'!$Q$3:$Q$464,"Open")=0,"",COUNTIFS('PUNCH LIST'!$G$3:$G$464,A90,'PUNCH LIST'!$Q$3:$Q$464,"Open")))</f>
        <v/>
      </c>
      <c r="F90" s="116" t="n"/>
      <c r="G90" s="116" t="n"/>
      <c r="H90" s="116" t="n"/>
      <c r="I90" s="116" t="n"/>
      <c r="J90" s="116" t="n"/>
      <c r="K90" s="116" t="n"/>
      <c r="L90" s="115" t="n"/>
      <c r="M90" s="115" t="n"/>
      <c r="N90" s="117">
        <f>IF($A90="","",IF(ISBLANK(F90),"",IF(TRIM(F90)="--","--",IF(ISNUMBER(F90),IF(F90&gt;=1,"Yes",IF(F90=0,"No","PARTIAL")),"CHECK"))))</f>
        <v/>
      </c>
      <c r="O90" s="117">
        <f>IF($A90="","",IF(ISBLANK(G90),"",IF(TRIM(G90)="--","--",IF(ISNUMBER(G90),IF(G90&gt;=1,"Yes",IF(G90=0,"No","PARTIAL")),"CHECK"))))</f>
        <v/>
      </c>
      <c r="P90" s="117">
        <f>IF($A90="","",IF(ISBLANK(H90),"",IF(TRIM(H90)="--","--",IF(ISNUMBER(H90),IF(H90&gt;=1,"Yes",IF(H90=0,"No","PARTIAL")),"CHECK"))))</f>
        <v/>
      </c>
      <c r="Q90" s="117">
        <f>IF($A90="","",IF(ISBLANK(I90),"",IF(TRIM(I90)="--","--",IF(ISNUMBER(I90),IF(I90&gt;=1,"Yes",IF(I90=0,"No","PARTIAL")),"CHECK"))))</f>
        <v/>
      </c>
      <c r="R90" s="117">
        <f>IF($A90="","",IF(ISBLANK(J90),"",IF(TRIM(J90)="--","--",IF(ISNUMBER(J90),IF(J90&gt;=1,"Yes",IF(J90=0,"No","PARTIAL")),"CHECK"))))</f>
        <v/>
      </c>
      <c r="S90" s="117">
        <f>IF($A90="","",IF(ISBLANK(K90),"",IF(TRIM(K90)="--","--",IF(ISNUMBER(K90),IF(K90&gt;=1,"Yes",IF(K90=0,"No","PARTIAL")),"CHECK"))))</f>
        <v/>
      </c>
      <c r="T90" s="115" t="n"/>
      <c r="U90" s="115" t="n"/>
      <c r="V90" s="117">
        <f>IF($A90="","",IF(COUNTIF(N90:S90,"--")=6,"--",IF(COUNTIF(N90:S90,"Yes")+COUNTIF(N90:S90,"--")=6,"Yes","No")))</f>
        <v/>
      </c>
      <c r="W90" s="115" t="n"/>
      <c r="X90" s="115" t="n"/>
      <c r="Y90" s="115" t="n"/>
      <c r="Z90" s="117">
        <f>IF($A90="","",COUNTIFS('RFI REGISTER'!$D$5:$D$250,$A90,'RFI REGISTER'!$A$5:$A$250,"RFI-*",'RFI REGISTER'!$C$5:$C$250,"&lt;&gt;Closed",'RFI REGISTER'!$C$5:$C$250,"&lt;&gt;Cancelled"))</f>
        <v/>
      </c>
      <c r="AA90" s="117">
        <f>IF($A90="","",COUNTIFS(ISSUES!$P$5:$P$200,"*"&amp;$A90&amp;"*",ISSUES!$H$5:$H$200,"&lt;&gt;Closed",ISSUES!$H$5:$H$200,"&lt;&gt;Resolved",ISSUES!$H$5:$H$200,"&lt;&gt;Cancelled",ISSUES!$H$5:$H$200,"&lt;&gt;",ISSUES!$A$5:$A$200,"&lt;&gt;"))</f>
        <v/>
      </c>
      <c r="AB90" s="115" t="n"/>
      <c r="AC90" s="117">
        <f>IF(A90="","",IF(COUNTIF('WORK PACKAGES'!$A$2:$A$100,A90)=0,"NOT IN WORK PACKAGES",IF(COUNTIF($A$2:$A$100,A90)&gt;1,"DUPLICATE","OK")))</f>
        <v/>
      </c>
    </row>
    <row r="91">
      <c r="A91" s="51" t="n"/>
      <c r="B91" s="117">
        <f>IF($A91="","",IFERROR(IF(INDEX('WORK PACKAGES'!$B$2:$B$100,MATCH($A91,'WORK PACKAGES'!$A$2:$A$100,0))="","",INDEX('WORK PACKAGES'!$B$2:$B$100,MATCH($A91,'WORK PACKAGES'!$A$2:$A$100,0))),""))</f>
        <v/>
      </c>
      <c r="C91" s="117">
        <f>IF($A91="","",IFERROR(IF(INDEX('WORK PACKAGES'!$G$2:$G$100,MATCH($A91,'WORK PACKAGES'!$A$2:$A$100,0))="","",INDEX('WORK PACKAGES'!$G$2:$G$100,MATCH($A91,'WORK PACKAGES'!$A$2:$A$100,0))),""))</f>
        <v/>
      </c>
      <c r="D91" s="117">
        <f>IF($A91="","",IFERROR(IF(INDEX('WORK PACKAGES'!$E$2:$E$100,MATCH($A91,'WORK PACKAGES'!$A$2:$A$100,0))="","",INDEX('WORK PACKAGES'!$E$2:$E$100,MATCH($A91,'WORK PACKAGES'!$A$2:$A$100,0))),""))</f>
        <v/>
      </c>
      <c r="E91" s="117">
        <f>IF(A91="","",IF(COUNTIFS('PUNCH LIST'!$G$3:$G$464,A91,'PUNCH LIST'!$Q$3:$Q$464,"Open")=0,"",COUNTIFS('PUNCH LIST'!$G$3:$G$464,A91,'PUNCH LIST'!$Q$3:$Q$464,"Open")))</f>
        <v/>
      </c>
      <c r="F91" s="116" t="n"/>
      <c r="G91" s="116" t="n"/>
      <c r="H91" s="116" t="n"/>
      <c r="I91" s="116" t="n"/>
      <c r="J91" s="116" t="n"/>
      <c r="K91" s="116" t="n"/>
      <c r="L91" s="115" t="n"/>
      <c r="M91" s="115" t="n"/>
      <c r="N91" s="117">
        <f>IF($A91="","",IF(ISBLANK(F91),"",IF(TRIM(F91)="--","--",IF(ISNUMBER(F91),IF(F91&gt;=1,"Yes",IF(F91=0,"No","PARTIAL")),"CHECK"))))</f>
        <v/>
      </c>
      <c r="O91" s="117">
        <f>IF($A91="","",IF(ISBLANK(G91),"",IF(TRIM(G91)="--","--",IF(ISNUMBER(G91),IF(G91&gt;=1,"Yes",IF(G91=0,"No","PARTIAL")),"CHECK"))))</f>
        <v/>
      </c>
      <c r="P91" s="117">
        <f>IF($A91="","",IF(ISBLANK(H91),"",IF(TRIM(H91)="--","--",IF(ISNUMBER(H91),IF(H91&gt;=1,"Yes",IF(H91=0,"No","PARTIAL")),"CHECK"))))</f>
        <v/>
      </c>
      <c r="Q91" s="117">
        <f>IF($A91="","",IF(ISBLANK(I91),"",IF(TRIM(I91)="--","--",IF(ISNUMBER(I91),IF(I91&gt;=1,"Yes",IF(I91=0,"No","PARTIAL")),"CHECK"))))</f>
        <v/>
      </c>
      <c r="R91" s="117">
        <f>IF($A91="","",IF(ISBLANK(J91),"",IF(TRIM(J91)="--","--",IF(ISNUMBER(J91),IF(J91&gt;=1,"Yes",IF(J91=0,"No","PARTIAL")),"CHECK"))))</f>
        <v/>
      </c>
      <c r="S91" s="117">
        <f>IF($A91="","",IF(ISBLANK(K91),"",IF(TRIM(K91)="--","--",IF(ISNUMBER(K91),IF(K91&gt;=1,"Yes",IF(K91=0,"No","PARTIAL")),"CHECK"))))</f>
        <v/>
      </c>
      <c r="T91" s="115" t="n"/>
      <c r="U91" s="115" t="n"/>
      <c r="V91" s="117">
        <f>IF($A91="","",IF(COUNTIF(N91:S91,"--")=6,"--",IF(COUNTIF(N91:S91,"Yes")+COUNTIF(N91:S91,"--")=6,"Yes","No")))</f>
        <v/>
      </c>
      <c r="W91" s="115" t="n"/>
      <c r="X91" s="115" t="n"/>
      <c r="Y91" s="115" t="n"/>
      <c r="Z91" s="117">
        <f>IF($A91="","",COUNTIFS('RFI REGISTER'!$D$5:$D$250,$A91,'RFI REGISTER'!$A$5:$A$250,"RFI-*",'RFI REGISTER'!$C$5:$C$250,"&lt;&gt;Closed",'RFI REGISTER'!$C$5:$C$250,"&lt;&gt;Cancelled"))</f>
        <v/>
      </c>
      <c r="AA91" s="117">
        <f>IF($A91="","",COUNTIFS(ISSUES!$P$5:$P$200,"*"&amp;$A91&amp;"*",ISSUES!$H$5:$H$200,"&lt;&gt;Closed",ISSUES!$H$5:$H$200,"&lt;&gt;Resolved",ISSUES!$H$5:$H$200,"&lt;&gt;Cancelled",ISSUES!$H$5:$H$200,"&lt;&gt;",ISSUES!$A$5:$A$200,"&lt;&gt;"))</f>
        <v/>
      </c>
      <c r="AB91" s="115" t="n"/>
      <c r="AC91" s="117">
        <f>IF(A91="","",IF(COUNTIF('WORK PACKAGES'!$A$2:$A$100,A91)=0,"NOT IN WORK PACKAGES",IF(COUNTIF($A$2:$A$100,A91)&gt;1,"DUPLICATE","OK")))</f>
        <v/>
      </c>
    </row>
    <row r="92">
      <c r="A92" s="51" t="n"/>
      <c r="B92" s="117">
        <f>IF($A92="","",IFERROR(IF(INDEX('WORK PACKAGES'!$B$2:$B$100,MATCH($A92,'WORK PACKAGES'!$A$2:$A$100,0))="","",INDEX('WORK PACKAGES'!$B$2:$B$100,MATCH($A92,'WORK PACKAGES'!$A$2:$A$100,0))),""))</f>
        <v/>
      </c>
      <c r="C92" s="117">
        <f>IF($A92="","",IFERROR(IF(INDEX('WORK PACKAGES'!$G$2:$G$100,MATCH($A92,'WORK PACKAGES'!$A$2:$A$100,0))="","",INDEX('WORK PACKAGES'!$G$2:$G$100,MATCH($A92,'WORK PACKAGES'!$A$2:$A$100,0))),""))</f>
        <v/>
      </c>
      <c r="D92" s="117">
        <f>IF($A92="","",IFERROR(IF(INDEX('WORK PACKAGES'!$E$2:$E$100,MATCH($A92,'WORK PACKAGES'!$A$2:$A$100,0))="","",INDEX('WORK PACKAGES'!$E$2:$E$100,MATCH($A92,'WORK PACKAGES'!$A$2:$A$100,0))),""))</f>
        <v/>
      </c>
      <c r="E92" s="117">
        <f>IF(A92="","",IF(COUNTIFS('PUNCH LIST'!$G$3:$G$464,A92,'PUNCH LIST'!$Q$3:$Q$464,"Open")=0,"",COUNTIFS('PUNCH LIST'!$G$3:$G$464,A92,'PUNCH LIST'!$Q$3:$Q$464,"Open")))</f>
        <v/>
      </c>
      <c r="F92" s="116" t="n"/>
      <c r="G92" s="116" t="n"/>
      <c r="H92" s="116" t="n"/>
      <c r="I92" s="116" t="n"/>
      <c r="J92" s="116" t="n"/>
      <c r="K92" s="116" t="n"/>
      <c r="L92" s="115" t="n"/>
      <c r="M92" s="115" t="n"/>
      <c r="N92" s="117">
        <f>IF($A92="","",IF(ISBLANK(F92),"",IF(TRIM(F92)="--","--",IF(ISNUMBER(F92),IF(F92&gt;=1,"Yes",IF(F92=0,"No","PARTIAL")),"CHECK"))))</f>
        <v/>
      </c>
      <c r="O92" s="117">
        <f>IF($A92="","",IF(ISBLANK(G92),"",IF(TRIM(G92)="--","--",IF(ISNUMBER(G92),IF(G92&gt;=1,"Yes",IF(G92=0,"No","PARTIAL")),"CHECK"))))</f>
        <v/>
      </c>
      <c r="P92" s="117">
        <f>IF($A92="","",IF(ISBLANK(H92),"",IF(TRIM(H92)="--","--",IF(ISNUMBER(H92),IF(H92&gt;=1,"Yes",IF(H92=0,"No","PARTIAL")),"CHECK"))))</f>
        <v/>
      </c>
      <c r="Q92" s="117">
        <f>IF($A92="","",IF(ISBLANK(I92),"",IF(TRIM(I92)="--","--",IF(ISNUMBER(I92),IF(I92&gt;=1,"Yes",IF(I92=0,"No","PARTIAL")),"CHECK"))))</f>
        <v/>
      </c>
      <c r="R92" s="117">
        <f>IF($A92="","",IF(ISBLANK(J92),"",IF(TRIM(J92)="--","--",IF(ISNUMBER(J92),IF(J92&gt;=1,"Yes",IF(J92=0,"No","PARTIAL")),"CHECK"))))</f>
        <v/>
      </c>
      <c r="S92" s="117">
        <f>IF($A92="","",IF(ISBLANK(K92),"",IF(TRIM(K92)="--","--",IF(ISNUMBER(K92),IF(K92&gt;=1,"Yes",IF(K92=0,"No","PARTIAL")),"CHECK"))))</f>
        <v/>
      </c>
      <c r="T92" s="115" t="n"/>
      <c r="U92" s="115" t="n"/>
      <c r="V92" s="117">
        <f>IF($A92="","",IF(COUNTIF(N92:S92,"--")=6,"--",IF(COUNTIF(N92:S92,"Yes")+COUNTIF(N92:S92,"--")=6,"Yes","No")))</f>
        <v/>
      </c>
      <c r="W92" s="115" t="n"/>
      <c r="X92" s="115" t="n"/>
      <c r="Y92" s="115" t="n"/>
      <c r="Z92" s="117">
        <f>IF($A92="","",COUNTIFS('RFI REGISTER'!$D$5:$D$250,$A92,'RFI REGISTER'!$A$5:$A$250,"RFI-*",'RFI REGISTER'!$C$5:$C$250,"&lt;&gt;Closed",'RFI REGISTER'!$C$5:$C$250,"&lt;&gt;Cancelled"))</f>
        <v/>
      </c>
      <c r="AA92" s="117">
        <f>IF($A92="","",COUNTIFS(ISSUES!$P$5:$P$200,"*"&amp;$A92&amp;"*",ISSUES!$H$5:$H$200,"&lt;&gt;Closed",ISSUES!$H$5:$H$200,"&lt;&gt;Resolved",ISSUES!$H$5:$H$200,"&lt;&gt;Cancelled",ISSUES!$H$5:$H$200,"&lt;&gt;",ISSUES!$A$5:$A$200,"&lt;&gt;"))</f>
        <v/>
      </c>
      <c r="AB92" s="115" t="n"/>
      <c r="AC92" s="117">
        <f>IF(A92="","",IF(COUNTIF('WORK PACKAGES'!$A$2:$A$100,A92)=0,"NOT IN WORK PACKAGES",IF(COUNTIF($A$2:$A$100,A92)&gt;1,"DUPLICATE","OK")))</f>
        <v/>
      </c>
    </row>
    <row r="93">
      <c r="A93" s="51" t="n"/>
      <c r="B93" s="117">
        <f>IF($A93="","",IFERROR(IF(INDEX('WORK PACKAGES'!$B$2:$B$100,MATCH($A93,'WORK PACKAGES'!$A$2:$A$100,0))="","",INDEX('WORK PACKAGES'!$B$2:$B$100,MATCH($A93,'WORK PACKAGES'!$A$2:$A$100,0))),""))</f>
        <v/>
      </c>
      <c r="C93" s="117">
        <f>IF($A93="","",IFERROR(IF(INDEX('WORK PACKAGES'!$G$2:$G$100,MATCH($A93,'WORK PACKAGES'!$A$2:$A$100,0))="","",INDEX('WORK PACKAGES'!$G$2:$G$100,MATCH($A93,'WORK PACKAGES'!$A$2:$A$100,0))),""))</f>
        <v/>
      </c>
      <c r="D93" s="117">
        <f>IF($A93="","",IFERROR(IF(INDEX('WORK PACKAGES'!$E$2:$E$100,MATCH($A93,'WORK PACKAGES'!$A$2:$A$100,0))="","",INDEX('WORK PACKAGES'!$E$2:$E$100,MATCH($A93,'WORK PACKAGES'!$A$2:$A$100,0))),""))</f>
        <v/>
      </c>
      <c r="E93" s="117">
        <f>IF(A93="","",IF(COUNTIFS('PUNCH LIST'!$G$3:$G$464,A93,'PUNCH LIST'!$Q$3:$Q$464,"Open")=0,"",COUNTIFS('PUNCH LIST'!$G$3:$G$464,A93,'PUNCH LIST'!$Q$3:$Q$464,"Open")))</f>
        <v/>
      </c>
      <c r="F93" s="116" t="n"/>
      <c r="G93" s="116" t="n"/>
      <c r="H93" s="116" t="n"/>
      <c r="I93" s="116" t="n"/>
      <c r="J93" s="116" t="n"/>
      <c r="K93" s="116" t="n"/>
      <c r="L93" s="115" t="n"/>
      <c r="M93" s="115" t="n"/>
      <c r="N93" s="117">
        <f>IF($A93="","",IF(ISBLANK(F93),"",IF(TRIM(F93)="--","--",IF(ISNUMBER(F93),IF(F93&gt;=1,"Yes",IF(F93=0,"No","PARTIAL")),"CHECK"))))</f>
        <v/>
      </c>
      <c r="O93" s="117">
        <f>IF($A93="","",IF(ISBLANK(G93),"",IF(TRIM(G93)="--","--",IF(ISNUMBER(G93),IF(G93&gt;=1,"Yes",IF(G93=0,"No","PARTIAL")),"CHECK"))))</f>
        <v/>
      </c>
      <c r="P93" s="117">
        <f>IF($A93="","",IF(ISBLANK(H93),"",IF(TRIM(H93)="--","--",IF(ISNUMBER(H93),IF(H93&gt;=1,"Yes",IF(H93=0,"No","PARTIAL")),"CHECK"))))</f>
        <v/>
      </c>
      <c r="Q93" s="117">
        <f>IF($A93="","",IF(ISBLANK(I93),"",IF(TRIM(I93)="--","--",IF(ISNUMBER(I93),IF(I93&gt;=1,"Yes",IF(I93=0,"No","PARTIAL")),"CHECK"))))</f>
        <v/>
      </c>
      <c r="R93" s="117">
        <f>IF($A93="","",IF(ISBLANK(J93),"",IF(TRIM(J93)="--","--",IF(ISNUMBER(J93),IF(J93&gt;=1,"Yes",IF(J93=0,"No","PARTIAL")),"CHECK"))))</f>
        <v/>
      </c>
      <c r="S93" s="117">
        <f>IF($A93="","",IF(ISBLANK(K93),"",IF(TRIM(K93)="--","--",IF(ISNUMBER(K93),IF(K93&gt;=1,"Yes",IF(K93=0,"No","PARTIAL")),"CHECK"))))</f>
        <v/>
      </c>
      <c r="T93" s="115" t="n"/>
      <c r="U93" s="115" t="n"/>
      <c r="V93" s="117">
        <f>IF($A93="","",IF(COUNTIF(N93:S93,"--")=6,"--",IF(COUNTIF(N93:S93,"Yes")+COUNTIF(N93:S93,"--")=6,"Yes","No")))</f>
        <v/>
      </c>
      <c r="W93" s="115" t="n"/>
      <c r="X93" s="115" t="n"/>
      <c r="Y93" s="115" t="n"/>
      <c r="Z93" s="117">
        <f>IF($A93="","",COUNTIFS('RFI REGISTER'!$D$5:$D$250,$A93,'RFI REGISTER'!$A$5:$A$250,"RFI-*",'RFI REGISTER'!$C$5:$C$250,"&lt;&gt;Closed",'RFI REGISTER'!$C$5:$C$250,"&lt;&gt;Cancelled"))</f>
        <v/>
      </c>
      <c r="AA93" s="117">
        <f>IF($A93="","",COUNTIFS(ISSUES!$P$5:$P$200,"*"&amp;$A93&amp;"*",ISSUES!$H$5:$H$200,"&lt;&gt;Closed",ISSUES!$H$5:$H$200,"&lt;&gt;Resolved",ISSUES!$H$5:$H$200,"&lt;&gt;Cancelled",ISSUES!$H$5:$H$200,"&lt;&gt;",ISSUES!$A$5:$A$200,"&lt;&gt;"))</f>
        <v/>
      </c>
      <c r="AB93" s="115" t="n"/>
      <c r="AC93" s="117">
        <f>IF(A93="","",IF(COUNTIF('WORK PACKAGES'!$A$2:$A$100,A93)=0,"NOT IN WORK PACKAGES",IF(COUNTIF($A$2:$A$100,A93)&gt;1,"DUPLICATE","OK")))</f>
        <v/>
      </c>
    </row>
    <row r="94">
      <c r="A94" s="51" t="n"/>
      <c r="B94" s="117">
        <f>IF($A94="","",IFERROR(IF(INDEX('WORK PACKAGES'!$B$2:$B$100,MATCH($A94,'WORK PACKAGES'!$A$2:$A$100,0))="","",INDEX('WORK PACKAGES'!$B$2:$B$100,MATCH($A94,'WORK PACKAGES'!$A$2:$A$100,0))),""))</f>
        <v/>
      </c>
      <c r="C94" s="117">
        <f>IF($A94="","",IFERROR(IF(INDEX('WORK PACKAGES'!$G$2:$G$100,MATCH($A94,'WORK PACKAGES'!$A$2:$A$100,0))="","",INDEX('WORK PACKAGES'!$G$2:$G$100,MATCH($A94,'WORK PACKAGES'!$A$2:$A$100,0))),""))</f>
        <v/>
      </c>
      <c r="D94" s="117">
        <f>IF($A94="","",IFERROR(IF(INDEX('WORK PACKAGES'!$E$2:$E$100,MATCH($A94,'WORK PACKAGES'!$A$2:$A$100,0))="","",INDEX('WORK PACKAGES'!$E$2:$E$100,MATCH($A94,'WORK PACKAGES'!$A$2:$A$100,0))),""))</f>
        <v/>
      </c>
      <c r="E94" s="117">
        <f>IF(A94="","",IF(COUNTIFS('PUNCH LIST'!$G$3:$G$464,A94,'PUNCH LIST'!$Q$3:$Q$464,"Open")=0,"",COUNTIFS('PUNCH LIST'!$G$3:$G$464,A94,'PUNCH LIST'!$Q$3:$Q$464,"Open")))</f>
        <v/>
      </c>
      <c r="F94" s="116" t="n"/>
      <c r="G94" s="116" t="n"/>
      <c r="H94" s="116" t="n"/>
      <c r="I94" s="116" t="n"/>
      <c r="J94" s="116" t="n"/>
      <c r="K94" s="116" t="n"/>
      <c r="L94" s="115" t="n"/>
      <c r="M94" s="115" t="n"/>
      <c r="N94" s="117">
        <f>IF($A94="","",IF(ISBLANK(F94),"",IF(TRIM(F94)="--","--",IF(ISNUMBER(F94),IF(F94&gt;=1,"Yes",IF(F94=0,"No","PARTIAL")),"CHECK"))))</f>
        <v/>
      </c>
      <c r="O94" s="117">
        <f>IF($A94="","",IF(ISBLANK(G94),"",IF(TRIM(G94)="--","--",IF(ISNUMBER(G94),IF(G94&gt;=1,"Yes",IF(G94=0,"No","PARTIAL")),"CHECK"))))</f>
        <v/>
      </c>
      <c r="P94" s="117">
        <f>IF($A94="","",IF(ISBLANK(H94),"",IF(TRIM(H94)="--","--",IF(ISNUMBER(H94),IF(H94&gt;=1,"Yes",IF(H94=0,"No","PARTIAL")),"CHECK"))))</f>
        <v/>
      </c>
      <c r="Q94" s="117">
        <f>IF($A94="","",IF(ISBLANK(I94),"",IF(TRIM(I94)="--","--",IF(ISNUMBER(I94),IF(I94&gt;=1,"Yes",IF(I94=0,"No","PARTIAL")),"CHECK"))))</f>
        <v/>
      </c>
      <c r="R94" s="117">
        <f>IF($A94="","",IF(ISBLANK(J94),"",IF(TRIM(J94)="--","--",IF(ISNUMBER(J94),IF(J94&gt;=1,"Yes",IF(J94=0,"No","PARTIAL")),"CHECK"))))</f>
        <v/>
      </c>
      <c r="S94" s="117">
        <f>IF($A94="","",IF(ISBLANK(K94),"",IF(TRIM(K94)="--","--",IF(ISNUMBER(K94),IF(K94&gt;=1,"Yes",IF(K94=0,"No","PARTIAL")),"CHECK"))))</f>
        <v/>
      </c>
      <c r="T94" s="115" t="n"/>
      <c r="U94" s="115" t="n"/>
      <c r="V94" s="117">
        <f>IF($A94="","",IF(COUNTIF(N94:S94,"--")=6,"--",IF(COUNTIF(N94:S94,"Yes")+COUNTIF(N94:S94,"--")=6,"Yes","No")))</f>
        <v/>
      </c>
      <c r="W94" s="115" t="n"/>
      <c r="X94" s="115" t="n"/>
      <c r="Y94" s="115" t="n"/>
      <c r="Z94" s="117">
        <f>IF($A94="","",COUNTIFS('RFI REGISTER'!$D$5:$D$250,$A94,'RFI REGISTER'!$A$5:$A$250,"RFI-*",'RFI REGISTER'!$C$5:$C$250,"&lt;&gt;Closed",'RFI REGISTER'!$C$5:$C$250,"&lt;&gt;Cancelled"))</f>
        <v/>
      </c>
      <c r="AA94" s="117">
        <f>IF($A94="","",COUNTIFS(ISSUES!$P$5:$P$200,"*"&amp;$A94&amp;"*",ISSUES!$H$5:$H$200,"&lt;&gt;Closed",ISSUES!$H$5:$H$200,"&lt;&gt;Resolved",ISSUES!$H$5:$H$200,"&lt;&gt;Cancelled",ISSUES!$H$5:$H$200,"&lt;&gt;",ISSUES!$A$5:$A$200,"&lt;&gt;"))</f>
        <v/>
      </c>
      <c r="AB94" s="115" t="n"/>
      <c r="AC94" s="117">
        <f>IF(A94="","",IF(COUNTIF('WORK PACKAGES'!$A$2:$A$100,A94)=0,"NOT IN WORK PACKAGES",IF(COUNTIF($A$2:$A$100,A94)&gt;1,"DUPLICATE","OK")))</f>
        <v/>
      </c>
    </row>
    <row r="95">
      <c r="A95" s="51" t="n"/>
      <c r="B95" s="117">
        <f>IF($A95="","",IFERROR(IF(INDEX('WORK PACKAGES'!$B$2:$B$100,MATCH($A95,'WORK PACKAGES'!$A$2:$A$100,0))="","",INDEX('WORK PACKAGES'!$B$2:$B$100,MATCH($A95,'WORK PACKAGES'!$A$2:$A$100,0))),""))</f>
        <v/>
      </c>
      <c r="C95" s="117">
        <f>IF($A95="","",IFERROR(IF(INDEX('WORK PACKAGES'!$G$2:$G$100,MATCH($A95,'WORK PACKAGES'!$A$2:$A$100,0))="","",INDEX('WORK PACKAGES'!$G$2:$G$100,MATCH($A95,'WORK PACKAGES'!$A$2:$A$100,0))),""))</f>
        <v/>
      </c>
      <c r="D95" s="117">
        <f>IF($A95="","",IFERROR(IF(INDEX('WORK PACKAGES'!$E$2:$E$100,MATCH($A95,'WORK PACKAGES'!$A$2:$A$100,0))="","",INDEX('WORK PACKAGES'!$E$2:$E$100,MATCH($A95,'WORK PACKAGES'!$A$2:$A$100,0))),""))</f>
        <v/>
      </c>
      <c r="E95" s="117">
        <f>IF(A95="","",IF(COUNTIFS('PUNCH LIST'!$G$3:$G$464,A95,'PUNCH LIST'!$Q$3:$Q$464,"Open")=0,"",COUNTIFS('PUNCH LIST'!$G$3:$G$464,A95,'PUNCH LIST'!$Q$3:$Q$464,"Open")))</f>
        <v/>
      </c>
      <c r="F95" s="116" t="n"/>
      <c r="G95" s="116" t="n"/>
      <c r="H95" s="116" t="n"/>
      <c r="I95" s="116" t="n"/>
      <c r="J95" s="116" t="n"/>
      <c r="K95" s="116" t="n"/>
      <c r="L95" s="115" t="n"/>
      <c r="M95" s="115" t="n"/>
      <c r="N95" s="117">
        <f>IF($A95="","",IF(ISBLANK(F95),"",IF(TRIM(F95)="--","--",IF(ISNUMBER(F95),IF(F95&gt;=1,"Yes",IF(F95=0,"No","PARTIAL")),"CHECK"))))</f>
        <v/>
      </c>
      <c r="O95" s="117">
        <f>IF($A95="","",IF(ISBLANK(G95),"",IF(TRIM(G95)="--","--",IF(ISNUMBER(G95),IF(G95&gt;=1,"Yes",IF(G95=0,"No","PARTIAL")),"CHECK"))))</f>
        <v/>
      </c>
      <c r="P95" s="117">
        <f>IF($A95="","",IF(ISBLANK(H95),"",IF(TRIM(H95)="--","--",IF(ISNUMBER(H95),IF(H95&gt;=1,"Yes",IF(H95=0,"No","PARTIAL")),"CHECK"))))</f>
        <v/>
      </c>
      <c r="Q95" s="117">
        <f>IF($A95="","",IF(ISBLANK(I95),"",IF(TRIM(I95)="--","--",IF(ISNUMBER(I95),IF(I95&gt;=1,"Yes",IF(I95=0,"No","PARTIAL")),"CHECK"))))</f>
        <v/>
      </c>
      <c r="R95" s="117">
        <f>IF($A95="","",IF(ISBLANK(J95),"",IF(TRIM(J95)="--","--",IF(ISNUMBER(J95),IF(J95&gt;=1,"Yes",IF(J95=0,"No","PARTIAL")),"CHECK"))))</f>
        <v/>
      </c>
      <c r="S95" s="117">
        <f>IF($A95="","",IF(ISBLANK(K95),"",IF(TRIM(K95)="--","--",IF(ISNUMBER(K95),IF(K95&gt;=1,"Yes",IF(K95=0,"No","PARTIAL")),"CHECK"))))</f>
        <v/>
      </c>
      <c r="T95" s="115" t="n"/>
      <c r="U95" s="115" t="n"/>
      <c r="V95" s="117">
        <f>IF($A95="","",IF(COUNTIF(N95:S95,"--")=6,"--",IF(COUNTIF(N95:S95,"Yes")+COUNTIF(N95:S95,"--")=6,"Yes","No")))</f>
        <v/>
      </c>
      <c r="W95" s="115" t="n"/>
      <c r="X95" s="115" t="n"/>
      <c r="Y95" s="115" t="n"/>
      <c r="Z95" s="117">
        <f>IF($A95="","",COUNTIFS('RFI REGISTER'!$D$5:$D$250,$A95,'RFI REGISTER'!$A$5:$A$250,"RFI-*",'RFI REGISTER'!$C$5:$C$250,"&lt;&gt;Closed",'RFI REGISTER'!$C$5:$C$250,"&lt;&gt;Cancelled"))</f>
        <v/>
      </c>
      <c r="AA95" s="117">
        <f>IF($A95="","",COUNTIFS(ISSUES!$P$5:$P$200,"*"&amp;$A95&amp;"*",ISSUES!$H$5:$H$200,"&lt;&gt;Closed",ISSUES!$H$5:$H$200,"&lt;&gt;Resolved",ISSUES!$H$5:$H$200,"&lt;&gt;Cancelled",ISSUES!$H$5:$H$200,"&lt;&gt;",ISSUES!$A$5:$A$200,"&lt;&gt;"))</f>
        <v/>
      </c>
      <c r="AB95" s="115" t="n"/>
      <c r="AC95" s="117">
        <f>IF(A95="","",IF(COUNTIF('WORK PACKAGES'!$A$2:$A$100,A95)=0,"NOT IN WORK PACKAGES",IF(COUNTIF($A$2:$A$100,A95)&gt;1,"DUPLICATE","OK")))</f>
        <v/>
      </c>
    </row>
    <row r="96">
      <c r="A96" s="51" t="n"/>
      <c r="B96" s="117">
        <f>IF($A96="","",IFERROR(IF(INDEX('WORK PACKAGES'!$B$2:$B$100,MATCH($A96,'WORK PACKAGES'!$A$2:$A$100,0))="","",INDEX('WORK PACKAGES'!$B$2:$B$100,MATCH($A96,'WORK PACKAGES'!$A$2:$A$100,0))),""))</f>
        <v/>
      </c>
      <c r="C96" s="117">
        <f>IF($A96="","",IFERROR(IF(INDEX('WORK PACKAGES'!$G$2:$G$100,MATCH($A96,'WORK PACKAGES'!$A$2:$A$100,0))="","",INDEX('WORK PACKAGES'!$G$2:$G$100,MATCH($A96,'WORK PACKAGES'!$A$2:$A$100,0))),""))</f>
        <v/>
      </c>
      <c r="D96" s="117">
        <f>IF($A96="","",IFERROR(IF(INDEX('WORK PACKAGES'!$E$2:$E$100,MATCH($A96,'WORK PACKAGES'!$A$2:$A$100,0))="","",INDEX('WORK PACKAGES'!$E$2:$E$100,MATCH($A96,'WORK PACKAGES'!$A$2:$A$100,0))),""))</f>
        <v/>
      </c>
      <c r="E96" s="117">
        <f>IF(A96="","",IF(COUNTIFS('PUNCH LIST'!$G$3:$G$464,A96,'PUNCH LIST'!$Q$3:$Q$464,"Open")=0,"",COUNTIFS('PUNCH LIST'!$G$3:$G$464,A96,'PUNCH LIST'!$Q$3:$Q$464,"Open")))</f>
        <v/>
      </c>
      <c r="F96" s="116" t="n"/>
      <c r="G96" s="116" t="n"/>
      <c r="H96" s="116" t="n"/>
      <c r="I96" s="116" t="n"/>
      <c r="J96" s="116" t="n"/>
      <c r="K96" s="116" t="n"/>
      <c r="L96" s="115" t="n"/>
      <c r="M96" s="115" t="n"/>
      <c r="N96" s="117">
        <f>IF($A96="","",IF(ISBLANK(F96),"",IF(TRIM(F96)="--","--",IF(ISNUMBER(F96),IF(F96&gt;=1,"Yes",IF(F96=0,"No","PARTIAL")),"CHECK"))))</f>
        <v/>
      </c>
      <c r="O96" s="117">
        <f>IF($A96="","",IF(ISBLANK(G96),"",IF(TRIM(G96)="--","--",IF(ISNUMBER(G96),IF(G96&gt;=1,"Yes",IF(G96=0,"No","PARTIAL")),"CHECK"))))</f>
        <v/>
      </c>
      <c r="P96" s="117">
        <f>IF($A96="","",IF(ISBLANK(H96),"",IF(TRIM(H96)="--","--",IF(ISNUMBER(H96),IF(H96&gt;=1,"Yes",IF(H96=0,"No","PARTIAL")),"CHECK"))))</f>
        <v/>
      </c>
      <c r="Q96" s="117">
        <f>IF($A96="","",IF(ISBLANK(I96),"",IF(TRIM(I96)="--","--",IF(ISNUMBER(I96),IF(I96&gt;=1,"Yes",IF(I96=0,"No","PARTIAL")),"CHECK"))))</f>
        <v/>
      </c>
      <c r="R96" s="117">
        <f>IF($A96="","",IF(ISBLANK(J96),"",IF(TRIM(J96)="--","--",IF(ISNUMBER(J96),IF(J96&gt;=1,"Yes",IF(J96=0,"No","PARTIAL")),"CHECK"))))</f>
        <v/>
      </c>
      <c r="S96" s="117">
        <f>IF($A96="","",IF(ISBLANK(K96),"",IF(TRIM(K96)="--","--",IF(ISNUMBER(K96),IF(K96&gt;=1,"Yes",IF(K96=0,"No","PARTIAL")),"CHECK"))))</f>
        <v/>
      </c>
      <c r="T96" s="115" t="n"/>
      <c r="U96" s="115" t="n"/>
      <c r="V96" s="117">
        <f>IF($A96="","",IF(COUNTIF(N96:S96,"--")=6,"--",IF(COUNTIF(N96:S96,"Yes")+COUNTIF(N96:S96,"--")=6,"Yes","No")))</f>
        <v/>
      </c>
      <c r="W96" s="115" t="n"/>
      <c r="X96" s="115" t="n"/>
      <c r="Y96" s="115" t="n"/>
      <c r="Z96" s="117">
        <f>IF($A96="","",COUNTIFS('RFI REGISTER'!$D$5:$D$250,$A96,'RFI REGISTER'!$A$5:$A$250,"RFI-*",'RFI REGISTER'!$C$5:$C$250,"&lt;&gt;Closed",'RFI REGISTER'!$C$5:$C$250,"&lt;&gt;Cancelled"))</f>
        <v/>
      </c>
      <c r="AA96" s="117">
        <f>IF($A96="","",COUNTIFS(ISSUES!$P$5:$P$200,"*"&amp;$A96&amp;"*",ISSUES!$H$5:$H$200,"&lt;&gt;Closed",ISSUES!$H$5:$H$200,"&lt;&gt;Resolved",ISSUES!$H$5:$H$200,"&lt;&gt;Cancelled",ISSUES!$H$5:$H$200,"&lt;&gt;",ISSUES!$A$5:$A$200,"&lt;&gt;"))</f>
        <v/>
      </c>
      <c r="AB96" s="115" t="n"/>
      <c r="AC96" s="117">
        <f>IF(A96="","",IF(COUNTIF('WORK PACKAGES'!$A$2:$A$100,A96)=0,"NOT IN WORK PACKAGES",IF(COUNTIF($A$2:$A$100,A96)&gt;1,"DUPLICATE","OK")))</f>
        <v/>
      </c>
    </row>
    <row r="97">
      <c r="A97" s="51" t="n"/>
      <c r="B97" s="117">
        <f>IF($A97="","",IFERROR(IF(INDEX('WORK PACKAGES'!$B$2:$B$100,MATCH($A97,'WORK PACKAGES'!$A$2:$A$100,0))="","",INDEX('WORK PACKAGES'!$B$2:$B$100,MATCH($A97,'WORK PACKAGES'!$A$2:$A$100,0))),""))</f>
        <v/>
      </c>
      <c r="C97" s="117">
        <f>IF($A97="","",IFERROR(IF(INDEX('WORK PACKAGES'!$G$2:$G$100,MATCH($A97,'WORK PACKAGES'!$A$2:$A$100,0))="","",INDEX('WORK PACKAGES'!$G$2:$G$100,MATCH($A97,'WORK PACKAGES'!$A$2:$A$100,0))),""))</f>
        <v/>
      </c>
      <c r="D97" s="117">
        <f>IF($A97="","",IFERROR(IF(INDEX('WORK PACKAGES'!$E$2:$E$100,MATCH($A97,'WORK PACKAGES'!$A$2:$A$100,0))="","",INDEX('WORK PACKAGES'!$E$2:$E$100,MATCH($A97,'WORK PACKAGES'!$A$2:$A$100,0))),""))</f>
        <v/>
      </c>
      <c r="E97" s="117">
        <f>IF(A97="","",IF(COUNTIFS('PUNCH LIST'!$G$3:$G$464,A97,'PUNCH LIST'!$Q$3:$Q$464,"Open")=0,"",COUNTIFS('PUNCH LIST'!$G$3:$G$464,A97,'PUNCH LIST'!$Q$3:$Q$464,"Open")))</f>
        <v/>
      </c>
      <c r="F97" s="116" t="n"/>
      <c r="G97" s="116" t="n"/>
      <c r="H97" s="116" t="n"/>
      <c r="I97" s="116" t="n"/>
      <c r="J97" s="116" t="n"/>
      <c r="K97" s="116" t="n"/>
      <c r="L97" s="115" t="n"/>
      <c r="M97" s="115" t="n"/>
      <c r="N97" s="117">
        <f>IF($A97="","",IF(ISBLANK(F97),"",IF(TRIM(F97)="--","--",IF(ISNUMBER(F97),IF(F97&gt;=1,"Yes",IF(F97=0,"No","PARTIAL")),"CHECK"))))</f>
        <v/>
      </c>
      <c r="O97" s="117">
        <f>IF($A97="","",IF(ISBLANK(G97),"",IF(TRIM(G97)="--","--",IF(ISNUMBER(G97),IF(G97&gt;=1,"Yes",IF(G97=0,"No","PARTIAL")),"CHECK"))))</f>
        <v/>
      </c>
      <c r="P97" s="117">
        <f>IF($A97="","",IF(ISBLANK(H97),"",IF(TRIM(H97)="--","--",IF(ISNUMBER(H97),IF(H97&gt;=1,"Yes",IF(H97=0,"No","PARTIAL")),"CHECK"))))</f>
        <v/>
      </c>
      <c r="Q97" s="117">
        <f>IF($A97="","",IF(ISBLANK(I97),"",IF(TRIM(I97)="--","--",IF(ISNUMBER(I97),IF(I97&gt;=1,"Yes",IF(I97=0,"No","PARTIAL")),"CHECK"))))</f>
        <v/>
      </c>
      <c r="R97" s="117">
        <f>IF($A97="","",IF(ISBLANK(J97),"",IF(TRIM(J97)="--","--",IF(ISNUMBER(J97),IF(J97&gt;=1,"Yes",IF(J97=0,"No","PARTIAL")),"CHECK"))))</f>
        <v/>
      </c>
      <c r="S97" s="117">
        <f>IF($A97="","",IF(ISBLANK(K97),"",IF(TRIM(K97)="--","--",IF(ISNUMBER(K97),IF(K97&gt;=1,"Yes",IF(K97=0,"No","PARTIAL")),"CHECK"))))</f>
        <v/>
      </c>
      <c r="T97" s="115" t="n"/>
      <c r="U97" s="115" t="n"/>
      <c r="V97" s="117">
        <f>IF($A97="","",IF(COUNTIF(N97:S97,"--")=6,"--",IF(COUNTIF(N97:S97,"Yes")+COUNTIF(N97:S97,"--")=6,"Yes","No")))</f>
        <v/>
      </c>
      <c r="W97" s="115" t="n"/>
      <c r="X97" s="115" t="n"/>
      <c r="Y97" s="115" t="n"/>
      <c r="Z97" s="117">
        <f>IF($A97="","",COUNTIFS('RFI REGISTER'!$D$5:$D$250,$A97,'RFI REGISTER'!$A$5:$A$250,"RFI-*",'RFI REGISTER'!$C$5:$C$250,"&lt;&gt;Closed",'RFI REGISTER'!$C$5:$C$250,"&lt;&gt;Cancelled"))</f>
        <v/>
      </c>
      <c r="AA97" s="117">
        <f>IF($A97="","",COUNTIFS(ISSUES!$P$5:$P$200,"*"&amp;$A97&amp;"*",ISSUES!$H$5:$H$200,"&lt;&gt;Closed",ISSUES!$H$5:$H$200,"&lt;&gt;Resolved",ISSUES!$H$5:$H$200,"&lt;&gt;Cancelled",ISSUES!$H$5:$H$200,"&lt;&gt;",ISSUES!$A$5:$A$200,"&lt;&gt;"))</f>
        <v/>
      </c>
      <c r="AB97" s="115" t="n"/>
      <c r="AC97" s="117">
        <f>IF(A97="","",IF(COUNTIF('WORK PACKAGES'!$A$2:$A$100,A97)=0,"NOT IN WORK PACKAGES",IF(COUNTIF($A$2:$A$100,A97)&gt;1,"DUPLICATE","OK")))</f>
        <v/>
      </c>
    </row>
    <row r="98">
      <c r="A98" s="51" t="n"/>
      <c r="B98" s="117">
        <f>IF($A98="","",IFERROR(IF(INDEX('WORK PACKAGES'!$B$2:$B$100,MATCH($A98,'WORK PACKAGES'!$A$2:$A$100,0))="","",INDEX('WORK PACKAGES'!$B$2:$B$100,MATCH($A98,'WORK PACKAGES'!$A$2:$A$100,0))),""))</f>
        <v/>
      </c>
      <c r="C98" s="117">
        <f>IF($A98="","",IFERROR(IF(INDEX('WORK PACKAGES'!$G$2:$G$100,MATCH($A98,'WORK PACKAGES'!$A$2:$A$100,0))="","",INDEX('WORK PACKAGES'!$G$2:$G$100,MATCH($A98,'WORK PACKAGES'!$A$2:$A$100,0))),""))</f>
        <v/>
      </c>
      <c r="D98" s="117">
        <f>IF($A98="","",IFERROR(IF(INDEX('WORK PACKAGES'!$E$2:$E$100,MATCH($A98,'WORK PACKAGES'!$A$2:$A$100,0))="","",INDEX('WORK PACKAGES'!$E$2:$E$100,MATCH($A98,'WORK PACKAGES'!$A$2:$A$100,0))),""))</f>
        <v/>
      </c>
      <c r="E98" s="117">
        <f>IF(A98="","",IF(COUNTIFS('PUNCH LIST'!$G$3:$G$464,A98,'PUNCH LIST'!$Q$3:$Q$464,"Open")=0,"",COUNTIFS('PUNCH LIST'!$G$3:$G$464,A98,'PUNCH LIST'!$Q$3:$Q$464,"Open")))</f>
        <v/>
      </c>
      <c r="F98" s="116" t="n"/>
      <c r="G98" s="116" t="n"/>
      <c r="H98" s="116" t="n"/>
      <c r="I98" s="116" t="n"/>
      <c r="J98" s="116" t="n"/>
      <c r="K98" s="116" t="n"/>
      <c r="L98" s="115" t="n"/>
      <c r="M98" s="115" t="n"/>
      <c r="N98" s="117">
        <f>IF($A98="","",IF(ISBLANK(F98),"",IF(TRIM(F98)="--","--",IF(ISNUMBER(F98),IF(F98&gt;=1,"Yes",IF(F98=0,"No","PARTIAL")),"CHECK"))))</f>
        <v/>
      </c>
      <c r="O98" s="117">
        <f>IF($A98="","",IF(ISBLANK(G98),"",IF(TRIM(G98)="--","--",IF(ISNUMBER(G98),IF(G98&gt;=1,"Yes",IF(G98=0,"No","PARTIAL")),"CHECK"))))</f>
        <v/>
      </c>
      <c r="P98" s="117">
        <f>IF($A98="","",IF(ISBLANK(H98),"",IF(TRIM(H98)="--","--",IF(ISNUMBER(H98),IF(H98&gt;=1,"Yes",IF(H98=0,"No","PARTIAL")),"CHECK"))))</f>
        <v/>
      </c>
      <c r="Q98" s="117">
        <f>IF($A98="","",IF(ISBLANK(I98),"",IF(TRIM(I98)="--","--",IF(ISNUMBER(I98),IF(I98&gt;=1,"Yes",IF(I98=0,"No","PARTIAL")),"CHECK"))))</f>
        <v/>
      </c>
      <c r="R98" s="117">
        <f>IF($A98="","",IF(ISBLANK(J98),"",IF(TRIM(J98)="--","--",IF(ISNUMBER(J98),IF(J98&gt;=1,"Yes",IF(J98=0,"No","PARTIAL")),"CHECK"))))</f>
        <v/>
      </c>
      <c r="S98" s="117">
        <f>IF($A98="","",IF(ISBLANK(K98),"",IF(TRIM(K98)="--","--",IF(ISNUMBER(K98),IF(K98&gt;=1,"Yes",IF(K98=0,"No","PARTIAL")),"CHECK"))))</f>
        <v/>
      </c>
      <c r="T98" s="115" t="n"/>
      <c r="U98" s="115" t="n"/>
      <c r="V98" s="117">
        <f>IF($A98="","",IF(COUNTIF(N98:S98,"--")=6,"--",IF(COUNTIF(N98:S98,"Yes")+COUNTIF(N98:S98,"--")=6,"Yes","No")))</f>
        <v/>
      </c>
      <c r="W98" s="115" t="n"/>
      <c r="X98" s="115" t="n"/>
      <c r="Y98" s="115" t="n"/>
      <c r="Z98" s="117">
        <f>IF($A98="","",COUNTIFS('RFI REGISTER'!$D$5:$D$250,$A98,'RFI REGISTER'!$A$5:$A$250,"RFI-*",'RFI REGISTER'!$C$5:$C$250,"&lt;&gt;Closed",'RFI REGISTER'!$C$5:$C$250,"&lt;&gt;Cancelled"))</f>
        <v/>
      </c>
      <c r="AA98" s="117">
        <f>IF($A98="","",COUNTIFS(ISSUES!$P$5:$P$200,"*"&amp;$A98&amp;"*",ISSUES!$H$5:$H$200,"&lt;&gt;Closed",ISSUES!$H$5:$H$200,"&lt;&gt;Resolved",ISSUES!$H$5:$H$200,"&lt;&gt;Cancelled",ISSUES!$H$5:$H$200,"&lt;&gt;",ISSUES!$A$5:$A$200,"&lt;&gt;"))</f>
        <v/>
      </c>
      <c r="AB98" s="115" t="n"/>
      <c r="AC98" s="117">
        <f>IF(A98="","",IF(COUNTIF('WORK PACKAGES'!$A$2:$A$100,A98)=0,"NOT IN WORK PACKAGES",IF(COUNTIF($A$2:$A$100,A98)&gt;1,"DUPLICATE","OK")))</f>
        <v/>
      </c>
    </row>
    <row r="99">
      <c r="A99" s="51" t="n"/>
      <c r="B99" s="117">
        <f>IF($A99="","",IFERROR(IF(INDEX('WORK PACKAGES'!$B$2:$B$100,MATCH($A99,'WORK PACKAGES'!$A$2:$A$100,0))="","",INDEX('WORK PACKAGES'!$B$2:$B$100,MATCH($A99,'WORK PACKAGES'!$A$2:$A$100,0))),""))</f>
        <v/>
      </c>
      <c r="C99" s="117">
        <f>IF($A99="","",IFERROR(IF(INDEX('WORK PACKAGES'!$G$2:$G$100,MATCH($A99,'WORK PACKAGES'!$A$2:$A$100,0))="","",INDEX('WORK PACKAGES'!$G$2:$G$100,MATCH($A99,'WORK PACKAGES'!$A$2:$A$100,0))),""))</f>
        <v/>
      </c>
      <c r="D99" s="117">
        <f>IF($A99="","",IFERROR(IF(INDEX('WORK PACKAGES'!$E$2:$E$100,MATCH($A99,'WORK PACKAGES'!$A$2:$A$100,0))="","",INDEX('WORK PACKAGES'!$E$2:$E$100,MATCH($A99,'WORK PACKAGES'!$A$2:$A$100,0))),""))</f>
        <v/>
      </c>
      <c r="E99" s="117">
        <f>IF(A99="","",IF(COUNTIFS('PUNCH LIST'!$G$3:$G$464,A99,'PUNCH LIST'!$Q$3:$Q$464,"Open")=0,"",COUNTIFS('PUNCH LIST'!$G$3:$G$464,A99,'PUNCH LIST'!$Q$3:$Q$464,"Open")))</f>
        <v/>
      </c>
      <c r="F99" s="116" t="n"/>
      <c r="G99" s="116" t="n"/>
      <c r="H99" s="116" t="n"/>
      <c r="I99" s="116" t="n"/>
      <c r="J99" s="116" t="n"/>
      <c r="K99" s="116" t="n"/>
      <c r="L99" s="115" t="n"/>
      <c r="M99" s="115" t="n"/>
      <c r="N99" s="117">
        <f>IF($A99="","",IF(ISBLANK(F99),"",IF(TRIM(F99)="--","--",IF(ISNUMBER(F99),IF(F99&gt;=1,"Yes",IF(F99=0,"No","PARTIAL")),"CHECK"))))</f>
        <v/>
      </c>
      <c r="O99" s="117">
        <f>IF($A99="","",IF(ISBLANK(G99),"",IF(TRIM(G99)="--","--",IF(ISNUMBER(G99),IF(G99&gt;=1,"Yes",IF(G99=0,"No","PARTIAL")),"CHECK"))))</f>
        <v/>
      </c>
      <c r="P99" s="117">
        <f>IF($A99="","",IF(ISBLANK(H99),"",IF(TRIM(H99)="--","--",IF(ISNUMBER(H99),IF(H99&gt;=1,"Yes",IF(H99=0,"No","PARTIAL")),"CHECK"))))</f>
        <v/>
      </c>
      <c r="Q99" s="117">
        <f>IF($A99="","",IF(ISBLANK(I99),"",IF(TRIM(I99)="--","--",IF(ISNUMBER(I99),IF(I99&gt;=1,"Yes",IF(I99=0,"No","PARTIAL")),"CHECK"))))</f>
        <v/>
      </c>
      <c r="R99" s="117">
        <f>IF($A99="","",IF(ISBLANK(J99),"",IF(TRIM(J99)="--","--",IF(ISNUMBER(J99),IF(J99&gt;=1,"Yes",IF(J99=0,"No","PARTIAL")),"CHECK"))))</f>
        <v/>
      </c>
      <c r="S99" s="117">
        <f>IF($A99="","",IF(ISBLANK(K99),"",IF(TRIM(K99)="--","--",IF(ISNUMBER(K99),IF(K99&gt;=1,"Yes",IF(K99=0,"No","PARTIAL")),"CHECK"))))</f>
        <v/>
      </c>
      <c r="T99" s="115" t="n"/>
      <c r="U99" s="115" t="n"/>
      <c r="V99" s="117">
        <f>IF($A99="","",IF(COUNTIF(N99:S99,"--")=6,"--",IF(COUNTIF(N99:S99,"Yes")+COUNTIF(N99:S99,"--")=6,"Yes","No")))</f>
        <v/>
      </c>
      <c r="W99" s="115" t="n"/>
      <c r="X99" s="115" t="n"/>
      <c r="Y99" s="115" t="n"/>
      <c r="Z99" s="117">
        <f>IF($A99="","",COUNTIFS('RFI REGISTER'!$D$5:$D$250,$A99,'RFI REGISTER'!$A$5:$A$250,"RFI-*",'RFI REGISTER'!$C$5:$C$250,"&lt;&gt;Closed",'RFI REGISTER'!$C$5:$C$250,"&lt;&gt;Cancelled"))</f>
        <v/>
      </c>
      <c r="AA99" s="117">
        <f>IF($A99="","",COUNTIFS(ISSUES!$P$5:$P$200,"*"&amp;$A99&amp;"*",ISSUES!$H$5:$H$200,"&lt;&gt;Closed",ISSUES!$H$5:$H$200,"&lt;&gt;Resolved",ISSUES!$H$5:$H$200,"&lt;&gt;Cancelled",ISSUES!$H$5:$H$200,"&lt;&gt;",ISSUES!$A$5:$A$200,"&lt;&gt;"))</f>
        <v/>
      </c>
      <c r="AB99" s="115" t="n"/>
      <c r="AC99" s="117">
        <f>IF(A99="","",IF(COUNTIF('WORK PACKAGES'!$A$2:$A$100,A99)=0,"NOT IN WORK PACKAGES",IF(COUNTIF($A$2:$A$100,A99)&gt;1,"DUPLICATE","OK")))</f>
        <v/>
      </c>
    </row>
    <row r="100">
      <c r="A100" s="51" t="n"/>
      <c r="B100" s="117">
        <f>IF($A100="","",IFERROR(IF(INDEX('WORK PACKAGES'!$B$2:$B$100,MATCH($A100,'WORK PACKAGES'!$A$2:$A$100,0))="","",INDEX('WORK PACKAGES'!$B$2:$B$100,MATCH($A100,'WORK PACKAGES'!$A$2:$A$100,0))),""))</f>
        <v/>
      </c>
      <c r="C100" s="117">
        <f>IF($A100="","",IFERROR(IF(INDEX('WORK PACKAGES'!$G$2:$G$100,MATCH($A100,'WORK PACKAGES'!$A$2:$A$100,0))="","",INDEX('WORK PACKAGES'!$G$2:$G$100,MATCH($A100,'WORK PACKAGES'!$A$2:$A$100,0))),""))</f>
        <v/>
      </c>
      <c r="D100" s="117">
        <f>IF($A100="","",IFERROR(IF(INDEX('WORK PACKAGES'!$E$2:$E$100,MATCH($A100,'WORK PACKAGES'!$A$2:$A$100,0))="","",INDEX('WORK PACKAGES'!$E$2:$E$100,MATCH($A100,'WORK PACKAGES'!$A$2:$A$100,0))),""))</f>
        <v/>
      </c>
      <c r="E100" s="117">
        <f>IF(A100="","",IF(COUNTIFS('PUNCH LIST'!$G$3:$G$464,A100,'PUNCH LIST'!$Q$3:$Q$464,"Open")=0,"",COUNTIFS('PUNCH LIST'!$G$3:$G$464,A100,'PUNCH LIST'!$Q$3:$Q$464,"Open")))</f>
        <v/>
      </c>
      <c r="F100" s="116" t="n"/>
      <c r="G100" s="116" t="n"/>
      <c r="H100" s="116" t="n"/>
      <c r="I100" s="116" t="n"/>
      <c r="J100" s="116" t="n"/>
      <c r="K100" s="116" t="n"/>
      <c r="L100" s="115" t="n"/>
      <c r="M100" s="115" t="n"/>
      <c r="N100" s="117">
        <f>IF($A100="","",IF(ISBLANK(F100),"",IF(TRIM(F100)="--","--",IF(ISNUMBER(F100),IF(F100&gt;=1,"Yes",IF(F100=0,"No","PARTIAL")),"CHECK"))))</f>
        <v/>
      </c>
      <c r="O100" s="117">
        <f>IF($A100="","",IF(ISBLANK(G100),"",IF(TRIM(G100)="--","--",IF(ISNUMBER(G100),IF(G100&gt;=1,"Yes",IF(G100=0,"No","PARTIAL")),"CHECK"))))</f>
        <v/>
      </c>
      <c r="P100" s="117">
        <f>IF($A100="","",IF(ISBLANK(H100),"",IF(TRIM(H100)="--","--",IF(ISNUMBER(H100),IF(H100&gt;=1,"Yes",IF(H100=0,"No","PARTIAL")),"CHECK"))))</f>
        <v/>
      </c>
      <c r="Q100" s="117">
        <f>IF($A100="","",IF(ISBLANK(I100),"",IF(TRIM(I100)="--","--",IF(ISNUMBER(I100),IF(I100&gt;=1,"Yes",IF(I100=0,"No","PARTIAL")),"CHECK"))))</f>
        <v/>
      </c>
      <c r="R100" s="117">
        <f>IF($A100="","",IF(ISBLANK(J100),"",IF(TRIM(J100)="--","--",IF(ISNUMBER(J100),IF(J100&gt;=1,"Yes",IF(J100=0,"No","PARTIAL")),"CHECK"))))</f>
        <v/>
      </c>
      <c r="S100" s="117">
        <f>IF($A100="","",IF(ISBLANK(K100),"",IF(TRIM(K100)="--","--",IF(ISNUMBER(K100),IF(K100&gt;=1,"Yes",IF(K100=0,"No","PARTIAL")),"CHECK"))))</f>
        <v/>
      </c>
      <c r="T100" s="115" t="n"/>
      <c r="U100" s="115" t="n"/>
      <c r="V100" s="117">
        <f>IF($A100="","",IF(COUNTIF(N100:S100,"--")=6,"--",IF(COUNTIF(N100:S100,"Yes")+COUNTIF(N100:S100,"--")=6,"Yes","No")))</f>
        <v/>
      </c>
      <c r="W100" s="115" t="n"/>
      <c r="X100" s="115" t="n"/>
      <c r="Y100" s="115" t="n"/>
      <c r="Z100" s="117">
        <f>IF($A100="","",COUNTIFS('RFI REGISTER'!$D$5:$D$250,$A100,'RFI REGISTER'!$A$5:$A$250,"RFI-*",'RFI REGISTER'!$C$5:$C$250,"&lt;&gt;Closed",'RFI REGISTER'!$C$5:$C$250,"&lt;&gt;Cancelled"))</f>
        <v/>
      </c>
      <c r="AA100" s="117">
        <f>IF($A100="","",COUNTIFS(ISSUES!$P$5:$P$200,"*"&amp;$A100&amp;"*",ISSUES!$H$5:$H$200,"&lt;&gt;Closed",ISSUES!$H$5:$H$200,"&lt;&gt;Resolved",ISSUES!$H$5:$H$200,"&lt;&gt;Cancelled",ISSUES!$H$5:$H$200,"&lt;&gt;",ISSUES!$A$5:$A$200,"&lt;&gt;"))</f>
        <v/>
      </c>
      <c r="AB100" s="115" t="n"/>
      <c r="AC100" s="117">
        <f>IF(A100="","",IF(COUNTIF('WORK PACKAGES'!$A$2:$A$100,A100)=0,"NOT IN WORK PACKAGES",IF(COUNTIF($A$2:$A$100,A100)&gt;1,"DUPLICATE","OK")))</f>
        <v/>
      </c>
    </row>
  </sheetData>
  <dataValidations count="2">
    <dataValidation sqref="Y2:Y100" showDropDown="0" showInputMessage="0" showErrorMessage="0" allowBlank="1" type="list">
      <formula1>"X"</formula1>
    </dataValidation>
    <dataValidation sqref="A2:A100" showDropDown="0" showInputMessage="0" showErrorMessage="1" allowBlank="1" error="Work Package IDs are owned by the WORK PACKAGES tab." type="list">
      <formula1>ValidWorkPackageIDs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7" sqref="A7"/>
    </sheetView>
  </sheetViews>
  <sheetFormatPr baseColWidth="8" defaultColWidth="8.7109375" defaultRowHeight="15"/>
  <cols>
    <col width="24" customWidth="1" style="130" min="1" max="1"/>
    <col width="19" customWidth="1" style="130" min="2" max="2"/>
    <col width="18" customWidth="1" style="130" min="3" max="3"/>
    <col width="23" customWidth="1" style="130" min="4" max="4"/>
    <col width="75" customWidth="1" style="130" min="5" max="5"/>
    <col width="26" customWidth="1" style="130" min="6" max="6"/>
    <col width="20" customWidth="1" style="130" min="7" max="7"/>
    <col width="16" customWidth="1" style="130" min="8" max="8"/>
  </cols>
  <sheetData>
    <row r="1" ht="15" customHeight="1" s="130">
      <c r="A1" t="inlineStr">
        <is>
          <t>PM / PE BLOCKED ITEMS REVIEW</t>
        </is>
      </c>
    </row>
    <row r="2" ht="15" customHeight="1" s="130">
      <c r="A2" t="inlineStr">
        <is>
          <t>Filter the Record ID column to nonblanks. Each X flag is independent; report does not set or clear flags.</t>
        </is>
      </c>
    </row>
    <row r="4" ht="15" customHeight="1" s="130">
      <c r="A4" s="19" t="inlineStr">
        <is>
          <t>Register</t>
        </is>
      </c>
      <c r="B4" s="19" t="inlineStr">
        <is>
          <t>Record ID</t>
        </is>
      </c>
      <c r="C4" s="19" t="inlineStr">
        <is>
          <t>Scope ID</t>
        </is>
      </c>
      <c r="D4" s="19" t="inlineStr">
        <is>
          <t>Work Package ID(s)</t>
        </is>
      </c>
      <c r="E4" s="19" t="inlineStr">
        <is>
          <t>Description / Question / Task</t>
        </is>
      </c>
      <c r="F4" s="19" t="inlineStr">
        <is>
          <t>Owner</t>
        </is>
      </c>
      <c r="G4" s="19" t="inlineStr">
        <is>
          <t>Status</t>
        </is>
      </c>
      <c r="H4" s="19" t="inlineStr">
        <is>
          <t>Blocked (X)</t>
        </is>
      </c>
    </row>
    <row r="5" ht="15" customHeight="1" s="130">
      <c r="A5">
        <f>IF('WP PROGRESS'!$Y$2="X","WP PROGRESS","")</f>
        <v/>
      </c>
      <c r="B5">
        <f>IF('WP PROGRESS'!$Y$2="X",'WP PROGRESS'!A2,"")</f>
        <v/>
      </c>
      <c r="C5">
        <f>IF('WP PROGRESS'!$Y$2="X",'WP PROGRESS'!C2,"")</f>
        <v/>
      </c>
      <c r="D5">
        <f>IF('WP PROGRESS'!$Y$2="X",'WP PROGRESS'!A2,"")</f>
        <v/>
      </c>
      <c r="E5">
        <f>IF('WP PROGRESS'!$Y$2="X",IFERROR(INDEX('WORK PACKAGES'!$C$2:$C$100,MATCH('WP PROGRESS'!A2,'WORK PACKAGES'!$A$2:$A$100,0)),""),"")</f>
        <v/>
      </c>
      <c r="H5">
        <f>IF('WP PROGRESS'!$Y$2="X","X","")</f>
        <v/>
      </c>
    </row>
    <row r="6" ht="15" customHeight="1" s="130">
      <c r="A6">
        <f>IF('WP PROGRESS'!$Y$3="X","WP PROGRESS","")</f>
        <v/>
      </c>
      <c r="B6">
        <f>IF('WP PROGRESS'!$Y$3="X",'WP PROGRESS'!A3,"")</f>
        <v/>
      </c>
      <c r="C6">
        <f>IF('WP PROGRESS'!$Y$3="X",'WP PROGRESS'!C3,"")</f>
        <v/>
      </c>
      <c r="D6">
        <f>IF('WP PROGRESS'!$Y$3="X",'WP PROGRESS'!A3,"")</f>
        <v/>
      </c>
      <c r="E6">
        <f>IF('WP PROGRESS'!$Y$3="X",IFERROR(INDEX('WORK PACKAGES'!$C$2:$C$100,MATCH('WP PROGRESS'!A3,'WORK PACKAGES'!$A$2:$A$100,0)),""),"")</f>
        <v/>
      </c>
      <c r="H6">
        <f>IF('WP PROGRESS'!$Y$3="X","X","")</f>
        <v/>
      </c>
    </row>
    <row r="7" ht="15" customHeight="1" s="130">
      <c r="A7">
        <f>IF('WP PROGRESS'!$Y$4="X","WP PROGRESS","")</f>
        <v/>
      </c>
      <c r="B7">
        <f>IF('WP PROGRESS'!$Y$4="X",'WP PROGRESS'!A4,"")</f>
        <v/>
      </c>
      <c r="C7">
        <f>IF('WP PROGRESS'!$Y$4="X",'WP PROGRESS'!C4,"")</f>
        <v/>
      </c>
      <c r="D7">
        <f>IF('WP PROGRESS'!$Y$4="X",'WP PROGRESS'!A4,"")</f>
        <v/>
      </c>
      <c r="E7">
        <f>IF('WP PROGRESS'!$Y$4="X",IFERROR(INDEX('WORK PACKAGES'!$C$2:$C$100,MATCH('WP PROGRESS'!A4,'WORK PACKAGES'!$A$2:$A$100,0)),""),"")</f>
        <v/>
      </c>
      <c r="H7">
        <f>IF('WP PROGRESS'!$Y$4="X","X","")</f>
        <v/>
      </c>
    </row>
    <row r="8" ht="15" customHeight="1" s="130">
      <c r="A8">
        <f>IF('WP PROGRESS'!$Y$5="X","WP PROGRESS","")</f>
        <v/>
      </c>
      <c r="B8">
        <f>IF('WP PROGRESS'!$Y$5="X",'WP PROGRESS'!A5,"")</f>
        <v/>
      </c>
      <c r="C8">
        <f>IF('WP PROGRESS'!$Y$5="X",'WP PROGRESS'!C5,"")</f>
        <v/>
      </c>
      <c r="D8">
        <f>IF('WP PROGRESS'!$Y$5="X",'WP PROGRESS'!A5,"")</f>
        <v/>
      </c>
      <c r="E8">
        <f>IF('WP PROGRESS'!$Y$5="X",IFERROR(INDEX('WORK PACKAGES'!$C$2:$C$100,MATCH('WP PROGRESS'!A5,'WORK PACKAGES'!$A$2:$A$100,0)),""),"")</f>
        <v/>
      </c>
      <c r="H8">
        <f>IF('WP PROGRESS'!$Y$5="X","X","")</f>
        <v/>
      </c>
    </row>
    <row r="9" ht="15" customHeight="1" s="130">
      <c r="A9">
        <f>IF('WP PROGRESS'!$Y$6="X","WP PROGRESS","")</f>
        <v/>
      </c>
      <c r="B9">
        <f>IF('WP PROGRESS'!$Y$6="X",'WP PROGRESS'!A6,"")</f>
        <v/>
      </c>
      <c r="C9">
        <f>IF('WP PROGRESS'!$Y$6="X",'WP PROGRESS'!C6,"")</f>
        <v/>
      </c>
      <c r="D9">
        <f>IF('WP PROGRESS'!$Y$6="X",'WP PROGRESS'!A6,"")</f>
        <v/>
      </c>
      <c r="E9">
        <f>IF('WP PROGRESS'!$Y$6="X",IFERROR(INDEX('WORK PACKAGES'!$C$2:$C$100,MATCH('WP PROGRESS'!A6,'WORK PACKAGES'!$A$2:$A$100,0)),""),"")</f>
        <v/>
      </c>
      <c r="H9">
        <f>IF('WP PROGRESS'!$Y$6="X","X","")</f>
        <v/>
      </c>
    </row>
    <row r="10" ht="15" customHeight="1" s="130">
      <c r="A10">
        <f>IF('WP PROGRESS'!$Y$7="X","WP PROGRESS","")</f>
        <v/>
      </c>
      <c r="B10">
        <f>IF('WP PROGRESS'!$Y$7="X",'WP PROGRESS'!A7,"")</f>
        <v/>
      </c>
      <c r="C10">
        <f>IF('WP PROGRESS'!$Y$7="X",'WP PROGRESS'!C7,"")</f>
        <v/>
      </c>
      <c r="D10">
        <f>IF('WP PROGRESS'!$Y$7="X",'WP PROGRESS'!A7,"")</f>
        <v/>
      </c>
      <c r="E10">
        <f>IF('WP PROGRESS'!$Y$7="X",IFERROR(INDEX('WORK PACKAGES'!$C$2:$C$100,MATCH('WP PROGRESS'!A7,'WORK PACKAGES'!$A$2:$A$100,0)),""),"")</f>
        <v/>
      </c>
      <c r="H10">
        <f>IF('WP PROGRESS'!$Y$7="X","X","")</f>
        <v/>
      </c>
    </row>
    <row r="11" ht="15" customHeight="1" s="130">
      <c r="A11">
        <f>IF('WP PROGRESS'!$Y$8="X","WP PROGRESS","")</f>
        <v/>
      </c>
      <c r="B11">
        <f>IF('WP PROGRESS'!$Y$8="X",'WP PROGRESS'!A8,"")</f>
        <v/>
      </c>
      <c r="C11">
        <f>IF('WP PROGRESS'!$Y$8="X",'WP PROGRESS'!C8,"")</f>
        <v/>
      </c>
      <c r="D11">
        <f>IF('WP PROGRESS'!$Y$8="X",'WP PROGRESS'!A8,"")</f>
        <v/>
      </c>
      <c r="E11">
        <f>IF('WP PROGRESS'!$Y$8="X",IFERROR(INDEX('WORK PACKAGES'!$C$2:$C$100,MATCH('WP PROGRESS'!A8,'WORK PACKAGES'!$A$2:$A$100,0)),""),"")</f>
        <v/>
      </c>
      <c r="H11">
        <f>IF('WP PROGRESS'!$Y$8="X","X","")</f>
        <v/>
      </c>
    </row>
    <row r="12" ht="15" customHeight="1" s="130">
      <c r="A12">
        <f>IF('WP PROGRESS'!$Y$9="X","WP PROGRESS","")</f>
        <v/>
      </c>
      <c r="B12">
        <f>IF('WP PROGRESS'!$Y$9="X",'WP PROGRESS'!A9,"")</f>
        <v/>
      </c>
      <c r="C12">
        <f>IF('WP PROGRESS'!$Y$9="X",'WP PROGRESS'!C9,"")</f>
        <v/>
      </c>
      <c r="D12">
        <f>IF('WP PROGRESS'!$Y$9="X",'WP PROGRESS'!A9,"")</f>
        <v/>
      </c>
      <c r="E12">
        <f>IF('WP PROGRESS'!$Y$9="X",IFERROR(INDEX('WORK PACKAGES'!$C$2:$C$100,MATCH('WP PROGRESS'!A9,'WORK PACKAGES'!$A$2:$A$100,0)),""),"")</f>
        <v/>
      </c>
      <c r="H12">
        <f>IF('WP PROGRESS'!$Y$9="X","X","")</f>
        <v/>
      </c>
    </row>
    <row r="13" ht="15" customHeight="1" s="130">
      <c r="A13">
        <f>IF('WP PROGRESS'!$Y$10="X","WP PROGRESS","")</f>
        <v/>
      </c>
      <c r="B13">
        <f>IF('WP PROGRESS'!$Y$10="X",'WP PROGRESS'!A10,"")</f>
        <v/>
      </c>
      <c r="C13">
        <f>IF('WP PROGRESS'!$Y$10="X",'WP PROGRESS'!C10,"")</f>
        <v/>
      </c>
      <c r="D13">
        <f>IF('WP PROGRESS'!$Y$10="X",'WP PROGRESS'!A10,"")</f>
        <v/>
      </c>
      <c r="E13">
        <f>IF('WP PROGRESS'!$Y$10="X",IFERROR(INDEX('WORK PACKAGES'!$C$2:$C$100,MATCH('WP PROGRESS'!A10,'WORK PACKAGES'!$A$2:$A$100,0)),""),"")</f>
        <v/>
      </c>
      <c r="H13">
        <f>IF('WP PROGRESS'!$Y$10="X","X","")</f>
        <v/>
      </c>
    </row>
    <row r="14" ht="15" customHeight="1" s="130">
      <c r="A14">
        <f>IF('WP PROGRESS'!$Y$11="X","WP PROGRESS","")</f>
        <v/>
      </c>
      <c r="B14">
        <f>IF('WP PROGRESS'!$Y$11="X",'WP PROGRESS'!A11,"")</f>
        <v/>
      </c>
      <c r="C14">
        <f>IF('WP PROGRESS'!$Y$11="X",'WP PROGRESS'!C11,"")</f>
        <v/>
      </c>
      <c r="D14">
        <f>IF('WP PROGRESS'!$Y$11="X",'WP PROGRESS'!A11,"")</f>
        <v/>
      </c>
      <c r="E14">
        <f>IF('WP PROGRESS'!$Y$11="X",IFERROR(INDEX('WORK PACKAGES'!$C$2:$C$100,MATCH('WP PROGRESS'!A11,'WORK PACKAGES'!$A$2:$A$100,0)),""),"")</f>
        <v/>
      </c>
      <c r="H14">
        <f>IF('WP PROGRESS'!$Y$11="X","X","")</f>
        <v/>
      </c>
    </row>
    <row r="15" ht="15" customHeight="1" s="130">
      <c r="A15">
        <f>IF('WP PROGRESS'!$Y$12="X","WP PROGRESS","")</f>
        <v/>
      </c>
      <c r="B15">
        <f>IF('WP PROGRESS'!$Y$12="X",'WP PROGRESS'!A12,"")</f>
        <v/>
      </c>
      <c r="C15">
        <f>IF('WP PROGRESS'!$Y$12="X",'WP PROGRESS'!C12,"")</f>
        <v/>
      </c>
      <c r="D15">
        <f>IF('WP PROGRESS'!$Y$12="X",'WP PROGRESS'!A12,"")</f>
        <v/>
      </c>
      <c r="E15">
        <f>IF('WP PROGRESS'!$Y$12="X",IFERROR(INDEX('WORK PACKAGES'!$C$2:$C$100,MATCH('WP PROGRESS'!A12,'WORK PACKAGES'!$A$2:$A$100,0)),""),"")</f>
        <v/>
      </c>
      <c r="H15">
        <f>IF('WP PROGRESS'!$Y$12="X","X","")</f>
        <v/>
      </c>
    </row>
    <row r="16" ht="15" customHeight="1" s="130">
      <c r="A16">
        <f>IF('WP PROGRESS'!$Y$13="X","WP PROGRESS","")</f>
        <v/>
      </c>
      <c r="B16">
        <f>IF('WP PROGRESS'!$Y$13="X",'WP PROGRESS'!A13,"")</f>
        <v/>
      </c>
      <c r="C16">
        <f>IF('WP PROGRESS'!$Y$13="X",'WP PROGRESS'!C13,"")</f>
        <v/>
      </c>
      <c r="D16">
        <f>IF('WP PROGRESS'!$Y$13="X",'WP PROGRESS'!A13,"")</f>
        <v/>
      </c>
      <c r="E16">
        <f>IF('WP PROGRESS'!$Y$13="X",IFERROR(INDEX('WORK PACKAGES'!$C$2:$C$100,MATCH('WP PROGRESS'!A13,'WORK PACKAGES'!$A$2:$A$100,0)),""),"")</f>
        <v/>
      </c>
      <c r="H16">
        <f>IF('WP PROGRESS'!$Y$13="X","X","")</f>
        <v/>
      </c>
    </row>
    <row r="17" ht="15" customHeight="1" s="130">
      <c r="A17">
        <f>IF('WP PROGRESS'!$Y$14="X","WP PROGRESS","")</f>
        <v/>
      </c>
      <c r="B17">
        <f>IF('WP PROGRESS'!$Y$14="X",'WP PROGRESS'!A14,"")</f>
        <v/>
      </c>
      <c r="C17">
        <f>IF('WP PROGRESS'!$Y$14="X",'WP PROGRESS'!C14,"")</f>
        <v/>
      </c>
      <c r="D17">
        <f>IF('WP PROGRESS'!$Y$14="X",'WP PROGRESS'!A14,"")</f>
        <v/>
      </c>
      <c r="E17">
        <f>IF('WP PROGRESS'!$Y$14="X",IFERROR(INDEX('WORK PACKAGES'!$C$2:$C$100,MATCH('WP PROGRESS'!A14,'WORK PACKAGES'!$A$2:$A$100,0)),""),"")</f>
        <v/>
      </c>
      <c r="H17">
        <f>IF('WP PROGRESS'!$Y$14="X","X","")</f>
        <v/>
      </c>
    </row>
    <row r="18" ht="15" customHeight="1" s="130">
      <c r="A18">
        <f>IF('WP PROGRESS'!$Y$15="X","WP PROGRESS","")</f>
        <v/>
      </c>
      <c r="B18">
        <f>IF('WP PROGRESS'!$Y$15="X",'WP PROGRESS'!A15,"")</f>
        <v/>
      </c>
      <c r="C18">
        <f>IF('WP PROGRESS'!$Y$15="X",'WP PROGRESS'!C15,"")</f>
        <v/>
      </c>
      <c r="D18">
        <f>IF('WP PROGRESS'!$Y$15="X",'WP PROGRESS'!A15,"")</f>
        <v/>
      </c>
      <c r="E18">
        <f>IF('WP PROGRESS'!$Y$15="X",IFERROR(INDEX('WORK PACKAGES'!$C$2:$C$100,MATCH('WP PROGRESS'!A15,'WORK PACKAGES'!$A$2:$A$100,0)),""),"")</f>
        <v/>
      </c>
      <c r="H18">
        <f>IF('WP PROGRESS'!$Y$15="X","X","")</f>
        <v/>
      </c>
    </row>
    <row r="19" ht="15" customHeight="1" s="130">
      <c r="A19">
        <f>IF('WP PROGRESS'!$Y$16="X","WP PROGRESS","")</f>
        <v/>
      </c>
      <c r="B19">
        <f>IF('WP PROGRESS'!$Y$16="X",'WP PROGRESS'!A16,"")</f>
        <v/>
      </c>
      <c r="C19">
        <f>IF('WP PROGRESS'!$Y$16="X",'WP PROGRESS'!C16,"")</f>
        <v/>
      </c>
      <c r="D19">
        <f>IF('WP PROGRESS'!$Y$16="X",'WP PROGRESS'!A16,"")</f>
        <v/>
      </c>
      <c r="E19">
        <f>IF('WP PROGRESS'!$Y$16="X",IFERROR(INDEX('WORK PACKAGES'!$C$2:$C$100,MATCH('WP PROGRESS'!A16,'WORK PACKAGES'!$A$2:$A$100,0)),""),"")</f>
        <v/>
      </c>
      <c r="H19">
        <f>IF('WP PROGRESS'!$Y$16="X","X","")</f>
        <v/>
      </c>
    </row>
    <row r="20" ht="15" customHeight="1" s="130">
      <c r="A20">
        <f>IF('WP PROGRESS'!$Y$17="X","WP PROGRESS","")</f>
        <v/>
      </c>
      <c r="B20">
        <f>IF('WP PROGRESS'!$Y$17="X",'WP PROGRESS'!A17,"")</f>
        <v/>
      </c>
      <c r="C20">
        <f>IF('WP PROGRESS'!$Y$17="X",'WP PROGRESS'!C17,"")</f>
        <v/>
      </c>
      <c r="D20">
        <f>IF('WP PROGRESS'!$Y$17="X",'WP PROGRESS'!A17,"")</f>
        <v/>
      </c>
      <c r="E20">
        <f>IF('WP PROGRESS'!$Y$17="X",IFERROR(INDEX('WORK PACKAGES'!$C$2:$C$100,MATCH('WP PROGRESS'!A17,'WORK PACKAGES'!$A$2:$A$100,0)),""),"")</f>
        <v/>
      </c>
      <c r="H20">
        <f>IF('WP PROGRESS'!$Y$17="X","X","")</f>
        <v/>
      </c>
    </row>
    <row r="21" ht="15" customHeight="1" s="130">
      <c r="A21">
        <f>IF('WP PROGRESS'!$Y$18="X","WP PROGRESS","")</f>
        <v/>
      </c>
      <c r="B21">
        <f>IF('WP PROGRESS'!$Y$18="X",'WP PROGRESS'!A18,"")</f>
        <v/>
      </c>
      <c r="C21">
        <f>IF('WP PROGRESS'!$Y$18="X",'WP PROGRESS'!C18,"")</f>
        <v/>
      </c>
      <c r="D21">
        <f>IF('WP PROGRESS'!$Y$18="X",'WP PROGRESS'!A18,"")</f>
        <v/>
      </c>
      <c r="E21">
        <f>IF('WP PROGRESS'!$Y$18="X",IFERROR(INDEX('WORK PACKAGES'!$C$2:$C$100,MATCH('WP PROGRESS'!A18,'WORK PACKAGES'!$A$2:$A$100,0)),""),"")</f>
        <v/>
      </c>
      <c r="H21">
        <f>IF('WP PROGRESS'!$Y$18="X","X","")</f>
        <v/>
      </c>
    </row>
    <row r="22" ht="15" customHeight="1" s="130">
      <c r="A22">
        <f>IF('WP PROGRESS'!$Y$19="X","WP PROGRESS","")</f>
        <v/>
      </c>
      <c r="B22">
        <f>IF('WP PROGRESS'!$Y$19="X",'WP PROGRESS'!A19,"")</f>
        <v/>
      </c>
      <c r="C22">
        <f>IF('WP PROGRESS'!$Y$19="X",'WP PROGRESS'!C19,"")</f>
        <v/>
      </c>
      <c r="D22">
        <f>IF('WP PROGRESS'!$Y$19="X",'WP PROGRESS'!A19,"")</f>
        <v/>
      </c>
      <c r="E22">
        <f>IF('WP PROGRESS'!$Y$19="X",IFERROR(INDEX('WORK PACKAGES'!$C$2:$C$100,MATCH('WP PROGRESS'!A19,'WORK PACKAGES'!$A$2:$A$100,0)),""),"")</f>
        <v/>
      </c>
      <c r="H22">
        <f>IF('WP PROGRESS'!$Y$19="X","X","")</f>
        <v/>
      </c>
    </row>
    <row r="23" ht="15" customHeight="1" s="130">
      <c r="A23">
        <f>IF('WP PROGRESS'!$Y$20="X","WP PROGRESS","")</f>
        <v/>
      </c>
      <c r="B23">
        <f>IF('WP PROGRESS'!$Y$20="X",'WP PROGRESS'!A20,"")</f>
        <v/>
      </c>
      <c r="C23">
        <f>IF('WP PROGRESS'!$Y$20="X",'WP PROGRESS'!C20,"")</f>
        <v/>
      </c>
      <c r="D23">
        <f>IF('WP PROGRESS'!$Y$20="X",'WP PROGRESS'!A20,"")</f>
        <v/>
      </c>
      <c r="E23">
        <f>IF('WP PROGRESS'!$Y$20="X",IFERROR(INDEX('WORK PACKAGES'!$C$2:$C$100,MATCH('WP PROGRESS'!A20,'WORK PACKAGES'!$A$2:$A$100,0)),""),"")</f>
        <v/>
      </c>
      <c r="H23">
        <f>IF('WP PROGRESS'!$Y$20="X","X","")</f>
        <v/>
      </c>
    </row>
    <row r="24" ht="15" customHeight="1" s="130">
      <c r="A24">
        <f>IF('WP PROGRESS'!$Y$21="X","WP PROGRESS","")</f>
        <v/>
      </c>
      <c r="B24">
        <f>IF('WP PROGRESS'!$Y$21="X",'WP PROGRESS'!A21,"")</f>
        <v/>
      </c>
      <c r="C24">
        <f>IF('WP PROGRESS'!$Y$21="X",'WP PROGRESS'!C21,"")</f>
        <v/>
      </c>
      <c r="D24">
        <f>IF('WP PROGRESS'!$Y$21="X",'WP PROGRESS'!A21,"")</f>
        <v/>
      </c>
      <c r="E24">
        <f>IF('WP PROGRESS'!$Y$21="X",IFERROR(INDEX('WORK PACKAGES'!$C$2:$C$100,MATCH('WP PROGRESS'!A21,'WORK PACKAGES'!$A$2:$A$100,0)),""),"")</f>
        <v/>
      </c>
      <c r="H24">
        <f>IF('WP PROGRESS'!$Y$21="X","X","")</f>
        <v/>
      </c>
    </row>
    <row r="25" ht="15" customHeight="1" s="130">
      <c r="A25">
        <f>IF('WP PROGRESS'!$Y$22="X","WP PROGRESS","")</f>
        <v/>
      </c>
      <c r="B25">
        <f>IF('WP PROGRESS'!$Y$22="X",'WP PROGRESS'!A22,"")</f>
        <v/>
      </c>
      <c r="C25">
        <f>IF('WP PROGRESS'!$Y$22="X",'WP PROGRESS'!C22,"")</f>
        <v/>
      </c>
      <c r="D25">
        <f>IF('WP PROGRESS'!$Y$22="X",'WP PROGRESS'!A22,"")</f>
        <v/>
      </c>
      <c r="E25">
        <f>IF('WP PROGRESS'!$Y$22="X",IFERROR(INDEX('WORK PACKAGES'!$C$2:$C$100,MATCH('WP PROGRESS'!A22,'WORK PACKAGES'!$A$2:$A$100,0)),""),"")</f>
        <v/>
      </c>
      <c r="H25">
        <f>IF('WP PROGRESS'!$Y$22="X","X","")</f>
        <v/>
      </c>
    </row>
    <row r="26" ht="15" customHeight="1" s="130">
      <c r="A26">
        <f>IF('WP PROGRESS'!$Y$23="X","WP PROGRESS","")</f>
        <v/>
      </c>
      <c r="B26">
        <f>IF('WP PROGRESS'!$Y$23="X",'WP PROGRESS'!A23,"")</f>
        <v/>
      </c>
      <c r="C26">
        <f>IF('WP PROGRESS'!$Y$23="X",'WP PROGRESS'!C23,"")</f>
        <v/>
      </c>
      <c r="D26">
        <f>IF('WP PROGRESS'!$Y$23="X",'WP PROGRESS'!A23,"")</f>
        <v/>
      </c>
      <c r="E26">
        <f>IF('WP PROGRESS'!$Y$23="X",IFERROR(INDEX('WORK PACKAGES'!$C$2:$C$100,MATCH('WP PROGRESS'!A23,'WORK PACKAGES'!$A$2:$A$100,0)),""),"")</f>
        <v/>
      </c>
      <c r="H26">
        <f>IF('WP PROGRESS'!$Y$23="X","X","")</f>
        <v/>
      </c>
    </row>
    <row r="27" ht="15" customHeight="1" s="130">
      <c r="A27">
        <f>IF('WP PROGRESS'!$Y$24="X","WP PROGRESS","")</f>
        <v/>
      </c>
      <c r="B27">
        <f>IF('WP PROGRESS'!$Y$24="X",'WP PROGRESS'!A24,"")</f>
        <v/>
      </c>
      <c r="C27">
        <f>IF('WP PROGRESS'!$Y$24="X",'WP PROGRESS'!C24,"")</f>
        <v/>
      </c>
      <c r="D27">
        <f>IF('WP PROGRESS'!$Y$24="X",'WP PROGRESS'!A24,"")</f>
        <v/>
      </c>
      <c r="E27">
        <f>IF('WP PROGRESS'!$Y$24="X",IFERROR(INDEX('WORK PACKAGES'!$C$2:$C$100,MATCH('WP PROGRESS'!A24,'WORK PACKAGES'!$A$2:$A$100,0)),""),"")</f>
        <v/>
      </c>
      <c r="H27">
        <f>IF('WP PROGRESS'!$Y$24="X","X","")</f>
        <v/>
      </c>
    </row>
    <row r="28" ht="15" customHeight="1" s="130">
      <c r="A28">
        <f>IF('WP PROGRESS'!$Y$25="X","WP PROGRESS","")</f>
        <v/>
      </c>
      <c r="B28">
        <f>IF('WP PROGRESS'!$Y$25="X",'WP PROGRESS'!A25,"")</f>
        <v/>
      </c>
      <c r="C28">
        <f>IF('WP PROGRESS'!$Y$25="X",'WP PROGRESS'!C25,"")</f>
        <v/>
      </c>
      <c r="D28">
        <f>IF('WP PROGRESS'!$Y$25="X",'WP PROGRESS'!A25,"")</f>
        <v/>
      </c>
      <c r="E28">
        <f>IF('WP PROGRESS'!$Y$25="X",IFERROR(INDEX('WORK PACKAGES'!$C$2:$C$100,MATCH('WP PROGRESS'!A25,'WORK PACKAGES'!$A$2:$A$100,0)),""),"")</f>
        <v/>
      </c>
      <c r="H28">
        <f>IF('WP PROGRESS'!$Y$25="X","X","")</f>
        <v/>
      </c>
    </row>
    <row r="29" ht="15" customHeight="1" s="130">
      <c r="A29">
        <f>IF('WP PROGRESS'!$Y$26="X","WP PROGRESS","")</f>
        <v/>
      </c>
      <c r="B29">
        <f>IF('WP PROGRESS'!$Y$26="X",'WP PROGRESS'!A26,"")</f>
        <v/>
      </c>
      <c r="C29">
        <f>IF('WP PROGRESS'!$Y$26="X",'WP PROGRESS'!C26,"")</f>
        <v/>
      </c>
      <c r="D29">
        <f>IF('WP PROGRESS'!$Y$26="X",'WP PROGRESS'!A26,"")</f>
        <v/>
      </c>
      <c r="E29">
        <f>IF('WP PROGRESS'!$Y$26="X",IFERROR(INDEX('WORK PACKAGES'!$C$2:$C$100,MATCH('WP PROGRESS'!A26,'WORK PACKAGES'!$A$2:$A$100,0)),""),"")</f>
        <v/>
      </c>
      <c r="H29">
        <f>IF('WP PROGRESS'!$Y$26="X","X","")</f>
        <v/>
      </c>
    </row>
    <row r="30" ht="15" customHeight="1" s="130">
      <c r="A30">
        <f>IF('WP PROGRESS'!$Y$27="X","WP PROGRESS","")</f>
        <v/>
      </c>
      <c r="B30">
        <f>IF('WP PROGRESS'!$Y$27="X",'WP PROGRESS'!A27,"")</f>
        <v/>
      </c>
      <c r="C30">
        <f>IF('WP PROGRESS'!$Y$27="X",'WP PROGRESS'!C27,"")</f>
        <v/>
      </c>
      <c r="D30">
        <f>IF('WP PROGRESS'!$Y$27="X",'WP PROGRESS'!A27,"")</f>
        <v/>
      </c>
      <c r="E30">
        <f>IF('WP PROGRESS'!$Y$27="X",IFERROR(INDEX('WORK PACKAGES'!$C$2:$C$100,MATCH('WP PROGRESS'!A27,'WORK PACKAGES'!$A$2:$A$100,0)),""),"")</f>
        <v/>
      </c>
      <c r="H30">
        <f>IF('WP PROGRESS'!$Y$27="X","X","")</f>
        <v/>
      </c>
    </row>
    <row r="31" ht="15" customHeight="1" s="130">
      <c r="A31">
        <f>IF('WP PROGRESS'!$Y$28="X","WP PROGRESS","")</f>
        <v/>
      </c>
      <c r="B31">
        <f>IF('WP PROGRESS'!$Y$28="X",'WP PROGRESS'!A28,"")</f>
        <v/>
      </c>
      <c r="C31">
        <f>IF('WP PROGRESS'!$Y$28="X",'WP PROGRESS'!C28,"")</f>
        <v/>
      </c>
      <c r="D31">
        <f>IF('WP PROGRESS'!$Y$28="X",'WP PROGRESS'!A28,"")</f>
        <v/>
      </c>
      <c r="E31">
        <f>IF('WP PROGRESS'!$Y$28="X",IFERROR(INDEX('WORK PACKAGES'!$C$2:$C$100,MATCH('WP PROGRESS'!A28,'WORK PACKAGES'!$A$2:$A$100,0)),""),"")</f>
        <v/>
      </c>
      <c r="H31">
        <f>IF('WP PROGRESS'!$Y$28="X","X","")</f>
        <v/>
      </c>
    </row>
    <row r="32" ht="15" customHeight="1" s="130">
      <c r="A32">
        <f>IF('WP PROGRESS'!$Y$29="X","WP PROGRESS","")</f>
        <v/>
      </c>
      <c r="B32">
        <f>IF('WP PROGRESS'!$Y$29="X",'WP PROGRESS'!A29,"")</f>
        <v/>
      </c>
      <c r="C32">
        <f>IF('WP PROGRESS'!$Y$29="X",'WP PROGRESS'!C29,"")</f>
        <v/>
      </c>
      <c r="D32">
        <f>IF('WP PROGRESS'!$Y$29="X",'WP PROGRESS'!A29,"")</f>
        <v/>
      </c>
      <c r="E32">
        <f>IF('WP PROGRESS'!$Y$29="X",IFERROR(INDEX('WORK PACKAGES'!$C$2:$C$100,MATCH('WP PROGRESS'!A29,'WORK PACKAGES'!$A$2:$A$100,0)),""),"")</f>
        <v/>
      </c>
      <c r="H32">
        <f>IF('WP PROGRESS'!$Y$29="X","X","")</f>
        <v/>
      </c>
    </row>
    <row r="33" ht="15" customHeight="1" s="130">
      <c r="A33">
        <f>IF('WP PROGRESS'!$Y$30="X","WP PROGRESS","")</f>
        <v/>
      </c>
      <c r="B33">
        <f>IF('WP PROGRESS'!$Y$30="X",'WP PROGRESS'!A30,"")</f>
        <v/>
      </c>
      <c r="C33">
        <f>IF('WP PROGRESS'!$Y$30="X",'WP PROGRESS'!C30,"")</f>
        <v/>
      </c>
      <c r="D33">
        <f>IF('WP PROGRESS'!$Y$30="X",'WP PROGRESS'!A30,"")</f>
        <v/>
      </c>
      <c r="E33">
        <f>IF('WP PROGRESS'!$Y$30="X",IFERROR(INDEX('WORK PACKAGES'!$C$2:$C$100,MATCH('WP PROGRESS'!A30,'WORK PACKAGES'!$A$2:$A$100,0)),""),"")</f>
        <v/>
      </c>
      <c r="H33">
        <f>IF('WP PROGRESS'!$Y$30="X","X","")</f>
        <v/>
      </c>
    </row>
    <row r="34" ht="15" customHeight="1" s="130">
      <c r="A34">
        <f>IF('WP PROGRESS'!$Y$31="X","WP PROGRESS","")</f>
        <v/>
      </c>
      <c r="B34">
        <f>IF('WP PROGRESS'!$Y$31="X",'WP PROGRESS'!A31,"")</f>
        <v/>
      </c>
      <c r="C34">
        <f>IF('WP PROGRESS'!$Y$31="X",'WP PROGRESS'!C31,"")</f>
        <v/>
      </c>
      <c r="D34">
        <f>IF('WP PROGRESS'!$Y$31="X",'WP PROGRESS'!A31,"")</f>
        <v/>
      </c>
      <c r="E34">
        <f>IF('WP PROGRESS'!$Y$31="X",IFERROR(INDEX('WORK PACKAGES'!$C$2:$C$100,MATCH('WP PROGRESS'!A31,'WORK PACKAGES'!$A$2:$A$100,0)),""),"")</f>
        <v/>
      </c>
      <c r="H34">
        <f>IF('WP PROGRESS'!$Y$31="X","X","")</f>
        <v/>
      </c>
    </row>
    <row r="35" ht="15" customHeight="1" s="130">
      <c r="A35">
        <f>IF('WP PROGRESS'!$Y$32="X","WP PROGRESS","")</f>
        <v/>
      </c>
      <c r="B35">
        <f>IF('WP PROGRESS'!$Y$32="X",'WP PROGRESS'!A32,"")</f>
        <v/>
      </c>
      <c r="C35">
        <f>IF('WP PROGRESS'!$Y$32="X",'WP PROGRESS'!C32,"")</f>
        <v/>
      </c>
      <c r="D35">
        <f>IF('WP PROGRESS'!$Y$32="X",'WP PROGRESS'!A32,"")</f>
        <v/>
      </c>
      <c r="E35">
        <f>IF('WP PROGRESS'!$Y$32="X",IFERROR(INDEX('WORK PACKAGES'!$C$2:$C$100,MATCH('WP PROGRESS'!A32,'WORK PACKAGES'!$A$2:$A$100,0)),""),"")</f>
        <v/>
      </c>
      <c r="H35">
        <f>IF('WP PROGRESS'!$Y$32="X","X","")</f>
        <v/>
      </c>
    </row>
    <row r="36" ht="15" customHeight="1" s="130">
      <c r="A36">
        <f>IF('WP PROGRESS'!$Y$33="X","WP PROGRESS","")</f>
        <v/>
      </c>
      <c r="B36">
        <f>IF('WP PROGRESS'!$Y$33="X",'WP PROGRESS'!A33,"")</f>
        <v/>
      </c>
      <c r="C36">
        <f>IF('WP PROGRESS'!$Y$33="X",'WP PROGRESS'!C33,"")</f>
        <v/>
      </c>
      <c r="D36">
        <f>IF('WP PROGRESS'!$Y$33="X",'WP PROGRESS'!A33,"")</f>
        <v/>
      </c>
      <c r="E36">
        <f>IF('WP PROGRESS'!$Y$33="X",IFERROR(INDEX('WORK PACKAGES'!$C$2:$C$100,MATCH('WP PROGRESS'!A33,'WORK PACKAGES'!$A$2:$A$100,0)),""),"")</f>
        <v/>
      </c>
      <c r="H36">
        <f>IF('WP PROGRESS'!$Y$33="X","X","")</f>
        <v/>
      </c>
    </row>
    <row r="37" ht="15" customHeight="1" s="130">
      <c r="A37">
        <f>IF('WP PROGRESS'!$Y$34="X","WP PROGRESS","")</f>
        <v/>
      </c>
      <c r="B37">
        <f>IF('WP PROGRESS'!$Y$34="X",'WP PROGRESS'!A34,"")</f>
        <v/>
      </c>
      <c r="C37">
        <f>IF('WP PROGRESS'!$Y$34="X",'WP PROGRESS'!C34,"")</f>
        <v/>
      </c>
      <c r="D37">
        <f>IF('WP PROGRESS'!$Y$34="X",'WP PROGRESS'!A34,"")</f>
        <v/>
      </c>
      <c r="E37">
        <f>IF('WP PROGRESS'!$Y$34="X",IFERROR(INDEX('WORK PACKAGES'!$C$2:$C$100,MATCH('WP PROGRESS'!A34,'WORK PACKAGES'!$A$2:$A$100,0)),""),"")</f>
        <v/>
      </c>
      <c r="H37">
        <f>IF('WP PROGRESS'!$Y$34="X","X","")</f>
        <v/>
      </c>
    </row>
    <row r="38" ht="15" customHeight="1" s="130">
      <c r="A38">
        <f>IF('WP PROGRESS'!$Y$35="X","WP PROGRESS","")</f>
        <v/>
      </c>
      <c r="B38">
        <f>IF('WP PROGRESS'!$Y$35="X",'WP PROGRESS'!A35,"")</f>
        <v/>
      </c>
      <c r="C38">
        <f>IF('WP PROGRESS'!$Y$35="X",'WP PROGRESS'!C35,"")</f>
        <v/>
      </c>
      <c r="D38">
        <f>IF('WP PROGRESS'!$Y$35="X",'WP PROGRESS'!A35,"")</f>
        <v/>
      </c>
      <c r="E38">
        <f>IF('WP PROGRESS'!$Y$35="X",IFERROR(INDEX('WORK PACKAGES'!$C$2:$C$100,MATCH('WP PROGRESS'!A35,'WORK PACKAGES'!$A$2:$A$100,0)),""),"")</f>
        <v/>
      </c>
      <c r="H38">
        <f>IF('WP PROGRESS'!$Y$35="X","X","")</f>
        <v/>
      </c>
    </row>
    <row r="39" ht="15" customHeight="1" s="130">
      <c r="A39">
        <f>IF('WP PROGRESS'!$Y$36="X","WP PROGRESS","")</f>
        <v/>
      </c>
      <c r="B39">
        <f>IF('WP PROGRESS'!$Y$36="X",'WP PROGRESS'!A36,"")</f>
        <v/>
      </c>
      <c r="C39">
        <f>IF('WP PROGRESS'!$Y$36="X",'WP PROGRESS'!C36,"")</f>
        <v/>
      </c>
      <c r="D39">
        <f>IF('WP PROGRESS'!$Y$36="X",'WP PROGRESS'!A36,"")</f>
        <v/>
      </c>
      <c r="E39">
        <f>IF('WP PROGRESS'!$Y$36="X",IFERROR(INDEX('WORK PACKAGES'!$C$2:$C$100,MATCH('WP PROGRESS'!A36,'WORK PACKAGES'!$A$2:$A$100,0)),""),"")</f>
        <v/>
      </c>
      <c r="H39">
        <f>IF('WP PROGRESS'!$Y$36="X","X","")</f>
        <v/>
      </c>
    </row>
    <row r="40" ht="15" customHeight="1" s="130">
      <c r="A40">
        <f>IF('WP PROGRESS'!$Y$37="X","WP PROGRESS","")</f>
        <v/>
      </c>
      <c r="B40">
        <f>IF('WP PROGRESS'!$Y$37="X",'WP PROGRESS'!A37,"")</f>
        <v/>
      </c>
      <c r="C40">
        <f>IF('WP PROGRESS'!$Y$37="X",'WP PROGRESS'!C37,"")</f>
        <v/>
      </c>
      <c r="D40">
        <f>IF('WP PROGRESS'!$Y$37="X",'WP PROGRESS'!A37,"")</f>
        <v/>
      </c>
      <c r="E40">
        <f>IF('WP PROGRESS'!$Y$37="X",IFERROR(INDEX('WORK PACKAGES'!$C$2:$C$100,MATCH('WP PROGRESS'!A37,'WORK PACKAGES'!$A$2:$A$100,0)),""),"")</f>
        <v/>
      </c>
      <c r="H40">
        <f>IF('WP PROGRESS'!$Y$37="X","X","")</f>
        <v/>
      </c>
    </row>
    <row r="41" ht="15" customHeight="1" s="130">
      <c r="A41">
        <f>IF('WP PROGRESS'!$Y$38="X","WP PROGRESS","")</f>
        <v/>
      </c>
      <c r="B41">
        <f>IF('WP PROGRESS'!$Y$38="X",'WP PROGRESS'!A38,"")</f>
        <v/>
      </c>
      <c r="C41">
        <f>IF('WP PROGRESS'!$Y$38="X",'WP PROGRESS'!C38,"")</f>
        <v/>
      </c>
      <c r="D41">
        <f>IF('WP PROGRESS'!$Y$38="X",'WP PROGRESS'!A38,"")</f>
        <v/>
      </c>
      <c r="E41">
        <f>IF('WP PROGRESS'!$Y$38="X",IFERROR(INDEX('WORK PACKAGES'!$C$2:$C$100,MATCH('WP PROGRESS'!A38,'WORK PACKAGES'!$A$2:$A$100,0)),""),"")</f>
        <v/>
      </c>
      <c r="H41">
        <f>IF('WP PROGRESS'!$Y$38="X","X","")</f>
        <v/>
      </c>
    </row>
    <row r="42" ht="15" customHeight="1" s="130">
      <c r="A42">
        <f>IF('WP PROGRESS'!$Y$39="X","WP PROGRESS","")</f>
        <v/>
      </c>
      <c r="B42">
        <f>IF('WP PROGRESS'!$Y$39="X",'WP PROGRESS'!A39,"")</f>
        <v/>
      </c>
      <c r="C42">
        <f>IF('WP PROGRESS'!$Y$39="X",'WP PROGRESS'!C39,"")</f>
        <v/>
      </c>
      <c r="D42">
        <f>IF('WP PROGRESS'!$Y$39="X",'WP PROGRESS'!A39,"")</f>
        <v/>
      </c>
      <c r="E42">
        <f>IF('WP PROGRESS'!$Y$39="X",IFERROR(INDEX('WORK PACKAGES'!$C$2:$C$100,MATCH('WP PROGRESS'!A39,'WORK PACKAGES'!$A$2:$A$100,0)),""),"")</f>
        <v/>
      </c>
      <c r="H42">
        <f>IF('WP PROGRESS'!$Y$39="X","X","")</f>
        <v/>
      </c>
    </row>
    <row r="43" ht="15" customHeight="1" s="130">
      <c r="A43">
        <f>IF('WP PROGRESS'!$Y$40="X","WP PROGRESS","")</f>
        <v/>
      </c>
      <c r="B43">
        <f>IF('WP PROGRESS'!$Y$40="X",'WP PROGRESS'!A40,"")</f>
        <v/>
      </c>
      <c r="C43">
        <f>IF('WP PROGRESS'!$Y$40="X",'WP PROGRESS'!C40,"")</f>
        <v/>
      </c>
      <c r="D43">
        <f>IF('WP PROGRESS'!$Y$40="X",'WP PROGRESS'!A40,"")</f>
        <v/>
      </c>
      <c r="E43">
        <f>IF('WP PROGRESS'!$Y$40="X",IFERROR(INDEX('WORK PACKAGES'!$C$2:$C$100,MATCH('WP PROGRESS'!A40,'WORK PACKAGES'!$A$2:$A$100,0)),""),"")</f>
        <v/>
      </c>
      <c r="H43">
        <f>IF('WP PROGRESS'!$Y$40="X","X","")</f>
        <v/>
      </c>
    </row>
    <row r="44" ht="15" customHeight="1" s="130">
      <c r="A44">
        <f>IF('WP PROGRESS'!$Y$41="X","WP PROGRESS","")</f>
        <v/>
      </c>
      <c r="B44">
        <f>IF('WP PROGRESS'!$Y$41="X",'WP PROGRESS'!A41,"")</f>
        <v/>
      </c>
      <c r="C44">
        <f>IF('WP PROGRESS'!$Y$41="X",'WP PROGRESS'!C41,"")</f>
        <v/>
      </c>
      <c r="D44">
        <f>IF('WP PROGRESS'!$Y$41="X",'WP PROGRESS'!A41,"")</f>
        <v/>
      </c>
      <c r="E44">
        <f>IF('WP PROGRESS'!$Y$41="X",IFERROR(INDEX('WORK PACKAGES'!$C$2:$C$100,MATCH('WP PROGRESS'!A41,'WORK PACKAGES'!$A$2:$A$100,0)),""),"")</f>
        <v/>
      </c>
      <c r="H44">
        <f>IF('WP PROGRESS'!$Y$41="X","X","")</f>
        <v/>
      </c>
    </row>
    <row r="45" ht="15" customHeight="1" s="130">
      <c r="A45">
        <f>IF('WP PROGRESS'!$Y$42="X","WP PROGRESS","")</f>
        <v/>
      </c>
      <c r="B45">
        <f>IF('WP PROGRESS'!$Y$42="X",'WP PROGRESS'!A42,"")</f>
        <v/>
      </c>
      <c r="C45">
        <f>IF('WP PROGRESS'!$Y$42="X",'WP PROGRESS'!C42,"")</f>
        <v/>
      </c>
      <c r="D45">
        <f>IF('WP PROGRESS'!$Y$42="X",'WP PROGRESS'!A42,"")</f>
        <v/>
      </c>
      <c r="E45">
        <f>IF('WP PROGRESS'!$Y$42="X",IFERROR(INDEX('WORK PACKAGES'!$C$2:$C$100,MATCH('WP PROGRESS'!A42,'WORK PACKAGES'!$A$2:$A$100,0)),""),"")</f>
        <v/>
      </c>
      <c r="H45">
        <f>IF('WP PROGRESS'!$Y$42="X","X","")</f>
        <v/>
      </c>
    </row>
    <row r="46" ht="15" customHeight="1" s="130">
      <c r="A46">
        <f>IF('WP PROGRESS'!$Y$43="X","WP PROGRESS","")</f>
        <v/>
      </c>
      <c r="B46">
        <f>IF('WP PROGRESS'!$Y$43="X",'WP PROGRESS'!A43,"")</f>
        <v/>
      </c>
      <c r="C46">
        <f>IF('WP PROGRESS'!$Y$43="X",'WP PROGRESS'!C43,"")</f>
        <v/>
      </c>
      <c r="D46">
        <f>IF('WP PROGRESS'!$Y$43="X",'WP PROGRESS'!A43,"")</f>
        <v/>
      </c>
      <c r="E46">
        <f>IF('WP PROGRESS'!$Y$43="X",IFERROR(INDEX('WORK PACKAGES'!$C$2:$C$100,MATCH('WP PROGRESS'!A43,'WORK PACKAGES'!$A$2:$A$100,0)),""),"")</f>
        <v/>
      </c>
      <c r="H46">
        <f>IF('WP PROGRESS'!$Y$43="X","X","")</f>
        <v/>
      </c>
    </row>
    <row r="47" ht="15" customHeight="1" s="130">
      <c r="A47">
        <f>IF('WP PROGRESS'!$Y$44="X","WP PROGRESS","")</f>
        <v/>
      </c>
      <c r="B47">
        <f>IF('WP PROGRESS'!$Y$44="X",'WP PROGRESS'!A44,"")</f>
        <v/>
      </c>
      <c r="C47">
        <f>IF('WP PROGRESS'!$Y$44="X",'WP PROGRESS'!C44,"")</f>
        <v/>
      </c>
      <c r="D47">
        <f>IF('WP PROGRESS'!$Y$44="X",'WP PROGRESS'!A44,"")</f>
        <v/>
      </c>
      <c r="E47">
        <f>IF('WP PROGRESS'!$Y$44="X",IFERROR(INDEX('WORK PACKAGES'!$C$2:$C$100,MATCH('WP PROGRESS'!A44,'WORK PACKAGES'!$A$2:$A$100,0)),""),"")</f>
        <v/>
      </c>
      <c r="H47">
        <f>IF('WP PROGRESS'!$Y$44="X","X","")</f>
        <v/>
      </c>
    </row>
    <row r="48" ht="15" customHeight="1" s="130">
      <c r="A48">
        <f>IF('WP PROGRESS'!$Y$45="X","WP PROGRESS","")</f>
        <v/>
      </c>
      <c r="B48">
        <f>IF('WP PROGRESS'!$Y$45="X",'WP PROGRESS'!A45,"")</f>
        <v/>
      </c>
      <c r="C48">
        <f>IF('WP PROGRESS'!$Y$45="X",'WP PROGRESS'!C45,"")</f>
        <v/>
      </c>
      <c r="D48">
        <f>IF('WP PROGRESS'!$Y$45="X",'WP PROGRESS'!A45,"")</f>
        <v/>
      </c>
      <c r="E48">
        <f>IF('WP PROGRESS'!$Y$45="X",IFERROR(INDEX('WORK PACKAGES'!$C$2:$C$100,MATCH('WP PROGRESS'!A45,'WORK PACKAGES'!$A$2:$A$100,0)),""),"")</f>
        <v/>
      </c>
      <c r="H48">
        <f>IF('WP PROGRESS'!$Y$45="X","X","")</f>
        <v/>
      </c>
    </row>
    <row r="49" ht="15" customHeight="1" s="130">
      <c r="A49">
        <f>IF('WP PROGRESS'!$Y$46="X","WP PROGRESS","")</f>
        <v/>
      </c>
      <c r="B49">
        <f>IF('WP PROGRESS'!$Y$46="X",'WP PROGRESS'!A46,"")</f>
        <v/>
      </c>
      <c r="C49">
        <f>IF('WP PROGRESS'!$Y$46="X",'WP PROGRESS'!C46,"")</f>
        <v/>
      </c>
      <c r="D49">
        <f>IF('WP PROGRESS'!$Y$46="X",'WP PROGRESS'!A46,"")</f>
        <v/>
      </c>
      <c r="E49">
        <f>IF('WP PROGRESS'!$Y$46="X",IFERROR(INDEX('WORK PACKAGES'!$C$2:$C$100,MATCH('WP PROGRESS'!A46,'WORK PACKAGES'!$A$2:$A$100,0)),""),"")</f>
        <v/>
      </c>
      <c r="H49">
        <f>IF('WP PROGRESS'!$Y$46="X","X","")</f>
        <v/>
      </c>
    </row>
    <row r="50" ht="15" customHeight="1" s="130">
      <c r="A50">
        <f>IF('WP PROGRESS'!$Y$47="X","WP PROGRESS","")</f>
        <v/>
      </c>
      <c r="B50">
        <f>IF('WP PROGRESS'!$Y$47="X",'WP PROGRESS'!A47,"")</f>
        <v/>
      </c>
      <c r="C50">
        <f>IF('WP PROGRESS'!$Y$47="X",'WP PROGRESS'!C47,"")</f>
        <v/>
      </c>
      <c r="D50">
        <f>IF('WP PROGRESS'!$Y$47="X",'WP PROGRESS'!A47,"")</f>
        <v/>
      </c>
      <c r="E50">
        <f>IF('WP PROGRESS'!$Y$47="X",IFERROR(INDEX('WORK PACKAGES'!$C$2:$C$100,MATCH('WP PROGRESS'!A47,'WORK PACKAGES'!$A$2:$A$100,0)),""),"")</f>
        <v/>
      </c>
      <c r="H50">
        <f>IF('WP PROGRESS'!$Y$47="X","X","")</f>
        <v/>
      </c>
    </row>
    <row r="51" ht="15" customHeight="1" s="130">
      <c r="A51">
        <f>IF('WP PROGRESS'!$Y$48="X","WP PROGRESS","")</f>
        <v/>
      </c>
      <c r="B51">
        <f>IF('WP PROGRESS'!$Y$48="X",'WP PROGRESS'!A48,"")</f>
        <v/>
      </c>
      <c r="C51">
        <f>IF('WP PROGRESS'!$Y$48="X",'WP PROGRESS'!C48,"")</f>
        <v/>
      </c>
      <c r="D51">
        <f>IF('WP PROGRESS'!$Y$48="X",'WP PROGRESS'!A48,"")</f>
        <v/>
      </c>
      <c r="E51">
        <f>IF('WP PROGRESS'!$Y$48="X",IFERROR(INDEX('WORK PACKAGES'!$C$2:$C$100,MATCH('WP PROGRESS'!A48,'WORK PACKAGES'!$A$2:$A$100,0)),""),"")</f>
        <v/>
      </c>
      <c r="H51">
        <f>IF('WP PROGRESS'!$Y$48="X","X","")</f>
        <v/>
      </c>
    </row>
    <row r="52" ht="15" customHeight="1" s="130">
      <c r="A52">
        <f>IF('WP PROGRESS'!$Y$49="X","WP PROGRESS","")</f>
        <v/>
      </c>
      <c r="B52">
        <f>IF('WP PROGRESS'!$Y$49="X",'WP PROGRESS'!A49,"")</f>
        <v/>
      </c>
      <c r="C52">
        <f>IF('WP PROGRESS'!$Y$49="X",'WP PROGRESS'!C49,"")</f>
        <v/>
      </c>
      <c r="D52">
        <f>IF('WP PROGRESS'!$Y$49="X",'WP PROGRESS'!A49,"")</f>
        <v/>
      </c>
      <c r="E52">
        <f>IF('WP PROGRESS'!$Y$49="X",IFERROR(INDEX('WORK PACKAGES'!$C$2:$C$100,MATCH('WP PROGRESS'!A49,'WORK PACKAGES'!$A$2:$A$100,0)),""),"")</f>
        <v/>
      </c>
      <c r="H52">
        <f>IF('WP PROGRESS'!$Y$49="X","X","")</f>
        <v/>
      </c>
    </row>
    <row r="53" ht="15" customHeight="1" s="130">
      <c r="A53">
        <f>IF('WP PROGRESS'!$Y$50="X","WP PROGRESS","")</f>
        <v/>
      </c>
      <c r="B53">
        <f>IF('WP PROGRESS'!$Y$50="X",'WP PROGRESS'!A50,"")</f>
        <v/>
      </c>
      <c r="C53">
        <f>IF('WP PROGRESS'!$Y$50="X",'WP PROGRESS'!C50,"")</f>
        <v/>
      </c>
      <c r="D53">
        <f>IF('WP PROGRESS'!$Y$50="X",'WP PROGRESS'!A50,"")</f>
        <v/>
      </c>
      <c r="E53">
        <f>IF('WP PROGRESS'!$Y$50="X",IFERROR(INDEX('WORK PACKAGES'!$C$2:$C$100,MATCH('WP PROGRESS'!A50,'WORK PACKAGES'!$A$2:$A$100,0)),""),"")</f>
        <v/>
      </c>
      <c r="H53">
        <f>IF('WP PROGRESS'!$Y$50="X","X","")</f>
        <v/>
      </c>
    </row>
    <row r="54" ht="15" customHeight="1" s="130">
      <c r="A54">
        <f>IF('WP PROGRESS'!$Y$51="X","WP PROGRESS","")</f>
        <v/>
      </c>
      <c r="B54">
        <f>IF('WP PROGRESS'!$Y$51="X",'WP PROGRESS'!A51,"")</f>
        <v/>
      </c>
      <c r="C54">
        <f>IF('WP PROGRESS'!$Y$51="X",'WP PROGRESS'!C51,"")</f>
        <v/>
      </c>
      <c r="D54">
        <f>IF('WP PROGRESS'!$Y$51="X",'WP PROGRESS'!A51,"")</f>
        <v/>
      </c>
      <c r="E54">
        <f>IF('WP PROGRESS'!$Y$51="X",IFERROR(INDEX('WORK PACKAGES'!$C$2:$C$100,MATCH('WP PROGRESS'!A51,'WORK PACKAGES'!$A$2:$A$100,0)),""),"")</f>
        <v/>
      </c>
      <c r="H54">
        <f>IF('WP PROGRESS'!$Y$51="X","X","")</f>
        <v/>
      </c>
    </row>
    <row r="55" ht="15" customHeight="1" s="130">
      <c r="A55">
        <f>IF('WP PROGRESS'!$Y$52="X","WP PROGRESS","")</f>
        <v/>
      </c>
      <c r="B55">
        <f>IF('WP PROGRESS'!$Y$52="X",'WP PROGRESS'!A52,"")</f>
        <v/>
      </c>
      <c r="C55">
        <f>IF('WP PROGRESS'!$Y$52="X",'WP PROGRESS'!C52,"")</f>
        <v/>
      </c>
      <c r="D55">
        <f>IF('WP PROGRESS'!$Y$52="X",'WP PROGRESS'!A52,"")</f>
        <v/>
      </c>
      <c r="E55">
        <f>IF('WP PROGRESS'!$Y$52="X",IFERROR(INDEX('WORK PACKAGES'!$C$2:$C$100,MATCH('WP PROGRESS'!A52,'WORK PACKAGES'!$A$2:$A$100,0)),""),"")</f>
        <v/>
      </c>
      <c r="H55">
        <f>IF('WP PROGRESS'!$Y$52="X","X","")</f>
        <v/>
      </c>
    </row>
    <row r="56" ht="15" customHeight="1" s="130">
      <c r="A56">
        <f>IF('WP PROGRESS'!$Y$53="X","WP PROGRESS","")</f>
        <v/>
      </c>
      <c r="B56">
        <f>IF('WP PROGRESS'!$Y$53="X",'WP PROGRESS'!A53,"")</f>
        <v/>
      </c>
      <c r="C56">
        <f>IF('WP PROGRESS'!$Y$53="X",'WP PROGRESS'!C53,"")</f>
        <v/>
      </c>
      <c r="D56">
        <f>IF('WP PROGRESS'!$Y$53="X",'WP PROGRESS'!A53,"")</f>
        <v/>
      </c>
      <c r="E56">
        <f>IF('WP PROGRESS'!$Y$53="X",IFERROR(INDEX('WORK PACKAGES'!$C$2:$C$100,MATCH('WP PROGRESS'!A53,'WORK PACKAGES'!$A$2:$A$100,0)),""),"")</f>
        <v/>
      </c>
      <c r="H56">
        <f>IF('WP PROGRESS'!$Y$53="X","X","")</f>
        <v/>
      </c>
    </row>
    <row r="57" ht="15" customHeight="1" s="130">
      <c r="A57">
        <f>IF('WP PROGRESS'!$Y$54="X","WP PROGRESS","")</f>
        <v/>
      </c>
      <c r="B57">
        <f>IF('WP PROGRESS'!$Y$54="X",'WP PROGRESS'!A54,"")</f>
        <v/>
      </c>
      <c r="C57">
        <f>IF('WP PROGRESS'!$Y$54="X",'WP PROGRESS'!C54,"")</f>
        <v/>
      </c>
      <c r="D57">
        <f>IF('WP PROGRESS'!$Y$54="X",'WP PROGRESS'!A54,"")</f>
        <v/>
      </c>
      <c r="E57">
        <f>IF('WP PROGRESS'!$Y$54="X",IFERROR(INDEX('WORK PACKAGES'!$C$2:$C$100,MATCH('WP PROGRESS'!A54,'WORK PACKAGES'!$A$2:$A$100,0)),""),"")</f>
        <v/>
      </c>
      <c r="H57">
        <f>IF('WP PROGRESS'!$Y$54="X","X","")</f>
        <v/>
      </c>
    </row>
    <row r="58" ht="15" customHeight="1" s="130">
      <c r="A58">
        <f>IF('WP PROGRESS'!$Y$55="X","WP PROGRESS","")</f>
        <v/>
      </c>
      <c r="B58">
        <f>IF('WP PROGRESS'!$Y$55="X",'WP PROGRESS'!A55,"")</f>
        <v/>
      </c>
      <c r="C58">
        <f>IF('WP PROGRESS'!$Y$55="X",'WP PROGRESS'!C55,"")</f>
        <v/>
      </c>
      <c r="D58">
        <f>IF('WP PROGRESS'!$Y$55="X",'WP PROGRESS'!A55,"")</f>
        <v/>
      </c>
      <c r="E58">
        <f>IF('WP PROGRESS'!$Y$55="X",IFERROR(INDEX('WORK PACKAGES'!$C$2:$C$100,MATCH('WP PROGRESS'!A55,'WORK PACKAGES'!$A$2:$A$100,0)),""),"")</f>
        <v/>
      </c>
      <c r="H58">
        <f>IF('WP PROGRESS'!$Y$55="X","X","")</f>
        <v/>
      </c>
    </row>
    <row r="59" ht="15" customHeight="1" s="130">
      <c r="A59">
        <f>IF('WP PROGRESS'!$Y$56="X","WP PROGRESS","")</f>
        <v/>
      </c>
      <c r="B59">
        <f>IF('WP PROGRESS'!$Y$56="X",'WP PROGRESS'!A56,"")</f>
        <v/>
      </c>
      <c r="C59">
        <f>IF('WP PROGRESS'!$Y$56="X",'WP PROGRESS'!C56,"")</f>
        <v/>
      </c>
      <c r="D59">
        <f>IF('WP PROGRESS'!$Y$56="X",'WP PROGRESS'!A56,"")</f>
        <v/>
      </c>
      <c r="E59">
        <f>IF('WP PROGRESS'!$Y$56="X",IFERROR(INDEX('WORK PACKAGES'!$C$2:$C$100,MATCH('WP PROGRESS'!A56,'WORK PACKAGES'!$A$2:$A$100,0)),""),"")</f>
        <v/>
      </c>
      <c r="H59">
        <f>IF('WP PROGRESS'!$Y$56="X","X","")</f>
        <v/>
      </c>
    </row>
    <row r="60" ht="15" customHeight="1" s="130">
      <c r="A60">
        <f>IF('WP PROGRESS'!$Y$57="X","WP PROGRESS","")</f>
        <v/>
      </c>
      <c r="B60">
        <f>IF('WP PROGRESS'!$Y$57="X",'WP PROGRESS'!A57,"")</f>
        <v/>
      </c>
      <c r="C60">
        <f>IF('WP PROGRESS'!$Y$57="X",'WP PROGRESS'!C57,"")</f>
        <v/>
      </c>
      <c r="D60">
        <f>IF('WP PROGRESS'!$Y$57="X",'WP PROGRESS'!A57,"")</f>
        <v/>
      </c>
      <c r="E60">
        <f>IF('WP PROGRESS'!$Y$57="X",IFERROR(INDEX('WORK PACKAGES'!$C$2:$C$100,MATCH('WP PROGRESS'!A57,'WORK PACKAGES'!$A$2:$A$100,0)),""),"")</f>
        <v/>
      </c>
      <c r="H60">
        <f>IF('WP PROGRESS'!$Y$57="X","X","")</f>
        <v/>
      </c>
    </row>
    <row r="61" ht="15" customHeight="1" s="130">
      <c r="A61">
        <f>IF('WP PROGRESS'!$Y$58="X","WP PROGRESS","")</f>
        <v/>
      </c>
      <c r="B61">
        <f>IF('WP PROGRESS'!$Y$58="X",'WP PROGRESS'!A58,"")</f>
        <v/>
      </c>
      <c r="C61">
        <f>IF('WP PROGRESS'!$Y$58="X",'WP PROGRESS'!C58,"")</f>
        <v/>
      </c>
      <c r="D61">
        <f>IF('WP PROGRESS'!$Y$58="X",'WP PROGRESS'!A58,"")</f>
        <v/>
      </c>
      <c r="E61">
        <f>IF('WP PROGRESS'!$Y$58="X",IFERROR(INDEX('WORK PACKAGES'!$C$2:$C$100,MATCH('WP PROGRESS'!A58,'WORK PACKAGES'!$A$2:$A$100,0)),""),"")</f>
        <v/>
      </c>
      <c r="H61">
        <f>IF('WP PROGRESS'!$Y$58="X","X","")</f>
        <v/>
      </c>
    </row>
    <row r="62" ht="15" customHeight="1" s="130">
      <c r="A62">
        <f>IF('WP PROGRESS'!$Y$59="X","WP PROGRESS","")</f>
        <v/>
      </c>
      <c r="B62">
        <f>IF('WP PROGRESS'!$Y$59="X",'WP PROGRESS'!A59,"")</f>
        <v/>
      </c>
      <c r="C62">
        <f>IF('WP PROGRESS'!$Y$59="X",'WP PROGRESS'!C59,"")</f>
        <v/>
      </c>
      <c r="D62">
        <f>IF('WP PROGRESS'!$Y$59="X",'WP PROGRESS'!A59,"")</f>
        <v/>
      </c>
      <c r="E62">
        <f>IF('WP PROGRESS'!$Y$59="X",IFERROR(INDEX('WORK PACKAGES'!$C$2:$C$100,MATCH('WP PROGRESS'!A59,'WORK PACKAGES'!$A$2:$A$100,0)),""),"")</f>
        <v/>
      </c>
      <c r="H62">
        <f>IF('WP PROGRESS'!$Y$59="X","X","")</f>
        <v/>
      </c>
    </row>
    <row r="63" ht="15" customHeight="1" s="130">
      <c r="A63">
        <f>IF('WP PROGRESS'!$Y$60="X","WP PROGRESS","")</f>
        <v/>
      </c>
      <c r="B63">
        <f>IF('WP PROGRESS'!$Y$60="X",'WP PROGRESS'!A60,"")</f>
        <v/>
      </c>
      <c r="C63">
        <f>IF('WP PROGRESS'!$Y$60="X",'WP PROGRESS'!C60,"")</f>
        <v/>
      </c>
      <c r="D63">
        <f>IF('WP PROGRESS'!$Y$60="X",'WP PROGRESS'!A60,"")</f>
        <v/>
      </c>
      <c r="E63">
        <f>IF('WP PROGRESS'!$Y$60="X",IFERROR(INDEX('WORK PACKAGES'!$C$2:$C$100,MATCH('WP PROGRESS'!A60,'WORK PACKAGES'!$A$2:$A$100,0)),""),"")</f>
        <v/>
      </c>
      <c r="H63">
        <f>IF('WP PROGRESS'!$Y$60="X","X","")</f>
        <v/>
      </c>
    </row>
    <row r="64" ht="15" customHeight="1" s="130">
      <c r="A64">
        <f>IF('WP PROGRESS'!$Y$61="X","WP PROGRESS","")</f>
        <v/>
      </c>
      <c r="B64">
        <f>IF('WP PROGRESS'!$Y$61="X",'WP PROGRESS'!A61,"")</f>
        <v/>
      </c>
      <c r="C64">
        <f>IF('WP PROGRESS'!$Y$61="X",'WP PROGRESS'!C61,"")</f>
        <v/>
      </c>
      <c r="D64">
        <f>IF('WP PROGRESS'!$Y$61="X",'WP PROGRESS'!A61,"")</f>
        <v/>
      </c>
      <c r="E64">
        <f>IF('WP PROGRESS'!$Y$61="X",IFERROR(INDEX('WORK PACKAGES'!$C$2:$C$100,MATCH('WP PROGRESS'!A61,'WORK PACKAGES'!$A$2:$A$100,0)),""),"")</f>
        <v/>
      </c>
      <c r="H64">
        <f>IF('WP PROGRESS'!$Y$61="X","X","")</f>
        <v/>
      </c>
    </row>
    <row r="65" ht="15" customHeight="1" s="130">
      <c r="A65">
        <f>IF('WP PROGRESS'!$Y$62="X","WP PROGRESS","")</f>
        <v/>
      </c>
      <c r="B65">
        <f>IF('WP PROGRESS'!$Y$62="X",'WP PROGRESS'!A62,"")</f>
        <v/>
      </c>
      <c r="C65">
        <f>IF('WP PROGRESS'!$Y$62="X",'WP PROGRESS'!C62,"")</f>
        <v/>
      </c>
      <c r="D65">
        <f>IF('WP PROGRESS'!$Y$62="X",'WP PROGRESS'!A62,"")</f>
        <v/>
      </c>
      <c r="E65">
        <f>IF('WP PROGRESS'!$Y$62="X",IFERROR(INDEX('WORK PACKAGES'!$C$2:$C$100,MATCH('WP PROGRESS'!A62,'WORK PACKAGES'!$A$2:$A$100,0)),""),"")</f>
        <v/>
      </c>
      <c r="H65">
        <f>IF('WP PROGRESS'!$Y$62="X","X","")</f>
        <v/>
      </c>
    </row>
    <row r="66" ht="15" customHeight="1" s="130">
      <c r="A66">
        <f>IF('WP PROGRESS'!$Y$63="X","WP PROGRESS","")</f>
        <v/>
      </c>
      <c r="B66">
        <f>IF('WP PROGRESS'!$Y$63="X",'WP PROGRESS'!A63,"")</f>
        <v/>
      </c>
      <c r="C66">
        <f>IF('WP PROGRESS'!$Y$63="X",'WP PROGRESS'!C63,"")</f>
        <v/>
      </c>
      <c r="D66">
        <f>IF('WP PROGRESS'!$Y$63="X",'WP PROGRESS'!A63,"")</f>
        <v/>
      </c>
      <c r="E66">
        <f>IF('WP PROGRESS'!$Y$63="X",IFERROR(INDEX('WORK PACKAGES'!$C$2:$C$100,MATCH('WP PROGRESS'!A63,'WORK PACKAGES'!$A$2:$A$100,0)),""),"")</f>
        <v/>
      </c>
      <c r="H66">
        <f>IF('WP PROGRESS'!$Y$63="X","X","")</f>
        <v/>
      </c>
    </row>
    <row r="67" ht="15" customHeight="1" s="130">
      <c r="A67">
        <f>IF('WP PROGRESS'!$Y$64="X","WP PROGRESS","")</f>
        <v/>
      </c>
      <c r="B67">
        <f>IF('WP PROGRESS'!$Y$64="X",'WP PROGRESS'!A64,"")</f>
        <v/>
      </c>
      <c r="C67">
        <f>IF('WP PROGRESS'!$Y$64="X",'WP PROGRESS'!C64,"")</f>
        <v/>
      </c>
      <c r="D67">
        <f>IF('WP PROGRESS'!$Y$64="X",'WP PROGRESS'!A64,"")</f>
        <v/>
      </c>
      <c r="E67">
        <f>IF('WP PROGRESS'!$Y$64="X",IFERROR(INDEX('WORK PACKAGES'!$C$2:$C$100,MATCH('WP PROGRESS'!A64,'WORK PACKAGES'!$A$2:$A$100,0)),""),"")</f>
        <v/>
      </c>
      <c r="H67">
        <f>IF('WP PROGRESS'!$Y$64="X","X","")</f>
        <v/>
      </c>
    </row>
    <row r="68" ht="15" customHeight="1" s="130">
      <c r="A68">
        <f>IF('WP PROGRESS'!$Y$65="X","WP PROGRESS","")</f>
        <v/>
      </c>
      <c r="B68">
        <f>IF('WP PROGRESS'!$Y$65="X",'WP PROGRESS'!A65,"")</f>
        <v/>
      </c>
      <c r="C68">
        <f>IF('WP PROGRESS'!$Y$65="X",'WP PROGRESS'!C65,"")</f>
        <v/>
      </c>
      <c r="D68">
        <f>IF('WP PROGRESS'!$Y$65="X",'WP PROGRESS'!A65,"")</f>
        <v/>
      </c>
      <c r="E68">
        <f>IF('WP PROGRESS'!$Y$65="X",IFERROR(INDEX('WORK PACKAGES'!$C$2:$C$100,MATCH('WP PROGRESS'!A65,'WORK PACKAGES'!$A$2:$A$100,0)),""),"")</f>
        <v/>
      </c>
      <c r="H68">
        <f>IF('WP PROGRESS'!$Y$65="X","X","")</f>
        <v/>
      </c>
    </row>
    <row r="69" ht="15" customHeight="1" s="130">
      <c r="A69">
        <f>IF('WP PROGRESS'!$Y$66="X","WP PROGRESS","")</f>
        <v/>
      </c>
      <c r="B69">
        <f>IF('WP PROGRESS'!$Y$66="X",'WP PROGRESS'!A66,"")</f>
        <v/>
      </c>
      <c r="C69">
        <f>IF('WP PROGRESS'!$Y$66="X",'WP PROGRESS'!C66,"")</f>
        <v/>
      </c>
      <c r="D69">
        <f>IF('WP PROGRESS'!$Y$66="X",'WP PROGRESS'!A66,"")</f>
        <v/>
      </c>
      <c r="E69">
        <f>IF('WP PROGRESS'!$Y$66="X",IFERROR(INDEX('WORK PACKAGES'!$C$2:$C$100,MATCH('WP PROGRESS'!A66,'WORK PACKAGES'!$A$2:$A$100,0)),""),"")</f>
        <v/>
      </c>
      <c r="H69">
        <f>IF('WP PROGRESS'!$Y$66="X","X","")</f>
        <v/>
      </c>
    </row>
    <row r="70" ht="15" customHeight="1" s="130">
      <c r="A70">
        <f>IF('WP PROGRESS'!$Y$67="X","WP PROGRESS","")</f>
        <v/>
      </c>
      <c r="B70">
        <f>IF('WP PROGRESS'!$Y$67="X",'WP PROGRESS'!A67,"")</f>
        <v/>
      </c>
      <c r="C70">
        <f>IF('WP PROGRESS'!$Y$67="X",'WP PROGRESS'!C67,"")</f>
        <v/>
      </c>
      <c r="D70">
        <f>IF('WP PROGRESS'!$Y$67="X",'WP PROGRESS'!A67,"")</f>
        <v/>
      </c>
      <c r="E70">
        <f>IF('WP PROGRESS'!$Y$67="X",IFERROR(INDEX('WORK PACKAGES'!$C$2:$C$100,MATCH('WP PROGRESS'!A67,'WORK PACKAGES'!$A$2:$A$100,0)),""),"")</f>
        <v/>
      </c>
      <c r="H70">
        <f>IF('WP PROGRESS'!$Y$67="X","X","")</f>
        <v/>
      </c>
    </row>
    <row r="71" ht="15" customHeight="1" s="130">
      <c r="A71">
        <f>IF('WP PROGRESS'!$Y$68="X","WP PROGRESS","")</f>
        <v/>
      </c>
      <c r="B71">
        <f>IF('WP PROGRESS'!$Y$68="X",'WP PROGRESS'!A68,"")</f>
        <v/>
      </c>
      <c r="C71">
        <f>IF('WP PROGRESS'!$Y$68="X",'WP PROGRESS'!C68,"")</f>
        <v/>
      </c>
      <c r="D71">
        <f>IF('WP PROGRESS'!$Y$68="X",'WP PROGRESS'!A68,"")</f>
        <v/>
      </c>
      <c r="E71">
        <f>IF('WP PROGRESS'!$Y$68="X",IFERROR(INDEX('WORK PACKAGES'!$C$2:$C$100,MATCH('WP PROGRESS'!A68,'WORK PACKAGES'!$A$2:$A$100,0)),""),"")</f>
        <v/>
      </c>
      <c r="H71">
        <f>IF('WP PROGRESS'!$Y$68="X","X","")</f>
        <v/>
      </c>
    </row>
    <row r="72" ht="15" customHeight="1" s="130">
      <c r="A72">
        <f>IF('WP PROGRESS'!$Y$69="X","WP PROGRESS","")</f>
        <v/>
      </c>
      <c r="B72">
        <f>IF('WP PROGRESS'!$Y$69="X",'WP PROGRESS'!A69,"")</f>
        <v/>
      </c>
      <c r="C72">
        <f>IF('WP PROGRESS'!$Y$69="X",'WP PROGRESS'!C69,"")</f>
        <v/>
      </c>
      <c r="D72">
        <f>IF('WP PROGRESS'!$Y$69="X",'WP PROGRESS'!A69,"")</f>
        <v/>
      </c>
      <c r="E72">
        <f>IF('WP PROGRESS'!$Y$69="X",IFERROR(INDEX('WORK PACKAGES'!$C$2:$C$100,MATCH('WP PROGRESS'!A69,'WORK PACKAGES'!$A$2:$A$100,0)),""),"")</f>
        <v/>
      </c>
      <c r="H72">
        <f>IF('WP PROGRESS'!$Y$69="X","X","")</f>
        <v/>
      </c>
    </row>
    <row r="73" ht="15" customHeight="1" s="130">
      <c r="A73">
        <f>IF('WP PROGRESS'!$Y$70="X","WP PROGRESS","")</f>
        <v/>
      </c>
      <c r="B73">
        <f>IF('WP PROGRESS'!$Y$70="X",'WP PROGRESS'!A70,"")</f>
        <v/>
      </c>
      <c r="C73">
        <f>IF('WP PROGRESS'!$Y$70="X",'WP PROGRESS'!C70,"")</f>
        <v/>
      </c>
      <c r="D73">
        <f>IF('WP PROGRESS'!$Y$70="X",'WP PROGRESS'!A70,"")</f>
        <v/>
      </c>
      <c r="E73">
        <f>IF('WP PROGRESS'!$Y$70="X",IFERROR(INDEX('WORK PACKAGES'!$C$2:$C$100,MATCH('WP PROGRESS'!A70,'WORK PACKAGES'!$A$2:$A$100,0)),""),"")</f>
        <v/>
      </c>
      <c r="H73">
        <f>IF('WP PROGRESS'!$Y$70="X","X","")</f>
        <v/>
      </c>
    </row>
    <row r="74" ht="15" customHeight="1" s="130">
      <c r="A74">
        <f>IF('WP PROGRESS'!$Y$71="X","WP PROGRESS","")</f>
        <v/>
      </c>
      <c r="B74">
        <f>IF('WP PROGRESS'!$Y$71="X",'WP PROGRESS'!A71,"")</f>
        <v/>
      </c>
      <c r="C74">
        <f>IF('WP PROGRESS'!$Y$71="X",'WP PROGRESS'!C71,"")</f>
        <v/>
      </c>
      <c r="D74">
        <f>IF('WP PROGRESS'!$Y$71="X",'WP PROGRESS'!A71,"")</f>
        <v/>
      </c>
      <c r="E74">
        <f>IF('WP PROGRESS'!$Y$71="X",IFERROR(INDEX('WORK PACKAGES'!$C$2:$C$100,MATCH('WP PROGRESS'!A71,'WORK PACKAGES'!$A$2:$A$100,0)),""),"")</f>
        <v/>
      </c>
      <c r="H74">
        <f>IF('WP PROGRESS'!$Y$71="X","X","")</f>
        <v/>
      </c>
    </row>
    <row r="75" ht="15" customHeight="1" s="130">
      <c r="A75">
        <f>IF('WP PROGRESS'!$Y$72="X","WP PROGRESS","")</f>
        <v/>
      </c>
      <c r="B75">
        <f>IF('WP PROGRESS'!$Y$72="X",'WP PROGRESS'!A72,"")</f>
        <v/>
      </c>
      <c r="C75">
        <f>IF('WP PROGRESS'!$Y$72="X",'WP PROGRESS'!C72,"")</f>
        <v/>
      </c>
      <c r="D75">
        <f>IF('WP PROGRESS'!$Y$72="X",'WP PROGRESS'!A72,"")</f>
        <v/>
      </c>
      <c r="E75">
        <f>IF('WP PROGRESS'!$Y$72="X",IFERROR(INDEX('WORK PACKAGES'!$C$2:$C$100,MATCH('WP PROGRESS'!A72,'WORK PACKAGES'!$A$2:$A$100,0)),""),"")</f>
        <v/>
      </c>
      <c r="H75">
        <f>IF('WP PROGRESS'!$Y$72="X","X","")</f>
        <v/>
      </c>
    </row>
    <row r="76" ht="15" customHeight="1" s="130">
      <c r="A76">
        <f>IF('WP PROGRESS'!$Y$73="X","WP PROGRESS","")</f>
        <v/>
      </c>
      <c r="B76">
        <f>IF('WP PROGRESS'!$Y$73="X",'WP PROGRESS'!A73,"")</f>
        <v/>
      </c>
      <c r="C76">
        <f>IF('WP PROGRESS'!$Y$73="X",'WP PROGRESS'!C73,"")</f>
        <v/>
      </c>
      <c r="D76">
        <f>IF('WP PROGRESS'!$Y$73="X",'WP PROGRESS'!A73,"")</f>
        <v/>
      </c>
      <c r="E76">
        <f>IF('WP PROGRESS'!$Y$73="X",IFERROR(INDEX('WORK PACKAGES'!$C$2:$C$100,MATCH('WP PROGRESS'!A73,'WORK PACKAGES'!$A$2:$A$100,0)),""),"")</f>
        <v/>
      </c>
      <c r="H76">
        <f>IF('WP PROGRESS'!$Y$73="X","X","")</f>
        <v/>
      </c>
    </row>
    <row r="77" ht="15" customHeight="1" s="130">
      <c r="A77">
        <f>IF('WP PROGRESS'!$Y$74="X","WP PROGRESS","")</f>
        <v/>
      </c>
      <c r="B77">
        <f>IF('WP PROGRESS'!$Y$74="X",'WP PROGRESS'!A74,"")</f>
        <v/>
      </c>
      <c r="C77">
        <f>IF('WP PROGRESS'!$Y$74="X",'WP PROGRESS'!C74,"")</f>
        <v/>
      </c>
      <c r="D77">
        <f>IF('WP PROGRESS'!$Y$74="X",'WP PROGRESS'!A74,"")</f>
        <v/>
      </c>
      <c r="E77">
        <f>IF('WP PROGRESS'!$Y$74="X",IFERROR(INDEX('WORK PACKAGES'!$C$2:$C$100,MATCH('WP PROGRESS'!A74,'WORK PACKAGES'!$A$2:$A$100,0)),""),"")</f>
        <v/>
      </c>
      <c r="H77">
        <f>IF('WP PROGRESS'!$Y$74="X","X","")</f>
        <v/>
      </c>
    </row>
    <row r="78" ht="15" customHeight="1" s="130">
      <c r="A78">
        <f>IF('WP PROGRESS'!$Y$75="X","WP PROGRESS","")</f>
        <v/>
      </c>
      <c r="B78">
        <f>IF('WP PROGRESS'!$Y$75="X",'WP PROGRESS'!A75,"")</f>
        <v/>
      </c>
      <c r="C78">
        <f>IF('WP PROGRESS'!$Y$75="X",'WP PROGRESS'!C75,"")</f>
        <v/>
      </c>
      <c r="D78">
        <f>IF('WP PROGRESS'!$Y$75="X",'WP PROGRESS'!A75,"")</f>
        <v/>
      </c>
      <c r="E78">
        <f>IF('WP PROGRESS'!$Y$75="X",IFERROR(INDEX('WORK PACKAGES'!$C$2:$C$100,MATCH('WP PROGRESS'!A75,'WORK PACKAGES'!$A$2:$A$100,0)),""),"")</f>
        <v/>
      </c>
      <c r="H78">
        <f>IF('WP PROGRESS'!$Y$75="X","X","")</f>
        <v/>
      </c>
    </row>
    <row r="79" ht="15" customHeight="1" s="130">
      <c r="A79">
        <f>IF('WP PROGRESS'!$Y$76="X","WP PROGRESS","")</f>
        <v/>
      </c>
      <c r="B79">
        <f>IF('WP PROGRESS'!$Y$76="X",'WP PROGRESS'!A76,"")</f>
        <v/>
      </c>
      <c r="C79">
        <f>IF('WP PROGRESS'!$Y$76="X",'WP PROGRESS'!C76,"")</f>
        <v/>
      </c>
      <c r="D79">
        <f>IF('WP PROGRESS'!$Y$76="X",'WP PROGRESS'!A76,"")</f>
        <v/>
      </c>
      <c r="E79">
        <f>IF('WP PROGRESS'!$Y$76="X",IFERROR(INDEX('WORK PACKAGES'!$C$2:$C$100,MATCH('WP PROGRESS'!A76,'WORK PACKAGES'!$A$2:$A$100,0)),""),"")</f>
        <v/>
      </c>
      <c r="H79">
        <f>IF('WP PROGRESS'!$Y$76="X","X","")</f>
        <v/>
      </c>
    </row>
    <row r="80" ht="15" customHeight="1" s="130">
      <c r="A80">
        <f>IF('WP PROGRESS'!$Y$77="X","WP PROGRESS","")</f>
        <v/>
      </c>
      <c r="B80">
        <f>IF('WP PROGRESS'!$Y$77="X",'WP PROGRESS'!A77,"")</f>
        <v/>
      </c>
      <c r="C80">
        <f>IF('WP PROGRESS'!$Y$77="X",'WP PROGRESS'!C77,"")</f>
        <v/>
      </c>
      <c r="D80">
        <f>IF('WP PROGRESS'!$Y$77="X",'WP PROGRESS'!A77,"")</f>
        <v/>
      </c>
      <c r="E80">
        <f>IF('WP PROGRESS'!$Y$77="X",IFERROR(INDEX('WORK PACKAGES'!$C$2:$C$100,MATCH('WP PROGRESS'!A77,'WORK PACKAGES'!$A$2:$A$100,0)),""),"")</f>
        <v/>
      </c>
      <c r="H80">
        <f>IF('WP PROGRESS'!$Y$77="X","X","")</f>
        <v/>
      </c>
    </row>
    <row r="81" ht="15" customHeight="1" s="130">
      <c r="A81">
        <f>IF('WP PROGRESS'!$Y$78="X","WP PROGRESS","")</f>
        <v/>
      </c>
      <c r="B81">
        <f>IF('WP PROGRESS'!$Y$78="X",'WP PROGRESS'!A78,"")</f>
        <v/>
      </c>
      <c r="C81">
        <f>IF('WP PROGRESS'!$Y$78="X",'WP PROGRESS'!C78,"")</f>
        <v/>
      </c>
      <c r="D81">
        <f>IF('WP PROGRESS'!$Y$78="X",'WP PROGRESS'!A78,"")</f>
        <v/>
      </c>
      <c r="E81">
        <f>IF('WP PROGRESS'!$Y$78="X",IFERROR(INDEX('WORK PACKAGES'!$C$2:$C$100,MATCH('WP PROGRESS'!A78,'WORK PACKAGES'!$A$2:$A$100,0)),""),"")</f>
        <v/>
      </c>
      <c r="H81">
        <f>IF('WP PROGRESS'!$Y$78="X","X","")</f>
        <v/>
      </c>
    </row>
    <row r="82" ht="15" customHeight="1" s="130">
      <c r="A82">
        <f>IF('WP PROGRESS'!$Y$79="X","WP PROGRESS","")</f>
        <v/>
      </c>
      <c r="B82">
        <f>IF('WP PROGRESS'!$Y$79="X",'WP PROGRESS'!A79,"")</f>
        <v/>
      </c>
      <c r="C82">
        <f>IF('WP PROGRESS'!$Y$79="X",'WP PROGRESS'!C79,"")</f>
        <v/>
      </c>
      <c r="D82">
        <f>IF('WP PROGRESS'!$Y$79="X",'WP PROGRESS'!A79,"")</f>
        <v/>
      </c>
      <c r="E82">
        <f>IF('WP PROGRESS'!$Y$79="X",IFERROR(INDEX('WORK PACKAGES'!$C$2:$C$100,MATCH('WP PROGRESS'!A79,'WORK PACKAGES'!$A$2:$A$100,0)),""),"")</f>
        <v/>
      </c>
      <c r="H82">
        <f>IF('WP PROGRESS'!$Y$79="X","X","")</f>
        <v/>
      </c>
    </row>
    <row r="83" ht="15" customHeight="1" s="130">
      <c r="A83">
        <f>IF('WP PROGRESS'!$Y$80="X","WP PROGRESS","")</f>
        <v/>
      </c>
      <c r="B83">
        <f>IF('WP PROGRESS'!$Y$80="X",'WP PROGRESS'!A80,"")</f>
        <v/>
      </c>
      <c r="C83">
        <f>IF('WP PROGRESS'!$Y$80="X",'WP PROGRESS'!C80,"")</f>
        <v/>
      </c>
      <c r="D83">
        <f>IF('WP PROGRESS'!$Y$80="X",'WP PROGRESS'!A80,"")</f>
        <v/>
      </c>
      <c r="E83">
        <f>IF('WP PROGRESS'!$Y$80="X",IFERROR(INDEX('WORK PACKAGES'!$C$2:$C$100,MATCH('WP PROGRESS'!A80,'WORK PACKAGES'!$A$2:$A$100,0)),""),"")</f>
        <v/>
      </c>
      <c r="H83">
        <f>IF('WP PROGRESS'!$Y$80="X","X","")</f>
        <v/>
      </c>
    </row>
    <row r="84" ht="15" customHeight="1" s="130">
      <c r="A84">
        <f>IF('WP PROGRESS'!$Y$81="X","WP PROGRESS","")</f>
        <v/>
      </c>
      <c r="B84">
        <f>IF('WP PROGRESS'!$Y$81="X",'WP PROGRESS'!A81,"")</f>
        <v/>
      </c>
      <c r="C84">
        <f>IF('WP PROGRESS'!$Y$81="X",'WP PROGRESS'!C81,"")</f>
        <v/>
      </c>
      <c r="D84">
        <f>IF('WP PROGRESS'!$Y$81="X",'WP PROGRESS'!A81,"")</f>
        <v/>
      </c>
      <c r="E84">
        <f>IF('WP PROGRESS'!$Y$81="X",IFERROR(INDEX('WORK PACKAGES'!$C$2:$C$100,MATCH('WP PROGRESS'!A81,'WORK PACKAGES'!$A$2:$A$100,0)),""),"")</f>
        <v/>
      </c>
      <c r="H84">
        <f>IF('WP PROGRESS'!$Y$81="X","X","")</f>
        <v/>
      </c>
    </row>
    <row r="85" ht="15" customHeight="1" s="130">
      <c r="A85">
        <f>IF('WP PROGRESS'!$Y$82="X","WP PROGRESS","")</f>
        <v/>
      </c>
      <c r="B85">
        <f>IF('WP PROGRESS'!$Y$82="X",'WP PROGRESS'!A82,"")</f>
        <v/>
      </c>
      <c r="C85">
        <f>IF('WP PROGRESS'!$Y$82="X",'WP PROGRESS'!C82,"")</f>
        <v/>
      </c>
      <c r="D85">
        <f>IF('WP PROGRESS'!$Y$82="X",'WP PROGRESS'!A82,"")</f>
        <v/>
      </c>
      <c r="E85">
        <f>IF('WP PROGRESS'!$Y$82="X",IFERROR(INDEX('WORK PACKAGES'!$C$2:$C$100,MATCH('WP PROGRESS'!A82,'WORK PACKAGES'!$A$2:$A$100,0)),""),"")</f>
        <v/>
      </c>
      <c r="H85">
        <f>IF('WP PROGRESS'!$Y$82="X","X","")</f>
        <v/>
      </c>
    </row>
    <row r="86" ht="15" customHeight="1" s="130">
      <c r="A86">
        <f>IF('WP PROGRESS'!$Y$83="X","WP PROGRESS","")</f>
        <v/>
      </c>
      <c r="B86">
        <f>IF('WP PROGRESS'!$Y$83="X",'WP PROGRESS'!A83,"")</f>
        <v/>
      </c>
      <c r="C86">
        <f>IF('WP PROGRESS'!$Y$83="X",'WP PROGRESS'!C83,"")</f>
        <v/>
      </c>
      <c r="D86">
        <f>IF('WP PROGRESS'!$Y$83="X",'WP PROGRESS'!A83,"")</f>
        <v/>
      </c>
      <c r="E86">
        <f>IF('WP PROGRESS'!$Y$83="X",IFERROR(INDEX('WORK PACKAGES'!$C$2:$C$100,MATCH('WP PROGRESS'!A83,'WORK PACKAGES'!$A$2:$A$100,0)),""),"")</f>
        <v/>
      </c>
      <c r="H86">
        <f>IF('WP PROGRESS'!$Y$83="X","X","")</f>
        <v/>
      </c>
    </row>
    <row r="87" ht="15" customHeight="1" s="130">
      <c r="A87">
        <f>IF('WP PROGRESS'!$Y$84="X","WP PROGRESS","")</f>
        <v/>
      </c>
      <c r="B87">
        <f>IF('WP PROGRESS'!$Y$84="X",'WP PROGRESS'!A84,"")</f>
        <v/>
      </c>
      <c r="C87">
        <f>IF('WP PROGRESS'!$Y$84="X",'WP PROGRESS'!C84,"")</f>
        <v/>
      </c>
      <c r="D87">
        <f>IF('WP PROGRESS'!$Y$84="X",'WP PROGRESS'!A84,"")</f>
        <v/>
      </c>
      <c r="E87">
        <f>IF('WP PROGRESS'!$Y$84="X",IFERROR(INDEX('WORK PACKAGES'!$C$2:$C$100,MATCH('WP PROGRESS'!A84,'WORK PACKAGES'!$A$2:$A$100,0)),""),"")</f>
        <v/>
      </c>
      <c r="H87">
        <f>IF('WP PROGRESS'!$Y$84="X","X","")</f>
        <v/>
      </c>
    </row>
    <row r="88" ht="15" customHeight="1" s="130">
      <c r="A88">
        <f>IF('WP PROGRESS'!$Y$85="X","WP PROGRESS","")</f>
        <v/>
      </c>
      <c r="B88">
        <f>IF('WP PROGRESS'!$Y$85="X",'WP PROGRESS'!A85,"")</f>
        <v/>
      </c>
      <c r="C88">
        <f>IF('WP PROGRESS'!$Y$85="X",'WP PROGRESS'!C85,"")</f>
        <v/>
      </c>
      <c r="D88">
        <f>IF('WP PROGRESS'!$Y$85="X",'WP PROGRESS'!A85,"")</f>
        <v/>
      </c>
      <c r="E88">
        <f>IF('WP PROGRESS'!$Y$85="X",IFERROR(INDEX('WORK PACKAGES'!$C$2:$C$100,MATCH('WP PROGRESS'!A85,'WORK PACKAGES'!$A$2:$A$100,0)),""),"")</f>
        <v/>
      </c>
      <c r="H88">
        <f>IF('WP PROGRESS'!$Y$85="X","X","")</f>
        <v/>
      </c>
    </row>
    <row r="89" ht="15" customHeight="1" s="130">
      <c r="A89">
        <f>IF('WP PROGRESS'!$Y$86="X","WP PROGRESS","")</f>
        <v/>
      </c>
      <c r="B89">
        <f>IF('WP PROGRESS'!$Y$86="X",'WP PROGRESS'!A86,"")</f>
        <v/>
      </c>
      <c r="C89">
        <f>IF('WP PROGRESS'!$Y$86="X",'WP PROGRESS'!C86,"")</f>
        <v/>
      </c>
      <c r="D89">
        <f>IF('WP PROGRESS'!$Y$86="X",'WP PROGRESS'!A86,"")</f>
        <v/>
      </c>
      <c r="E89">
        <f>IF('WP PROGRESS'!$Y$86="X",IFERROR(INDEX('WORK PACKAGES'!$C$2:$C$100,MATCH('WP PROGRESS'!A86,'WORK PACKAGES'!$A$2:$A$100,0)),""),"")</f>
        <v/>
      </c>
      <c r="H89">
        <f>IF('WP PROGRESS'!$Y$86="X","X","")</f>
        <v/>
      </c>
    </row>
    <row r="90" ht="15" customHeight="1" s="130">
      <c r="A90">
        <f>IF('WP PROGRESS'!$Y$87="X","WP PROGRESS","")</f>
        <v/>
      </c>
      <c r="B90">
        <f>IF('WP PROGRESS'!$Y$87="X",'WP PROGRESS'!A87,"")</f>
        <v/>
      </c>
      <c r="C90">
        <f>IF('WP PROGRESS'!$Y$87="X",'WP PROGRESS'!C87,"")</f>
        <v/>
      </c>
      <c r="D90">
        <f>IF('WP PROGRESS'!$Y$87="X",'WP PROGRESS'!A87,"")</f>
        <v/>
      </c>
      <c r="E90">
        <f>IF('WP PROGRESS'!$Y$87="X",IFERROR(INDEX('WORK PACKAGES'!$C$2:$C$100,MATCH('WP PROGRESS'!A87,'WORK PACKAGES'!$A$2:$A$100,0)),""),"")</f>
        <v/>
      </c>
      <c r="H90">
        <f>IF('WP PROGRESS'!$Y$87="X","X","")</f>
        <v/>
      </c>
    </row>
    <row r="91" ht="15" customHeight="1" s="130">
      <c r="A91">
        <f>IF('WP PROGRESS'!$Y$88="X","WP PROGRESS","")</f>
        <v/>
      </c>
      <c r="B91">
        <f>IF('WP PROGRESS'!$Y$88="X",'WP PROGRESS'!A88,"")</f>
        <v/>
      </c>
      <c r="C91">
        <f>IF('WP PROGRESS'!$Y$88="X",'WP PROGRESS'!C88,"")</f>
        <v/>
      </c>
      <c r="D91">
        <f>IF('WP PROGRESS'!$Y$88="X",'WP PROGRESS'!A88,"")</f>
        <v/>
      </c>
      <c r="E91">
        <f>IF('WP PROGRESS'!$Y$88="X",IFERROR(INDEX('WORK PACKAGES'!$C$2:$C$100,MATCH('WP PROGRESS'!A88,'WORK PACKAGES'!$A$2:$A$100,0)),""),"")</f>
        <v/>
      </c>
      <c r="H91">
        <f>IF('WP PROGRESS'!$Y$88="X","X","")</f>
        <v/>
      </c>
    </row>
    <row r="92" ht="15" customHeight="1" s="130">
      <c r="A92">
        <f>IF('WP PROGRESS'!$Y$89="X","WP PROGRESS","")</f>
        <v/>
      </c>
      <c r="B92">
        <f>IF('WP PROGRESS'!$Y$89="X",'WP PROGRESS'!A89,"")</f>
        <v/>
      </c>
      <c r="C92">
        <f>IF('WP PROGRESS'!$Y$89="X",'WP PROGRESS'!C89,"")</f>
        <v/>
      </c>
      <c r="D92">
        <f>IF('WP PROGRESS'!$Y$89="X",'WP PROGRESS'!A89,"")</f>
        <v/>
      </c>
      <c r="E92">
        <f>IF('WP PROGRESS'!$Y$89="X",IFERROR(INDEX('WORK PACKAGES'!$C$2:$C$100,MATCH('WP PROGRESS'!A89,'WORK PACKAGES'!$A$2:$A$100,0)),""),"")</f>
        <v/>
      </c>
      <c r="H92">
        <f>IF('WP PROGRESS'!$Y$89="X","X","")</f>
        <v/>
      </c>
    </row>
    <row r="93" ht="15" customHeight="1" s="130">
      <c r="A93">
        <f>IF('WP PROGRESS'!$Y$90="X","WP PROGRESS","")</f>
        <v/>
      </c>
      <c r="B93">
        <f>IF('WP PROGRESS'!$Y$90="X",'WP PROGRESS'!A90,"")</f>
        <v/>
      </c>
      <c r="C93">
        <f>IF('WP PROGRESS'!$Y$90="X",'WP PROGRESS'!C90,"")</f>
        <v/>
      </c>
      <c r="D93">
        <f>IF('WP PROGRESS'!$Y$90="X",'WP PROGRESS'!A90,"")</f>
        <v/>
      </c>
      <c r="E93">
        <f>IF('WP PROGRESS'!$Y$90="X",IFERROR(INDEX('WORK PACKAGES'!$C$2:$C$100,MATCH('WP PROGRESS'!A90,'WORK PACKAGES'!$A$2:$A$100,0)),""),"")</f>
        <v/>
      </c>
      <c r="H93">
        <f>IF('WP PROGRESS'!$Y$90="X","X","")</f>
        <v/>
      </c>
    </row>
    <row r="94" ht="15" customHeight="1" s="130">
      <c r="A94">
        <f>IF('WP PROGRESS'!$Y$91="X","WP PROGRESS","")</f>
        <v/>
      </c>
      <c r="B94">
        <f>IF('WP PROGRESS'!$Y$91="X",'WP PROGRESS'!A91,"")</f>
        <v/>
      </c>
      <c r="C94">
        <f>IF('WP PROGRESS'!$Y$91="X",'WP PROGRESS'!C91,"")</f>
        <v/>
      </c>
      <c r="D94">
        <f>IF('WP PROGRESS'!$Y$91="X",'WP PROGRESS'!A91,"")</f>
        <v/>
      </c>
      <c r="E94">
        <f>IF('WP PROGRESS'!$Y$91="X",IFERROR(INDEX('WORK PACKAGES'!$C$2:$C$100,MATCH('WP PROGRESS'!A91,'WORK PACKAGES'!$A$2:$A$100,0)),""),"")</f>
        <v/>
      </c>
      <c r="H94">
        <f>IF('WP PROGRESS'!$Y$91="X","X","")</f>
        <v/>
      </c>
    </row>
    <row r="95" ht="15" customHeight="1" s="130">
      <c r="A95">
        <f>IF('WP PROGRESS'!$Y$92="X","WP PROGRESS","")</f>
        <v/>
      </c>
      <c r="B95">
        <f>IF('WP PROGRESS'!$Y$92="X",'WP PROGRESS'!A92,"")</f>
        <v/>
      </c>
      <c r="C95">
        <f>IF('WP PROGRESS'!$Y$92="X",'WP PROGRESS'!C92,"")</f>
        <v/>
      </c>
      <c r="D95">
        <f>IF('WP PROGRESS'!$Y$92="X",'WP PROGRESS'!A92,"")</f>
        <v/>
      </c>
      <c r="E95">
        <f>IF('WP PROGRESS'!$Y$92="X",IFERROR(INDEX('WORK PACKAGES'!$C$2:$C$100,MATCH('WP PROGRESS'!A92,'WORK PACKAGES'!$A$2:$A$100,0)),""),"")</f>
        <v/>
      </c>
      <c r="H95">
        <f>IF('WP PROGRESS'!$Y$92="X","X","")</f>
        <v/>
      </c>
    </row>
    <row r="96" ht="15" customHeight="1" s="130">
      <c r="A96">
        <f>IF('WP PROGRESS'!$Y$93="X","WP PROGRESS","")</f>
        <v/>
      </c>
      <c r="B96">
        <f>IF('WP PROGRESS'!$Y$93="X",'WP PROGRESS'!A93,"")</f>
        <v/>
      </c>
      <c r="C96">
        <f>IF('WP PROGRESS'!$Y$93="X",'WP PROGRESS'!C93,"")</f>
        <v/>
      </c>
      <c r="D96">
        <f>IF('WP PROGRESS'!$Y$93="X",'WP PROGRESS'!A93,"")</f>
        <v/>
      </c>
      <c r="E96">
        <f>IF('WP PROGRESS'!$Y$93="X",IFERROR(INDEX('WORK PACKAGES'!$C$2:$C$100,MATCH('WP PROGRESS'!A93,'WORK PACKAGES'!$A$2:$A$100,0)),""),"")</f>
        <v/>
      </c>
      <c r="H96">
        <f>IF('WP PROGRESS'!$Y$93="X","X","")</f>
        <v/>
      </c>
    </row>
    <row r="97" ht="15" customHeight="1" s="130">
      <c r="A97">
        <f>IF('WP PROGRESS'!$Y$94="X","WP PROGRESS","")</f>
        <v/>
      </c>
      <c r="B97">
        <f>IF('WP PROGRESS'!$Y$94="X",'WP PROGRESS'!A94,"")</f>
        <v/>
      </c>
      <c r="C97">
        <f>IF('WP PROGRESS'!$Y$94="X",'WP PROGRESS'!C94,"")</f>
        <v/>
      </c>
      <c r="D97">
        <f>IF('WP PROGRESS'!$Y$94="X",'WP PROGRESS'!A94,"")</f>
        <v/>
      </c>
      <c r="E97">
        <f>IF('WP PROGRESS'!$Y$94="X",IFERROR(INDEX('WORK PACKAGES'!$C$2:$C$100,MATCH('WP PROGRESS'!A94,'WORK PACKAGES'!$A$2:$A$100,0)),""),"")</f>
        <v/>
      </c>
      <c r="H97">
        <f>IF('WP PROGRESS'!$Y$94="X","X","")</f>
        <v/>
      </c>
    </row>
    <row r="98" ht="15" customHeight="1" s="130">
      <c r="A98">
        <f>IF('WP PROGRESS'!$Y$95="X","WP PROGRESS","")</f>
        <v/>
      </c>
      <c r="B98">
        <f>IF('WP PROGRESS'!$Y$95="X",'WP PROGRESS'!A95,"")</f>
        <v/>
      </c>
      <c r="C98">
        <f>IF('WP PROGRESS'!$Y$95="X",'WP PROGRESS'!C95,"")</f>
        <v/>
      </c>
      <c r="D98">
        <f>IF('WP PROGRESS'!$Y$95="X",'WP PROGRESS'!A95,"")</f>
        <v/>
      </c>
      <c r="E98">
        <f>IF('WP PROGRESS'!$Y$95="X",IFERROR(INDEX('WORK PACKAGES'!$C$2:$C$100,MATCH('WP PROGRESS'!A95,'WORK PACKAGES'!$A$2:$A$100,0)),""),"")</f>
        <v/>
      </c>
      <c r="H98">
        <f>IF('WP PROGRESS'!$Y$95="X","X","")</f>
        <v/>
      </c>
    </row>
    <row r="99" ht="15" customHeight="1" s="130">
      <c r="A99">
        <f>IF('WP PROGRESS'!$Y$96="X","WP PROGRESS","")</f>
        <v/>
      </c>
      <c r="B99">
        <f>IF('WP PROGRESS'!$Y$96="X",'WP PROGRESS'!A96,"")</f>
        <v/>
      </c>
      <c r="C99">
        <f>IF('WP PROGRESS'!$Y$96="X",'WP PROGRESS'!C96,"")</f>
        <v/>
      </c>
      <c r="D99">
        <f>IF('WP PROGRESS'!$Y$96="X",'WP PROGRESS'!A96,"")</f>
        <v/>
      </c>
      <c r="E99">
        <f>IF('WP PROGRESS'!$Y$96="X",IFERROR(INDEX('WORK PACKAGES'!$C$2:$C$100,MATCH('WP PROGRESS'!A96,'WORK PACKAGES'!$A$2:$A$100,0)),""),"")</f>
        <v/>
      </c>
      <c r="H99">
        <f>IF('WP PROGRESS'!$Y$96="X","X","")</f>
        <v/>
      </c>
    </row>
    <row r="100" ht="15" customHeight="1" s="130">
      <c r="A100">
        <f>IF('WP PROGRESS'!$Y$97="X","WP PROGRESS","")</f>
        <v/>
      </c>
      <c r="B100">
        <f>IF('WP PROGRESS'!$Y$97="X",'WP PROGRESS'!A97,"")</f>
        <v/>
      </c>
      <c r="C100">
        <f>IF('WP PROGRESS'!$Y$97="X",'WP PROGRESS'!C97,"")</f>
        <v/>
      </c>
      <c r="D100">
        <f>IF('WP PROGRESS'!$Y$97="X",'WP PROGRESS'!A97,"")</f>
        <v/>
      </c>
      <c r="E100">
        <f>IF('WP PROGRESS'!$Y$97="X",IFERROR(INDEX('WORK PACKAGES'!$C$2:$C$100,MATCH('WP PROGRESS'!A97,'WORK PACKAGES'!$A$2:$A$100,0)),""),"")</f>
        <v/>
      </c>
      <c r="H100">
        <f>IF('WP PROGRESS'!$Y$97="X","X","")</f>
        <v/>
      </c>
    </row>
    <row r="101" ht="15" customHeight="1" s="130">
      <c r="A101">
        <f>IF('WP PROGRESS'!$Y$98="X","WP PROGRESS","")</f>
        <v/>
      </c>
      <c r="B101">
        <f>IF('WP PROGRESS'!$Y$98="X",'WP PROGRESS'!A98,"")</f>
        <v/>
      </c>
      <c r="C101">
        <f>IF('WP PROGRESS'!$Y$98="X",'WP PROGRESS'!C98,"")</f>
        <v/>
      </c>
      <c r="D101">
        <f>IF('WP PROGRESS'!$Y$98="X",'WP PROGRESS'!A98,"")</f>
        <v/>
      </c>
      <c r="E101">
        <f>IF('WP PROGRESS'!$Y$98="X",IFERROR(INDEX('WORK PACKAGES'!$C$2:$C$100,MATCH('WP PROGRESS'!A98,'WORK PACKAGES'!$A$2:$A$100,0)),""),"")</f>
        <v/>
      </c>
      <c r="H101">
        <f>IF('WP PROGRESS'!$Y$98="X","X","")</f>
        <v/>
      </c>
    </row>
    <row r="102" ht="15" customHeight="1" s="130">
      <c r="A102">
        <f>IF('WP PROGRESS'!$Y$99="X","WP PROGRESS","")</f>
        <v/>
      </c>
      <c r="B102">
        <f>IF('WP PROGRESS'!$Y$99="X",'WP PROGRESS'!A99,"")</f>
        <v/>
      </c>
      <c r="C102">
        <f>IF('WP PROGRESS'!$Y$99="X",'WP PROGRESS'!C99,"")</f>
        <v/>
      </c>
      <c r="D102">
        <f>IF('WP PROGRESS'!$Y$99="X",'WP PROGRESS'!A99,"")</f>
        <v/>
      </c>
      <c r="E102">
        <f>IF('WP PROGRESS'!$Y$99="X",IFERROR(INDEX('WORK PACKAGES'!$C$2:$C$100,MATCH('WP PROGRESS'!A99,'WORK PACKAGES'!$A$2:$A$100,0)),""),"")</f>
        <v/>
      </c>
      <c r="H102">
        <f>IF('WP PROGRESS'!$Y$99="X","X","")</f>
        <v/>
      </c>
    </row>
    <row r="103" ht="15" customHeight="1" s="130">
      <c r="A103">
        <f>IF('WP PROGRESS'!$Y$100="X","WP PROGRESS","")</f>
        <v/>
      </c>
      <c r="B103">
        <f>IF('WP PROGRESS'!$Y$100="X",'WP PROGRESS'!A100,"")</f>
        <v/>
      </c>
      <c r="C103">
        <f>IF('WP PROGRESS'!$Y$100="X",'WP PROGRESS'!C100,"")</f>
        <v/>
      </c>
      <c r="D103">
        <f>IF('WP PROGRESS'!$Y$100="X",'WP PROGRESS'!A100,"")</f>
        <v/>
      </c>
      <c r="E103">
        <f>IF('WP PROGRESS'!$Y$100="X",IFERROR(INDEX('WORK PACKAGES'!$C$2:$C$100,MATCH('WP PROGRESS'!A100,'WORK PACKAGES'!$A$2:$A$100,0)),""),"")</f>
        <v/>
      </c>
      <c r="H103">
        <f>IF('WP PROGRESS'!$Y$100="X","X","")</f>
        <v/>
      </c>
    </row>
    <row r="104" ht="15" customHeight="1" s="130">
      <c r="A104">
        <f>IF(ISSUES!$Q$5="X","ISSUES","")</f>
        <v/>
      </c>
      <c r="B104">
        <f>IF(ISSUES!$Q$5="X",ISSUES!A5,"")</f>
        <v/>
      </c>
      <c r="C104">
        <f>IF(ISSUES!$Q$5="X",ISSUES!O5,"")</f>
        <v/>
      </c>
      <c r="D104">
        <f>IF(ISSUES!$Q$5="X",ISSUES!P5,"")</f>
        <v/>
      </c>
      <c r="E104">
        <f>IF(ISSUES!$Q$5="X",ISSUES!C5,"")</f>
        <v/>
      </c>
      <c r="F104">
        <f>IF(ISSUES!$Q$5="X",ISSUES!F5,"")</f>
        <v/>
      </c>
      <c r="G104">
        <f>IF(ISSUES!$Q$5="X",ISSUES!H5,"")</f>
        <v/>
      </c>
      <c r="H104">
        <f>IF(ISSUES!$Q$5="X","X","")</f>
        <v/>
      </c>
    </row>
    <row r="105" ht="15" customHeight="1" s="130">
      <c r="A105">
        <f>IF(ISSUES!$Q$6="X","ISSUES","")</f>
        <v/>
      </c>
      <c r="B105">
        <f>IF(ISSUES!$Q$6="X",ISSUES!A6,"")</f>
        <v/>
      </c>
      <c r="C105">
        <f>IF(ISSUES!$Q$6="X",ISSUES!O6,"")</f>
        <v/>
      </c>
      <c r="D105">
        <f>IF(ISSUES!$Q$6="X",ISSUES!P6,"")</f>
        <v/>
      </c>
      <c r="E105">
        <f>IF(ISSUES!$Q$6="X",ISSUES!C6,"")</f>
        <v/>
      </c>
      <c r="F105">
        <f>IF(ISSUES!$Q$6="X",ISSUES!F6,"")</f>
        <v/>
      </c>
      <c r="G105">
        <f>IF(ISSUES!$Q$6="X",ISSUES!H6,"")</f>
        <v/>
      </c>
      <c r="H105">
        <f>IF(ISSUES!$Q$6="X","X","")</f>
        <v/>
      </c>
    </row>
    <row r="106" ht="15" customHeight="1" s="130">
      <c r="A106">
        <f>IF(ISSUES!$Q$7="X","ISSUES","")</f>
        <v/>
      </c>
      <c r="B106">
        <f>IF(ISSUES!$Q$7="X",ISSUES!A7,"")</f>
        <v/>
      </c>
      <c r="C106">
        <f>IF(ISSUES!$Q$7="X",ISSUES!O7,"")</f>
        <v/>
      </c>
      <c r="D106">
        <f>IF(ISSUES!$Q$7="X",ISSUES!P7,"")</f>
        <v/>
      </c>
      <c r="E106">
        <f>IF(ISSUES!$Q$7="X",ISSUES!C7,"")</f>
        <v/>
      </c>
      <c r="F106">
        <f>IF(ISSUES!$Q$7="X",ISSUES!F7,"")</f>
        <v/>
      </c>
      <c r="G106">
        <f>IF(ISSUES!$Q$7="X",ISSUES!H7,"")</f>
        <v/>
      </c>
      <c r="H106">
        <f>IF(ISSUES!$Q$7="X","X","")</f>
        <v/>
      </c>
    </row>
    <row r="107" ht="15" customHeight="1" s="130">
      <c r="A107">
        <f>IF(ISSUES!$Q$8="X","ISSUES","")</f>
        <v/>
      </c>
      <c r="B107">
        <f>IF(ISSUES!$Q$8="X",ISSUES!A8,"")</f>
        <v/>
      </c>
      <c r="C107">
        <f>IF(ISSUES!$Q$8="X",ISSUES!O8,"")</f>
        <v/>
      </c>
      <c r="D107">
        <f>IF(ISSUES!$Q$8="X",ISSUES!P8,"")</f>
        <v/>
      </c>
      <c r="E107">
        <f>IF(ISSUES!$Q$8="X",ISSUES!C8,"")</f>
        <v/>
      </c>
      <c r="F107">
        <f>IF(ISSUES!$Q$8="X",ISSUES!F8,"")</f>
        <v/>
      </c>
      <c r="G107">
        <f>IF(ISSUES!$Q$8="X",ISSUES!H8,"")</f>
        <v/>
      </c>
      <c r="H107">
        <f>IF(ISSUES!$Q$8="X","X","")</f>
        <v/>
      </c>
    </row>
    <row r="108" ht="15" customHeight="1" s="130">
      <c r="A108">
        <f>IF(ISSUES!$Q$9="X","ISSUES","")</f>
        <v/>
      </c>
      <c r="B108">
        <f>IF(ISSUES!$Q$9="X",ISSUES!A9,"")</f>
        <v/>
      </c>
      <c r="C108">
        <f>IF(ISSUES!$Q$9="X",ISSUES!O9,"")</f>
        <v/>
      </c>
      <c r="D108">
        <f>IF(ISSUES!$Q$9="X",ISSUES!P9,"")</f>
        <v/>
      </c>
      <c r="E108">
        <f>IF(ISSUES!$Q$9="X",ISSUES!C9,"")</f>
        <v/>
      </c>
      <c r="F108">
        <f>IF(ISSUES!$Q$9="X",ISSUES!F9,"")</f>
        <v/>
      </c>
      <c r="G108">
        <f>IF(ISSUES!$Q$9="X",ISSUES!H9,"")</f>
        <v/>
      </c>
      <c r="H108">
        <f>IF(ISSUES!$Q$9="X","X","")</f>
        <v/>
      </c>
    </row>
    <row r="109" ht="15" customHeight="1" s="130">
      <c r="A109">
        <f>IF(ISSUES!$Q$10="X","ISSUES","")</f>
        <v/>
      </c>
      <c r="B109">
        <f>IF(ISSUES!$Q$10="X",ISSUES!A10,"")</f>
        <v/>
      </c>
      <c r="C109">
        <f>IF(ISSUES!$Q$10="X",ISSUES!O10,"")</f>
        <v/>
      </c>
      <c r="D109">
        <f>IF(ISSUES!$Q$10="X",ISSUES!P10,"")</f>
        <v/>
      </c>
      <c r="E109">
        <f>IF(ISSUES!$Q$10="X",ISSUES!C10,"")</f>
        <v/>
      </c>
      <c r="F109">
        <f>IF(ISSUES!$Q$10="X",ISSUES!F10,"")</f>
        <v/>
      </c>
      <c r="G109">
        <f>IF(ISSUES!$Q$10="X",ISSUES!H10,"")</f>
        <v/>
      </c>
      <c r="H109">
        <f>IF(ISSUES!$Q$10="X","X","")</f>
        <v/>
      </c>
    </row>
    <row r="110" ht="15" customHeight="1" s="130">
      <c r="A110">
        <f>IF(ISSUES!$Q$11="X","ISSUES","")</f>
        <v/>
      </c>
      <c r="B110">
        <f>IF(ISSUES!$Q$11="X",ISSUES!A11,"")</f>
        <v/>
      </c>
      <c r="C110">
        <f>IF(ISSUES!$Q$11="X",ISSUES!O11,"")</f>
        <v/>
      </c>
      <c r="D110">
        <f>IF(ISSUES!$Q$11="X",ISSUES!P11,"")</f>
        <v/>
      </c>
      <c r="E110">
        <f>IF(ISSUES!$Q$11="X",ISSUES!C11,"")</f>
        <v/>
      </c>
      <c r="F110">
        <f>IF(ISSUES!$Q$11="X",ISSUES!F11,"")</f>
        <v/>
      </c>
      <c r="G110">
        <f>IF(ISSUES!$Q$11="X",ISSUES!H11,"")</f>
        <v/>
      </c>
      <c r="H110">
        <f>IF(ISSUES!$Q$11="X","X","")</f>
        <v/>
      </c>
    </row>
    <row r="111" ht="15" customHeight="1" s="130">
      <c r="A111">
        <f>IF(ISSUES!$Q$12="X","ISSUES","")</f>
        <v/>
      </c>
      <c r="B111">
        <f>IF(ISSUES!$Q$12="X",ISSUES!A12,"")</f>
        <v/>
      </c>
      <c r="C111">
        <f>IF(ISSUES!$Q$12="X",ISSUES!O12,"")</f>
        <v/>
      </c>
      <c r="D111">
        <f>IF(ISSUES!$Q$12="X",ISSUES!P12,"")</f>
        <v/>
      </c>
      <c r="E111">
        <f>IF(ISSUES!$Q$12="X",ISSUES!C12,"")</f>
        <v/>
      </c>
      <c r="F111">
        <f>IF(ISSUES!$Q$12="X",ISSUES!F12,"")</f>
        <v/>
      </c>
      <c r="G111">
        <f>IF(ISSUES!$Q$12="X",ISSUES!H12,"")</f>
        <v/>
      </c>
      <c r="H111">
        <f>IF(ISSUES!$Q$12="X","X","")</f>
        <v/>
      </c>
    </row>
    <row r="112" ht="15" customHeight="1" s="130">
      <c r="A112">
        <f>IF(ISSUES!$Q$13="X","ISSUES","")</f>
        <v/>
      </c>
      <c r="B112">
        <f>IF(ISSUES!$Q$13="X",ISSUES!A13,"")</f>
        <v/>
      </c>
      <c r="C112">
        <f>IF(ISSUES!$Q$13="X",ISSUES!O13,"")</f>
        <v/>
      </c>
      <c r="D112">
        <f>IF(ISSUES!$Q$13="X",ISSUES!P13,"")</f>
        <v/>
      </c>
      <c r="E112">
        <f>IF(ISSUES!$Q$13="X",ISSUES!C13,"")</f>
        <v/>
      </c>
      <c r="F112">
        <f>IF(ISSUES!$Q$13="X",ISSUES!F13,"")</f>
        <v/>
      </c>
      <c r="G112">
        <f>IF(ISSUES!$Q$13="X",ISSUES!H13,"")</f>
        <v/>
      </c>
      <c r="H112">
        <f>IF(ISSUES!$Q$13="X","X","")</f>
        <v/>
      </c>
    </row>
    <row r="113" ht="15" customHeight="1" s="130">
      <c r="A113">
        <f>IF(ISSUES!$Q$14="X","ISSUES","")</f>
        <v/>
      </c>
      <c r="B113">
        <f>IF(ISSUES!$Q$14="X",ISSUES!A14,"")</f>
        <v/>
      </c>
      <c r="C113">
        <f>IF(ISSUES!$Q$14="X",ISSUES!O14,"")</f>
        <v/>
      </c>
      <c r="D113">
        <f>IF(ISSUES!$Q$14="X",ISSUES!P14,"")</f>
        <v/>
      </c>
      <c r="E113">
        <f>IF(ISSUES!$Q$14="X",ISSUES!C14,"")</f>
        <v/>
      </c>
      <c r="F113">
        <f>IF(ISSUES!$Q$14="X",ISSUES!F14,"")</f>
        <v/>
      </c>
      <c r="G113">
        <f>IF(ISSUES!$Q$14="X",ISSUES!H14,"")</f>
        <v/>
      </c>
      <c r="H113">
        <f>IF(ISSUES!$Q$14="X","X","")</f>
        <v/>
      </c>
    </row>
    <row r="114" ht="15" customHeight="1" s="130">
      <c r="A114">
        <f>IF(ISSUES!$Q$15="X","ISSUES","")</f>
        <v/>
      </c>
      <c r="B114">
        <f>IF(ISSUES!$Q$15="X",ISSUES!A15,"")</f>
        <v/>
      </c>
      <c r="C114">
        <f>IF(ISSUES!$Q$15="X",ISSUES!O15,"")</f>
        <v/>
      </c>
      <c r="D114">
        <f>IF(ISSUES!$Q$15="X",ISSUES!P15,"")</f>
        <v/>
      </c>
      <c r="E114">
        <f>IF(ISSUES!$Q$15="X",ISSUES!C15,"")</f>
        <v/>
      </c>
      <c r="F114">
        <f>IF(ISSUES!$Q$15="X",ISSUES!F15,"")</f>
        <v/>
      </c>
      <c r="G114">
        <f>IF(ISSUES!$Q$15="X",ISSUES!H15,"")</f>
        <v/>
      </c>
      <c r="H114">
        <f>IF(ISSUES!$Q$15="X","X","")</f>
        <v/>
      </c>
    </row>
    <row r="115" ht="15" customHeight="1" s="130">
      <c r="A115">
        <f>IF(ISSUES!$Q$16="X","ISSUES","")</f>
        <v/>
      </c>
      <c r="B115">
        <f>IF(ISSUES!$Q$16="X",ISSUES!A16,"")</f>
        <v/>
      </c>
      <c r="C115">
        <f>IF(ISSUES!$Q$16="X",ISSUES!O16,"")</f>
        <v/>
      </c>
      <c r="D115">
        <f>IF(ISSUES!$Q$16="X",ISSUES!P16,"")</f>
        <v/>
      </c>
      <c r="E115">
        <f>IF(ISSUES!$Q$16="X",ISSUES!C16,"")</f>
        <v/>
      </c>
      <c r="F115">
        <f>IF(ISSUES!$Q$16="X",ISSUES!F16,"")</f>
        <v/>
      </c>
      <c r="G115">
        <f>IF(ISSUES!$Q$16="X",ISSUES!H16,"")</f>
        <v/>
      </c>
      <c r="H115">
        <f>IF(ISSUES!$Q$16="X","X","")</f>
        <v/>
      </c>
    </row>
    <row r="116" ht="15" customHeight="1" s="130">
      <c r="A116">
        <f>IF(ISSUES!$Q$17="X","ISSUES","")</f>
        <v/>
      </c>
      <c r="B116">
        <f>IF(ISSUES!$Q$17="X",ISSUES!A17,"")</f>
        <v/>
      </c>
      <c r="C116">
        <f>IF(ISSUES!$Q$17="X",ISSUES!O17,"")</f>
        <v/>
      </c>
      <c r="D116">
        <f>IF(ISSUES!$Q$17="X",ISSUES!P17,"")</f>
        <v/>
      </c>
      <c r="E116">
        <f>IF(ISSUES!$Q$17="X",ISSUES!C17,"")</f>
        <v/>
      </c>
      <c r="F116">
        <f>IF(ISSUES!$Q$17="X",ISSUES!F17,"")</f>
        <v/>
      </c>
      <c r="G116">
        <f>IF(ISSUES!$Q$17="X",ISSUES!H17,"")</f>
        <v/>
      </c>
      <c r="H116">
        <f>IF(ISSUES!$Q$17="X","X","")</f>
        <v/>
      </c>
    </row>
    <row r="117" ht="15" customHeight="1" s="130">
      <c r="A117">
        <f>IF(ISSUES!$Q$18="X","ISSUES","")</f>
        <v/>
      </c>
      <c r="B117">
        <f>IF(ISSUES!$Q$18="X",ISSUES!A18,"")</f>
        <v/>
      </c>
      <c r="C117">
        <f>IF(ISSUES!$Q$18="X",ISSUES!O18,"")</f>
        <v/>
      </c>
      <c r="D117">
        <f>IF(ISSUES!$Q$18="X",ISSUES!P18,"")</f>
        <v/>
      </c>
      <c r="E117">
        <f>IF(ISSUES!$Q$18="X",ISSUES!C18,"")</f>
        <v/>
      </c>
      <c r="F117">
        <f>IF(ISSUES!$Q$18="X",ISSUES!F18,"")</f>
        <v/>
      </c>
      <c r="G117">
        <f>IF(ISSUES!$Q$18="X",ISSUES!H18,"")</f>
        <v/>
      </c>
      <c r="H117">
        <f>IF(ISSUES!$Q$18="X","X","")</f>
        <v/>
      </c>
    </row>
    <row r="118" ht="15" customHeight="1" s="130">
      <c r="A118">
        <f>IF(ISSUES!$Q$19="X","ISSUES","")</f>
        <v/>
      </c>
      <c r="B118">
        <f>IF(ISSUES!$Q$19="X",ISSUES!A19,"")</f>
        <v/>
      </c>
      <c r="C118">
        <f>IF(ISSUES!$Q$19="X",ISSUES!O19,"")</f>
        <v/>
      </c>
      <c r="D118">
        <f>IF(ISSUES!$Q$19="X",ISSUES!P19,"")</f>
        <v/>
      </c>
      <c r="E118">
        <f>IF(ISSUES!$Q$19="X",ISSUES!C19,"")</f>
        <v/>
      </c>
      <c r="F118">
        <f>IF(ISSUES!$Q$19="X",ISSUES!F19,"")</f>
        <v/>
      </c>
      <c r="G118">
        <f>IF(ISSUES!$Q$19="X",ISSUES!H19,"")</f>
        <v/>
      </c>
      <c r="H118">
        <f>IF(ISSUES!$Q$19="X","X","")</f>
        <v/>
      </c>
    </row>
    <row r="119" ht="15" customHeight="1" s="130">
      <c r="A119">
        <f>IF(ISSUES!$Q$20="X","ISSUES","")</f>
        <v/>
      </c>
      <c r="B119">
        <f>IF(ISSUES!$Q$20="X",ISSUES!A20,"")</f>
        <v/>
      </c>
      <c r="C119">
        <f>IF(ISSUES!$Q$20="X",ISSUES!O20,"")</f>
        <v/>
      </c>
      <c r="D119">
        <f>IF(ISSUES!$Q$20="X",ISSUES!P20,"")</f>
        <v/>
      </c>
      <c r="E119">
        <f>IF(ISSUES!$Q$20="X",ISSUES!C20,"")</f>
        <v/>
      </c>
      <c r="F119">
        <f>IF(ISSUES!$Q$20="X",ISSUES!F20,"")</f>
        <v/>
      </c>
      <c r="G119">
        <f>IF(ISSUES!$Q$20="X",ISSUES!H20,"")</f>
        <v/>
      </c>
      <c r="H119">
        <f>IF(ISSUES!$Q$20="X","X","")</f>
        <v/>
      </c>
    </row>
    <row r="120" ht="15" customHeight="1" s="130">
      <c r="A120">
        <f>IF(ISSUES!$Q$21="X","ISSUES","")</f>
        <v/>
      </c>
      <c r="B120">
        <f>IF(ISSUES!$Q$21="X",ISSUES!A21,"")</f>
        <v/>
      </c>
      <c r="C120">
        <f>IF(ISSUES!$Q$21="X",ISSUES!O21,"")</f>
        <v/>
      </c>
      <c r="D120">
        <f>IF(ISSUES!$Q$21="X",ISSUES!P21,"")</f>
        <v/>
      </c>
      <c r="E120">
        <f>IF(ISSUES!$Q$21="X",ISSUES!C21,"")</f>
        <v/>
      </c>
      <c r="F120">
        <f>IF(ISSUES!$Q$21="X",ISSUES!F21,"")</f>
        <v/>
      </c>
      <c r="G120">
        <f>IF(ISSUES!$Q$21="X",ISSUES!H21,"")</f>
        <v/>
      </c>
      <c r="H120">
        <f>IF(ISSUES!$Q$21="X","X","")</f>
        <v/>
      </c>
    </row>
    <row r="121" ht="15" customHeight="1" s="130">
      <c r="A121">
        <f>IF(ISSUES!$Q$22="X","ISSUES","")</f>
        <v/>
      </c>
      <c r="B121">
        <f>IF(ISSUES!$Q$22="X",ISSUES!A22,"")</f>
        <v/>
      </c>
      <c r="C121">
        <f>IF(ISSUES!$Q$22="X",ISSUES!O22,"")</f>
        <v/>
      </c>
      <c r="D121">
        <f>IF(ISSUES!$Q$22="X",ISSUES!P22,"")</f>
        <v/>
      </c>
      <c r="E121">
        <f>IF(ISSUES!$Q$22="X",ISSUES!C22,"")</f>
        <v/>
      </c>
      <c r="F121">
        <f>IF(ISSUES!$Q$22="X",ISSUES!F22,"")</f>
        <v/>
      </c>
      <c r="G121">
        <f>IF(ISSUES!$Q$22="X",ISSUES!H22,"")</f>
        <v/>
      </c>
      <c r="H121">
        <f>IF(ISSUES!$Q$22="X","X","")</f>
        <v/>
      </c>
    </row>
    <row r="122" ht="15" customHeight="1" s="130">
      <c r="A122">
        <f>IF(ISSUES!$Q$23="X","ISSUES","")</f>
        <v/>
      </c>
      <c r="B122">
        <f>IF(ISSUES!$Q$23="X",ISSUES!A23,"")</f>
        <v/>
      </c>
      <c r="C122">
        <f>IF(ISSUES!$Q$23="X",ISSUES!O23,"")</f>
        <v/>
      </c>
      <c r="D122">
        <f>IF(ISSUES!$Q$23="X",ISSUES!P23,"")</f>
        <v/>
      </c>
      <c r="E122">
        <f>IF(ISSUES!$Q$23="X",ISSUES!C23,"")</f>
        <v/>
      </c>
      <c r="F122">
        <f>IF(ISSUES!$Q$23="X",ISSUES!F23,"")</f>
        <v/>
      </c>
      <c r="G122">
        <f>IF(ISSUES!$Q$23="X",ISSUES!H23,"")</f>
        <v/>
      </c>
      <c r="H122">
        <f>IF(ISSUES!$Q$23="X","X","")</f>
        <v/>
      </c>
    </row>
    <row r="123" ht="15" customHeight="1" s="130">
      <c r="A123">
        <f>IF(ISSUES!$Q$24="X","ISSUES","")</f>
        <v/>
      </c>
      <c r="B123">
        <f>IF(ISSUES!$Q$24="X",ISSUES!A24,"")</f>
        <v/>
      </c>
      <c r="C123">
        <f>IF(ISSUES!$Q$24="X",ISSUES!O24,"")</f>
        <v/>
      </c>
      <c r="D123">
        <f>IF(ISSUES!$Q$24="X",ISSUES!P24,"")</f>
        <v/>
      </c>
      <c r="E123">
        <f>IF(ISSUES!$Q$24="X",ISSUES!C24,"")</f>
        <v/>
      </c>
      <c r="F123">
        <f>IF(ISSUES!$Q$24="X",ISSUES!F24,"")</f>
        <v/>
      </c>
      <c r="G123">
        <f>IF(ISSUES!$Q$24="X",ISSUES!H24,"")</f>
        <v/>
      </c>
      <c r="H123">
        <f>IF(ISSUES!$Q$24="X","X","")</f>
        <v/>
      </c>
    </row>
    <row r="124" ht="15" customHeight="1" s="130">
      <c r="A124">
        <f>IF(ISSUES!$Q$25="X","ISSUES","")</f>
        <v/>
      </c>
      <c r="B124">
        <f>IF(ISSUES!$Q$25="X",ISSUES!A25,"")</f>
        <v/>
      </c>
      <c r="C124">
        <f>IF(ISSUES!$Q$25="X",ISSUES!O25,"")</f>
        <v/>
      </c>
      <c r="D124">
        <f>IF(ISSUES!$Q$25="X",ISSUES!P25,"")</f>
        <v/>
      </c>
      <c r="E124">
        <f>IF(ISSUES!$Q$25="X",ISSUES!C25,"")</f>
        <v/>
      </c>
      <c r="F124">
        <f>IF(ISSUES!$Q$25="X",ISSUES!F25,"")</f>
        <v/>
      </c>
      <c r="G124">
        <f>IF(ISSUES!$Q$25="X",ISSUES!H25,"")</f>
        <v/>
      </c>
      <c r="H124">
        <f>IF(ISSUES!$Q$25="X","X","")</f>
        <v/>
      </c>
    </row>
    <row r="125" ht="15" customHeight="1" s="130">
      <c r="A125">
        <f>IF(ISSUES!$Q$26="X","ISSUES","")</f>
        <v/>
      </c>
      <c r="B125">
        <f>IF(ISSUES!$Q$26="X",ISSUES!A26,"")</f>
        <v/>
      </c>
      <c r="C125">
        <f>IF(ISSUES!$Q$26="X",ISSUES!O26,"")</f>
        <v/>
      </c>
      <c r="D125">
        <f>IF(ISSUES!$Q$26="X",ISSUES!P26,"")</f>
        <v/>
      </c>
      <c r="E125">
        <f>IF(ISSUES!$Q$26="X",ISSUES!C26,"")</f>
        <v/>
      </c>
      <c r="F125">
        <f>IF(ISSUES!$Q$26="X",ISSUES!F26,"")</f>
        <v/>
      </c>
      <c r="G125">
        <f>IF(ISSUES!$Q$26="X",ISSUES!H26,"")</f>
        <v/>
      </c>
      <c r="H125">
        <f>IF(ISSUES!$Q$26="X","X","")</f>
        <v/>
      </c>
    </row>
    <row r="126" ht="15" customHeight="1" s="130">
      <c r="A126">
        <f>IF(ISSUES!$Q$27="X","ISSUES","")</f>
        <v/>
      </c>
      <c r="B126">
        <f>IF(ISSUES!$Q$27="X",ISSUES!A27,"")</f>
        <v/>
      </c>
      <c r="C126">
        <f>IF(ISSUES!$Q$27="X",ISSUES!O27,"")</f>
        <v/>
      </c>
      <c r="D126">
        <f>IF(ISSUES!$Q$27="X",ISSUES!P27,"")</f>
        <v/>
      </c>
      <c r="E126">
        <f>IF(ISSUES!$Q$27="X",ISSUES!C27,"")</f>
        <v/>
      </c>
      <c r="F126">
        <f>IF(ISSUES!$Q$27="X",ISSUES!F27,"")</f>
        <v/>
      </c>
      <c r="G126">
        <f>IF(ISSUES!$Q$27="X",ISSUES!H27,"")</f>
        <v/>
      </c>
      <c r="H126">
        <f>IF(ISSUES!$Q$27="X","X","")</f>
        <v/>
      </c>
    </row>
    <row r="127" ht="15" customHeight="1" s="130">
      <c r="A127">
        <f>IF(ISSUES!$Q$28="X","ISSUES","")</f>
        <v/>
      </c>
      <c r="B127">
        <f>IF(ISSUES!$Q$28="X",ISSUES!A28,"")</f>
        <v/>
      </c>
      <c r="C127">
        <f>IF(ISSUES!$Q$28="X",ISSUES!O28,"")</f>
        <v/>
      </c>
      <c r="D127">
        <f>IF(ISSUES!$Q$28="X",ISSUES!P28,"")</f>
        <v/>
      </c>
      <c r="E127">
        <f>IF(ISSUES!$Q$28="X",ISSUES!C28,"")</f>
        <v/>
      </c>
      <c r="F127">
        <f>IF(ISSUES!$Q$28="X",ISSUES!F28,"")</f>
        <v/>
      </c>
      <c r="G127">
        <f>IF(ISSUES!$Q$28="X",ISSUES!H28,"")</f>
        <v/>
      </c>
      <c r="H127">
        <f>IF(ISSUES!$Q$28="X","X","")</f>
        <v/>
      </c>
    </row>
    <row r="128" ht="15" customHeight="1" s="130">
      <c r="A128">
        <f>IF(ISSUES!$Q$29="X","ISSUES","")</f>
        <v/>
      </c>
      <c r="B128">
        <f>IF(ISSUES!$Q$29="X",ISSUES!A29,"")</f>
        <v/>
      </c>
      <c r="C128">
        <f>IF(ISSUES!$Q$29="X",ISSUES!O29,"")</f>
        <v/>
      </c>
      <c r="D128">
        <f>IF(ISSUES!$Q$29="X",ISSUES!P29,"")</f>
        <v/>
      </c>
      <c r="E128">
        <f>IF(ISSUES!$Q$29="X",ISSUES!C29,"")</f>
        <v/>
      </c>
      <c r="F128">
        <f>IF(ISSUES!$Q$29="X",ISSUES!F29,"")</f>
        <v/>
      </c>
      <c r="G128">
        <f>IF(ISSUES!$Q$29="X",ISSUES!H29,"")</f>
        <v/>
      </c>
      <c r="H128">
        <f>IF(ISSUES!$Q$29="X","X","")</f>
        <v/>
      </c>
    </row>
    <row r="129" ht="15" customHeight="1" s="130">
      <c r="A129">
        <f>IF(ISSUES!$Q$30="X","ISSUES","")</f>
        <v/>
      </c>
      <c r="B129">
        <f>IF(ISSUES!$Q$30="X",ISSUES!A30,"")</f>
        <v/>
      </c>
      <c r="C129">
        <f>IF(ISSUES!$Q$30="X",ISSUES!O30,"")</f>
        <v/>
      </c>
      <c r="D129">
        <f>IF(ISSUES!$Q$30="X",ISSUES!P30,"")</f>
        <v/>
      </c>
      <c r="E129">
        <f>IF(ISSUES!$Q$30="X",ISSUES!C30,"")</f>
        <v/>
      </c>
      <c r="F129">
        <f>IF(ISSUES!$Q$30="X",ISSUES!F30,"")</f>
        <v/>
      </c>
      <c r="G129">
        <f>IF(ISSUES!$Q$30="X",ISSUES!H30,"")</f>
        <v/>
      </c>
      <c r="H129">
        <f>IF(ISSUES!$Q$30="X","X","")</f>
        <v/>
      </c>
    </row>
    <row r="130" ht="15" customHeight="1" s="130">
      <c r="A130">
        <f>IF(ISSUES!$Q$31="X","ISSUES","")</f>
        <v/>
      </c>
      <c r="B130">
        <f>IF(ISSUES!$Q$31="X",ISSUES!A31,"")</f>
        <v/>
      </c>
      <c r="C130">
        <f>IF(ISSUES!$Q$31="X",ISSUES!O31,"")</f>
        <v/>
      </c>
      <c r="D130">
        <f>IF(ISSUES!$Q$31="X",ISSUES!P31,"")</f>
        <v/>
      </c>
      <c r="E130">
        <f>IF(ISSUES!$Q$31="X",ISSUES!C31,"")</f>
        <v/>
      </c>
      <c r="F130">
        <f>IF(ISSUES!$Q$31="X",ISSUES!F31,"")</f>
        <v/>
      </c>
      <c r="G130">
        <f>IF(ISSUES!$Q$31="X",ISSUES!H31,"")</f>
        <v/>
      </c>
      <c r="H130">
        <f>IF(ISSUES!$Q$31="X","X","")</f>
        <v/>
      </c>
    </row>
    <row r="131" ht="15" customHeight="1" s="130">
      <c r="A131">
        <f>IF(ISSUES!$Q$32="X","ISSUES","")</f>
        <v/>
      </c>
      <c r="B131">
        <f>IF(ISSUES!$Q$32="X",ISSUES!A32,"")</f>
        <v/>
      </c>
      <c r="C131">
        <f>IF(ISSUES!$Q$32="X",ISSUES!O32,"")</f>
        <v/>
      </c>
      <c r="D131">
        <f>IF(ISSUES!$Q$32="X",ISSUES!P32,"")</f>
        <v/>
      </c>
      <c r="E131">
        <f>IF(ISSUES!$Q$32="X",ISSUES!C32,"")</f>
        <v/>
      </c>
      <c r="F131">
        <f>IF(ISSUES!$Q$32="X",ISSUES!F32,"")</f>
        <v/>
      </c>
      <c r="G131">
        <f>IF(ISSUES!$Q$32="X",ISSUES!H32,"")</f>
        <v/>
      </c>
      <c r="H131">
        <f>IF(ISSUES!$Q$32="X","X","")</f>
        <v/>
      </c>
    </row>
    <row r="132" ht="15" customHeight="1" s="130">
      <c r="A132">
        <f>IF(ISSUES!$Q$33="X","ISSUES","")</f>
        <v/>
      </c>
      <c r="B132">
        <f>IF(ISSUES!$Q$33="X",ISSUES!A33,"")</f>
        <v/>
      </c>
      <c r="C132">
        <f>IF(ISSUES!$Q$33="X",ISSUES!O33,"")</f>
        <v/>
      </c>
      <c r="D132">
        <f>IF(ISSUES!$Q$33="X",ISSUES!P33,"")</f>
        <v/>
      </c>
      <c r="E132">
        <f>IF(ISSUES!$Q$33="X",ISSUES!C33,"")</f>
        <v/>
      </c>
      <c r="F132">
        <f>IF(ISSUES!$Q$33="X",ISSUES!F33,"")</f>
        <v/>
      </c>
      <c r="G132">
        <f>IF(ISSUES!$Q$33="X",ISSUES!H33,"")</f>
        <v/>
      </c>
      <c r="H132">
        <f>IF(ISSUES!$Q$33="X","X","")</f>
        <v/>
      </c>
    </row>
    <row r="133" ht="15" customHeight="1" s="130">
      <c r="A133">
        <f>IF(ISSUES!$Q$34="X","ISSUES","")</f>
        <v/>
      </c>
      <c r="B133">
        <f>IF(ISSUES!$Q$34="X",ISSUES!A34,"")</f>
        <v/>
      </c>
      <c r="C133">
        <f>IF(ISSUES!$Q$34="X",ISSUES!O34,"")</f>
        <v/>
      </c>
      <c r="D133">
        <f>IF(ISSUES!$Q$34="X",ISSUES!P34,"")</f>
        <v/>
      </c>
      <c r="E133">
        <f>IF(ISSUES!$Q$34="X",ISSUES!C34,"")</f>
        <v/>
      </c>
      <c r="F133">
        <f>IF(ISSUES!$Q$34="X",ISSUES!F34,"")</f>
        <v/>
      </c>
      <c r="G133">
        <f>IF(ISSUES!$Q$34="X",ISSUES!H34,"")</f>
        <v/>
      </c>
      <c r="H133">
        <f>IF(ISSUES!$Q$34="X","X","")</f>
        <v/>
      </c>
    </row>
    <row r="134" ht="15" customHeight="1" s="130">
      <c r="A134">
        <f>IF(ISSUES!$Q$35="X","ISSUES","")</f>
        <v/>
      </c>
      <c r="B134">
        <f>IF(ISSUES!$Q$35="X",ISSUES!A35,"")</f>
        <v/>
      </c>
      <c r="C134">
        <f>IF(ISSUES!$Q$35="X",ISSUES!O35,"")</f>
        <v/>
      </c>
      <c r="D134">
        <f>IF(ISSUES!$Q$35="X",ISSUES!P35,"")</f>
        <v/>
      </c>
      <c r="E134">
        <f>IF(ISSUES!$Q$35="X",ISSUES!C35,"")</f>
        <v/>
      </c>
      <c r="F134">
        <f>IF(ISSUES!$Q$35="X",ISSUES!F35,"")</f>
        <v/>
      </c>
      <c r="G134">
        <f>IF(ISSUES!$Q$35="X",ISSUES!H35,"")</f>
        <v/>
      </c>
      <c r="H134">
        <f>IF(ISSUES!$Q$35="X","X","")</f>
        <v/>
      </c>
    </row>
    <row r="135" ht="15" customHeight="1" s="130">
      <c r="A135">
        <f>IF(ISSUES!$Q$36="X","ISSUES","")</f>
        <v/>
      </c>
      <c r="B135">
        <f>IF(ISSUES!$Q$36="X",ISSUES!A36,"")</f>
        <v/>
      </c>
      <c r="C135">
        <f>IF(ISSUES!$Q$36="X",ISSUES!O36,"")</f>
        <v/>
      </c>
      <c r="D135">
        <f>IF(ISSUES!$Q$36="X",ISSUES!P36,"")</f>
        <v/>
      </c>
      <c r="E135">
        <f>IF(ISSUES!$Q$36="X",ISSUES!C36,"")</f>
        <v/>
      </c>
      <c r="F135">
        <f>IF(ISSUES!$Q$36="X",ISSUES!F36,"")</f>
        <v/>
      </c>
      <c r="G135">
        <f>IF(ISSUES!$Q$36="X",ISSUES!H36,"")</f>
        <v/>
      </c>
      <c r="H135">
        <f>IF(ISSUES!$Q$36="X","X","")</f>
        <v/>
      </c>
    </row>
    <row r="136" ht="15" customHeight="1" s="130">
      <c r="A136">
        <f>IF(ISSUES!$Q$37="X","ISSUES","")</f>
        <v/>
      </c>
      <c r="B136">
        <f>IF(ISSUES!$Q$37="X",ISSUES!A37,"")</f>
        <v/>
      </c>
      <c r="C136">
        <f>IF(ISSUES!$Q$37="X",ISSUES!O37,"")</f>
        <v/>
      </c>
      <c r="D136">
        <f>IF(ISSUES!$Q$37="X",ISSUES!P37,"")</f>
        <v/>
      </c>
      <c r="E136">
        <f>IF(ISSUES!$Q$37="X",ISSUES!C37,"")</f>
        <v/>
      </c>
      <c r="F136">
        <f>IF(ISSUES!$Q$37="X",ISSUES!F37,"")</f>
        <v/>
      </c>
      <c r="G136">
        <f>IF(ISSUES!$Q$37="X",ISSUES!H37,"")</f>
        <v/>
      </c>
      <c r="H136">
        <f>IF(ISSUES!$Q$37="X","X","")</f>
        <v/>
      </c>
    </row>
    <row r="137" ht="15" customHeight="1" s="130">
      <c r="A137">
        <f>IF(ISSUES!$Q$38="X","ISSUES","")</f>
        <v/>
      </c>
      <c r="B137">
        <f>IF(ISSUES!$Q$38="X",ISSUES!A38,"")</f>
        <v/>
      </c>
      <c r="C137">
        <f>IF(ISSUES!$Q$38="X",ISSUES!O38,"")</f>
        <v/>
      </c>
      <c r="D137">
        <f>IF(ISSUES!$Q$38="X",ISSUES!P38,"")</f>
        <v/>
      </c>
      <c r="E137">
        <f>IF(ISSUES!$Q$38="X",ISSUES!C38,"")</f>
        <v/>
      </c>
      <c r="F137">
        <f>IF(ISSUES!$Q$38="X",ISSUES!F38,"")</f>
        <v/>
      </c>
      <c r="G137">
        <f>IF(ISSUES!$Q$38="X",ISSUES!H38,"")</f>
        <v/>
      </c>
      <c r="H137">
        <f>IF(ISSUES!$Q$38="X","X","")</f>
        <v/>
      </c>
    </row>
    <row r="138" ht="15" customHeight="1" s="130">
      <c r="A138">
        <f>IF(ISSUES!$Q$39="X","ISSUES","")</f>
        <v/>
      </c>
      <c r="B138">
        <f>IF(ISSUES!$Q$39="X",ISSUES!A39,"")</f>
        <v/>
      </c>
      <c r="C138">
        <f>IF(ISSUES!$Q$39="X",ISSUES!O39,"")</f>
        <v/>
      </c>
      <c r="D138">
        <f>IF(ISSUES!$Q$39="X",ISSUES!P39,"")</f>
        <v/>
      </c>
      <c r="E138">
        <f>IF(ISSUES!$Q$39="X",ISSUES!C39,"")</f>
        <v/>
      </c>
      <c r="F138">
        <f>IF(ISSUES!$Q$39="X",ISSUES!F39,"")</f>
        <v/>
      </c>
      <c r="G138">
        <f>IF(ISSUES!$Q$39="X",ISSUES!H39,"")</f>
        <v/>
      </c>
      <c r="H138">
        <f>IF(ISSUES!$Q$39="X","X","")</f>
        <v/>
      </c>
    </row>
    <row r="139" ht="15" customHeight="1" s="130">
      <c r="A139">
        <f>IF(ISSUES!$Q$40="X","ISSUES","")</f>
        <v/>
      </c>
      <c r="B139">
        <f>IF(ISSUES!$Q$40="X",ISSUES!A40,"")</f>
        <v/>
      </c>
      <c r="C139">
        <f>IF(ISSUES!$Q$40="X",ISSUES!O40,"")</f>
        <v/>
      </c>
      <c r="D139">
        <f>IF(ISSUES!$Q$40="X",ISSUES!P40,"")</f>
        <v/>
      </c>
      <c r="E139">
        <f>IF(ISSUES!$Q$40="X",ISSUES!C40,"")</f>
        <v/>
      </c>
      <c r="F139">
        <f>IF(ISSUES!$Q$40="X",ISSUES!F40,"")</f>
        <v/>
      </c>
      <c r="G139">
        <f>IF(ISSUES!$Q$40="X",ISSUES!H40,"")</f>
        <v/>
      </c>
      <c r="H139">
        <f>IF(ISSUES!$Q$40="X","X","")</f>
        <v/>
      </c>
    </row>
    <row r="140" ht="15" customHeight="1" s="130">
      <c r="A140">
        <f>IF(ISSUES!$Q$41="X","ISSUES","")</f>
        <v/>
      </c>
      <c r="B140">
        <f>IF(ISSUES!$Q$41="X",ISSUES!A41,"")</f>
        <v/>
      </c>
      <c r="C140">
        <f>IF(ISSUES!$Q$41="X",ISSUES!O41,"")</f>
        <v/>
      </c>
      <c r="D140">
        <f>IF(ISSUES!$Q$41="X",ISSUES!P41,"")</f>
        <v/>
      </c>
      <c r="E140">
        <f>IF(ISSUES!$Q$41="X",ISSUES!C41,"")</f>
        <v/>
      </c>
      <c r="F140">
        <f>IF(ISSUES!$Q$41="X",ISSUES!F41,"")</f>
        <v/>
      </c>
      <c r="G140">
        <f>IF(ISSUES!$Q$41="X",ISSUES!H41,"")</f>
        <v/>
      </c>
      <c r="H140">
        <f>IF(ISSUES!$Q$41="X","X","")</f>
        <v/>
      </c>
    </row>
    <row r="141" ht="15" customHeight="1" s="130">
      <c r="A141">
        <f>IF(ISSUES!$Q$42="X","ISSUES","")</f>
        <v/>
      </c>
      <c r="B141">
        <f>IF(ISSUES!$Q$42="X",ISSUES!A42,"")</f>
        <v/>
      </c>
      <c r="C141">
        <f>IF(ISSUES!$Q$42="X",ISSUES!O42,"")</f>
        <v/>
      </c>
      <c r="D141">
        <f>IF(ISSUES!$Q$42="X",ISSUES!P42,"")</f>
        <v/>
      </c>
      <c r="E141">
        <f>IF(ISSUES!$Q$42="X",ISSUES!C42,"")</f>
        <v/>
      </c>
      <c r="F141">
        <f>IF(ISSUES!$Q$42="X",ISSUES!F42,"")</f>
        <v/>
      </c>
      <c r="G141">
        <f>IF(ISSUES!$Q$42="X",ISSUES!H42,"")</f>
        <v/>
      </c>
      <c r="H141">
        <f>IF(ISSUES!$Q$42="X","X","")</f>
        <v/>
      </c>
    </row>
    <row r="142" ht="15" customHeight="1" s="130">
      <c r="A142">
        <f>IF(ISSUES!$Q$43="X","ISSUES","")</f>
        <v/>
      </c>
      <c r="B142">
        <f>IF(ISSUES!$Q$43="X",ISSUES!A43,"")</f>
        <v/>
      </c>
      <c r="C142">
        <f>IF(ISSUES!$Q$43="X",ISSUES!O43,"")</f>
        <v/>
      </c>
      <c r="D142">
        <f>IF(ISSUES!$Q$43="X",ISSUES!P43,"")</f>
        <v/>
      </c>
      <c r="E142">
        <f>IF(ISSUES!$Q$43="X",ISSUES!C43,"")</f>
        <v/>
      </c>
      <c r="F142">
        <f>IF(ISSUES!$Q$43="X",ISSUES!F43,"")</f>
        <v/>
      </c>
      <c r="G142">
        <f>IF(ISSUES!$Q$43="X",ISSUES!H43,"")</f>
        <v/>
      </c>
      <c r="H142">
        <f>IF(ISSUES!$Q$43="X","X","")</f>
        <v/>
      </c>
    </row>
    <row r="143" ht="15" customHeight="1" s="130">
      <c r="A143">
        <f>IF(ISSUES!$Q$44="X","ISSUES","")</f>
        <v/>
      </c>
      <c r="B143">
        <f>IF(ISSUES!$Q$44="X",ISSUES!A44,"")</f>
        <v/>
      </c>
      <c r="C143">
        <f>IF(ISSUES!$Q$44="X",ISSUES!O44,"")</f>
        <v/>
      </c>
      <c r="D143">
        <f>IF(ISSUES!$Q$44="X",ISSUES!P44,"")</f>
        <v/>
      </c>
      <c r="E143">
        <f>IF(ISSUES!$Q$44="X",ISSUES!C44,"")</f>
        <v/>
      </c>
      <c r="F143">
        <f>IF(ISSUES!$Q$44="X",ISSUES!F44,"")</f>
        <v/>
      </c>
      <c r="G143">
        <f>IF(ISSUES!$Q$44="X",ISSUES!H44,"")</f>
        <v/>
      </c>
      <c r="H143">
        <f>IF(ISSUES!$Q$44="X","X","")</f>
        <v/>
      </c>
    </row>
    <row r="144" ht="15" customHeight="1" s="130">
      <c r="A144">
        <f>IF(ISSUES!$Q$45="X","ISSUES","")</f>
        <v/>
      </c>
      <c r="B144">
        <f>IF(ISSUES!$Q$45="X",ISSUES!A45,"")</f>
        <v/>
      </c>
      <c r="C144">
        <f>IF(ISSUES!$Q$45="X",ISSUES!O45,"")</f>
        <v/>
      </c>
      <c r="D144">
        <f>IF(ISSUES!$Q$45="X",ISSUES!P45,"")</f>
        <v/>
      </c>
      <c r="E144">
        <f>IF(ISSUES!$Q$45="X",ISSUES!C45,"")</f>
        <v/>
      </c>
      <c r="F144">
        <f>IF(ISSUES!$Q$45="X",ISSUES!F45,"")</f>
        <v/>
      </c>
      <c r="G144">
        <f>IF(ISSUES!$Q$45="X",ISSUES!H45,"")</f>
        <v/>
      </c>
      <c r="H144">
        <f>IF(ISSUES!$Q$45="X","X","")</f>
        <v/>
      </c>
    </row>
    <row r="145" ht="15" customHeight="1" s="130">
      <c r="A145">
        <f>IF(ISSUES!$Q$46="X","ISSUES","")</f>
        <v/>
      </c>
      <c r="B145">
        <f>IF(ISSUES!$Q$46="X",ISSUES!A46,"")</f>
        <v/>
      </c>
      <c r="C145">
        <f>IF(ISSUES!$Q$46="X",ISSUES!O46,"")</f>
        <v/>
      </c>
      <c r="D145">
        <f>IF(ISSUES!$Q$46="X",ISSUES!P46,"")</f>
        <v/>
      </c>
      <c r="E145">
        <f>IF(ISSUES!$Q$46="X",ISSUES!C46,"")</f>
        <v/>
      </c>
      <c r="F145">
        <f>IF(ISSUES!$Q$46="X",ISSUES!F46,"")</f>
        <v/>
      </c>
      <c r="G145">
        <f>IF(ISSUES!$Q$46="X",ISSUES!H46,"")</f>
        <v/>
      </c>
      <c r="H145">
        <f>IF(ISSUES!$Q$46="X","X","")</f>
        <v/>
      </c>
    </row>
    <row r="146" ht="15" customHeight="1" s="130">
      <c r="A146">
        <f>IF(ISSUES!$Q$47="X","ISSUES","")</f>
        <v/>
      </c>
      <c r="B146">
        <f>IF(ISSUES!$Q$47="X",ISSUES!A47,"")</f>
        <v/>
      </c>
      <c r="C146">
        <f>IF(ISSUES!$Q$47="X",ISSUES!O47,"")</f>
        <v/>
      </c>
      <c r="D146">
        <f>IF(ISSUES!$Q$47="X",ISSUES!P47,"")</f>
        <v/>
      </c>
      <c r="E146">
        <f>IF(ISSUES!$Q$47="X",ISSUES!C47,"")</f>
        <v/>
      </c>
      <c r="F146">
        <f>IF(ISSUES!$Q$47="X",ISSUES!F47,"")</f>
        <v/>
      </c>
      <c r="G146">
        <f>IF(ISSUES!$Q$47="X",ISSUES!H47,"")</f>
        <v/>
      </c>
      <c r="H146">
        <f>IF(ISSUES!$Q$47="X","X","")</f>
        <v/>
      </c>
    </row>
    <row r="147" ht="15" customHeight="1" s="130">
      <c r="A147">
        <f>IF(ISSUES!$Q$48="X","ISSUES","")</f>
        <v/>
      </c>
      <c r="B147">
        <f>IF(ISSUES!$Q$48="X",ISSUES!A48,"")</f>
        <v/>
      </c>
      <c r="C147">
        <f>IF(ISSUES!$Q$48="X",ISSUES!O48,"")</f>
        <v/>
      </c>
      <c r="D147">
        <f>IF(ISSUES!$Q$48="X",ISSUES!P48,"")</f>
        <v/>
      </c>
      <c r="E147">
        <f>IF(ISSUES!$Q$48="X",ISSUES!C48,"")</f>
        <v/>
      </c>
      <c r="F147">
        <f>IF(ISSUES!$Q$48="X",ISSUES!F48,"")</f>
        <v/>
      </c>
      <c r="G147">
        <f>IF(ISSUES!$Q$48="X",ISSUES!H48,"")</f>
        <v/>
      </c>
      <c r="H147">
        <f>IF(ISSUES!$Q$48="X","X","")</f>
        <v/>
      </c>
    </row>
    <row r="148" ht="15" customHeight="1" s="130">
      <c r="A148">
        <f>IF(ISSUES!$Q$49="X","ISSUES","")</f>
        <v/>
      </c>
      <c r="B148">
        <f>IF(ISSUES!$Q$49="X",ISSUES!A49,"")</f>
        <v/>
      </c>
      <c r="C148">
        <f>IF(ISSUES!$Q$49="X",ISSUES!O49,"")</f>
        <v/>
      </c>
      <c r="D148">
        <f>IF(ISSUES!$Q$49="X",ISSUES!P49,"")</f>
        <v/>
      </c>
      <c r="E148">
        <f>IF(ISSUES!$Q$49="X",ISSUES!C49,"")</f>
        <v/>
      </c>
      <c r="F148">
        <f>IF(ISSUES!$Q$49="X",ISSUES!F49,"")</f>
        <v/>
      </c>
      <c r="G148">
        <f>IF(ISSUES!$Q$49="X",ISSUES!H49,"")</f>
        <v/>
      </c>
      <c r="H148">
        <f>IF(ISSUES!$Q$49="X","X","")</f>
        <v/>
      </c>
    </row>
    <row r="149" ht="15" customHeight="1" s="130">
      <c r="A149">
        <f>IF(ISSUES!$Q$50="X","ISSUES","")</f>
        <v/>
      </c>
      <c r="B149">
        <f>IF(ISSUES!$Q$50="X",ISSUES!A50,"")</f>
        <v/>
      </c>
      <c r="C149">
        <f>IF(ISSUES!$Q$50="X",ISSUES!O50,"")</f>
        <v/>
      </c>
      <c r="D149">
        <f>IF(ISSUES!$Q$50="X",ISSUES!P50,"")</f>
        <v/>
      </c>
      <c r="E149">
        <f>IF(ISSUES!$Q$50="X",ISSUES!C50,"")</f>
        <v/>
      </c>
      <c r="F149">
        <f>IF(ISSUES!$Q$50="X",ISSUES!F50,"")</f>
        <v/>
      </c>
      <c r="G149">
        <f>IF(ISSUES!$Q$50="X",ISSUES!H50,"")</f>
        <v/>
      </c>
      <c r="H149">
        <f>IF(ISSUES!$Q$50="X","X","")</f>
        <v/>
      </c>
    </row>
    <row r="150" ht="15" customHeight="1" s="130">
      <c r="A150">
        <f>IF(ISSUES!$Q$51="X","ISSUES","")</f>
        <v/>
      </c>
      <c r="B150">
        <f>IF(ISSUES!$Q$51="X",ISSUES!A51,"")</f>
        <v/>
      </c>
      <c r="C150">
        <f>IF(ISSUES!$Q$51="X",ISSUES!O51,"")</f>
        <v/>
      </c>
      <c r="D150">
        <f>IF(ISSUES!$Q$51="X",ISSUES!P51,"")</f>
        <v/>
      </c>
      <c r="E150">
        <f>IF(ISSUES!$Q$51="X",ISSUES!C51,"")</f>
        <v/>
      </c>
      <c r="F150">
        <f>IF(ISSUES!$Q$51="X",ISSUES!F51,"")</f>
        <v/>
      </c>
      <c r="G150">
        <f>IF(ISSUES!$Q$51="X",ISSUES!H51,"")</f>
        <v/>
      </c>
      <c r="H150">
        <f>IF(ISSUES!$Q$51="X","X","")</f>
        <v/>
      </c>
    </row>
    <row r="151" ht="15" customHeight="1" s="130">
      <c r="A151">
        <f>IF(ISSUES!$Q$52="X","ISSUES","")</f>
        <v/>
      </c>
      <c r="B151">
        <f>IF(ISSUES!$Q$52="X",ISSUES!A52,"")</f>
        <v/>
      </c>
      <c r="C151">
        <f>IF(ISSUES!$Q$52="X",ISSUES!O52,"")</f>
        <v/>
      </c>
      <c r="D151">
        <f>IF(ISSUES!$Q$52="X",ISSUES!P52,"")</f>
        <v/>
      </c>
      <c r="E151">
        <f>IF(ISSUES!$Q$52="X",ISSUES!C52,"")</f>
        <v/>
      </c>
      <c r="F151">
        <f>IF(ISSUES!$Q$52="X",ISSUES!F52,"")</f>
        <v/>
      </c>
      <c r="G151">
        <f>IF(ISSUES!$Q$52="X",ISSUES!H52,"")</f>
        <v/>
      </c>
      <c r="H151">
        <f>IF(ISSUES!$Q$52="X","X","")</f>
        <v/>
      </c>
    </row>
    <row r="152" ht="15" customHeight="1" s="130">
      <c r="A152">
        <f>IF(ISSUES!$Q$53="X","ISSUES","")</f>
        <v/>
      </c>
      <c r="B152">
        <f>IF(ISSUES!$Q$53="X",ISSUES!A53,"")</f>
        <v/>
      </c>
      <c r="C152">
        <f>IF(ISSUES!$Q$53="X",ISSUES!O53,"")</f>
        <v/>
      </c>
      <c r="D152">
        <f>IF(ISSUES!$Q$53="X",ISSUES!P53,"")</f>
        <v/>
      </c>
      <c r="E152">
        <f>IF(ISSUES!$Q$53="X",ISSUES!C53,"")</f>
        <v/>
      </c>
      <c r="F152">
        <f>IF(ISSUES!$Q$53="X",ISSUES!F53,"")</f>
        <v/>
      </c>
      <c r="G152">
        <f>IF(ISSUES!$Q$53="X",ISSUES!H53,"")</f>
        <v/>
      </c>
      <c r="H152">
        <f>IF(ISSUES!$Q$53="X","X","")</f>
        <v/>
      </c>
    </row>
    <row r="153" ht="15" customHeight="1" s="130">
      <c r="A153">
        <f>IF(ISSUES!$Q$54="X","ISSUES","")</f>
        <v/>
      </c>
      <c r="B153">
        <f>IF(ISSUES!$Q$54="X",ISSUES!A54,"")</f>
        <v/>
      </c>
      <c r="C153">
        <f>IF(ISSUES!$Q$54="X",ISSUES!O54,"")</f>
        <v/>
      </c>
      <c r="D153">
        <f>IF(ISSUES!$Q$54="X",ISSUES!P54,"")</f>
        <v/>
      </c>
      <c r="E153">
        <f>IF(ISSUES!$Q$54="X",ISSUES!C54,"")</f>
        <v/>
      </c>
      <c r="F153">
        <f>IF(ISSUES!$Q$54="X",ISSUES!F54,"")</f>
        <v/>
      </c>
      <c r="G153">
        <f>IF(ISSUES!$Q$54="X",ISSUES!H54,"")</f>
        <v/>
      </c>
      <c r="H153">
        <f>IF(ISSUES!$Q$54="X","X","")</f>
        <v/>
      </c>
    </row>
    <row r="154" ht="15" customHeight="1" s="130">
      <c r="A154">
        <f>IF(ISSUES!$Q$55="X","ISSUES","")</f>
        <v/>
      </c>
      <c r="B154">
        <f>IF(ISSUES!$Q$55="X",ISSUES!A55,"")</f>
        <v/>
      </c>
      <c r="C154">
        <f>IF(ISSUES!$Q$55="X",ISSUES!O55,"")</f>
        <v/>
      </c>
      <c r="D154">
        <f>IF(ISSUES!$Q$55="X",ISSUES!P55,"")</f>
        <v/>
      </c>
      <c r="E154">
        <f>IF(ISSUES!$Q$55="X",ISSUES!C55,"")</f>
        <v/>
      </c>
      <c r="F154">
        <f>IF(ISSUES!$Q$55="X",ISSUES!F55,"")</f>
        <v/>
      </c>
      <c r="G154">
        <f>IF(ISSUES!$Q$55="X",ISSUES!H55,"")</f>
        <v/>
      </c>
      <c r="H154">
        <f>IF(ISSUES!$Q$55="X","X","")</f>
        <v/>
      </c>
    </row>
    <row r="155" ht="15" customHeight="1" s="130">
      <c r="A155">
        <f>IF(ISSUES!$Q$56="X","ISSUES","")</f>
        <v/>
      </c>
      <c r="B155">
        <f>IF(ISSUES!$Q$56="X",ISSUES!A56,"")</f>
        <v/>
      </c>
      <c r="C155">
        <f>IF(ISSUES!$Q$56="X",ISSUES!O56,"")</f>
        <v/>
      </c>
      <c r="D155">
        <f>IF(ISSUES!$Q$56="X",ISSUES!P56,"")</f>
        <v/>
      </c>
      <c r="E155">
        <f>IF(ISSUES!$Q$56="X",ISSUES!C56,"")</f>
        <v/>
      </c>
      <c r="F155">
        <f>IF(ISSUES!$Q$56="X",ISSUES!F56,"")</f>
        <v/>
      </c>
      <c r="G155">
        <f>IF(ISSUES!$Q$56="X",ISSUES!H56,"")</f>
        <v/>
      </c>
      <c r="H155">
        <f>IF(ISSUES!$Q$56="X","X","")</f>
        <v/>
      </c>
    </row>
    <row r="156" ht="15" customHeight="1" s="130">
      <c r="A156">
        <f>IF(ISSUES!$Q$57="X","ISSUES","")</f>
        <v/>
      </c>
      <c r="B156">
        <f>IF(ISSUES!$Q$57="X",ISSUES!A57,"")</f>
        <v/>
      </c>
      <c r="C156">
        <f>IF(ISSUES!$Q$57="X",ISSUES!O57,"")</f>
        <v/>
      </c>
      <c r="D156">
        <f>IF(ISSUES!$Q$57="X",ISSUES!P57,"")</f>
        <v/>
      </c>
      <c r="E156">
        <f>IF(ISSUES!$Q$57="X",ISSUES!C57,"")</f>
        <v/>
      </c>
      <c r="F156">
        <f>IF(ISSUES!$Q$57="X",ISSUES!F57,"")</f>
        <v/>
      </c>
      <c r="G156">
        <f>IF(ISSUES!$Q$57="X",ISSUES!H57,"")</f>
        <v/>
      </c>
      <c r="H156">
        <f>IF(ISSUES!$Q$57="X","X","")</f>
        <v/>
      </c>
    </row>
    <row r="157" ht="15" customHeight="1" s="130">
      <c r="A157">
        <f>IF(ISSUES!$Q$58="X","ISSUES","")</f>
        <v/>
      </c>
      <c r="B157">
        <f>IF(ISSUES!$Q$58="X",ISSUES!A58,"")</f>
        <v/>
      </c>
      <c r="C157">
        <f>IF(ISSUES!$Q$58="X",ISSUES!O58,"")</f>
        <v/>
      </c>
      <c r="D157">
        <f>IF(ISSUES!$Q$58="X",ISSUES!P58,"")</f>
        <v/>
      </c>
      <c r="E157">
        <f>IF(ISSUES!$Q$58="X",ISSUES!C58,"")</f>
        <v/>
      </c>
      <c r="F157">
        <f>IF(ISSUES!$Q$58="X",ISSUES!F58,"")</f>
        <v/>
      </c>
      <c r="G157">
        <f>IF(ISSUES!$Q$58="X",ISSUES!H58,"")</f>
        <v/>
      </c>
      <c r="H157">
        <f>IF(ISSUES!$Q$58="X","X","")</f>
        <v/>
      </c>
    </row>
    <row r="158" ht="15" customHeight="1" s="130">
      <c r="A158">
        <f>IF(ISSUES!$Q$59="X","ISSUES","")</f>
        <v/>
      </c>
      <c r="B158">
        <f>IF(ISSUES!$Q$59="X",ISSUES!A59,"")</f>
        <v/>
      </c>
      <c r="C158">
        <f>IF(ISSUES!$Q$59="X",ISSUES!O59,"")</f>
        <v/>
      </c>
      <c r="D158">
        <f>IF(ISSUES!$Q$59="X",ISSUES!P59,"")</f>
        <v/>
      </c>
      <c r="E158">
        <f>IF(ISSUES!$Q$59="X",ISSUES!C59,"")</f>
        <v/>
      </c>
      <c r="F158">
        <f>IF(ISSUES!$Q$59="X",ISSUES!F59,"")</f>
        <v/>
      </c>
      <c r="G158">
        <f>IF(ISSUES!$Q$59="X",ISSUES!H59,"")</f>
        <v/>
      </c>
      <c r="H158">
        <f>IF(ISSUES!$Q$59="X","X","")</f>
        <v/>
      </c>
    </row>
    <row r="159" ht="15" customHeight="1" s="130">
      <c r="A159">
        <f>IF(ISSUES!$Q$60="X","ISSUES","")</f>
        <v/>
      </c>
      <c r="B159">
        <f>IF(ISSUES!$Q$60="X",ISSUES!A60,"")</f>
        <v/>
      </c>
      <c r="C159">
        <f>IF(ISSUES!$Q$60="X",ISSUES!O60,"")</f>
        <v/>
      </c>
      <c r="D159">
        <f>IF(ISSUES!$Q$60="X",ISSUES!P60,"")</f>
        <v/>
      </c>
      <c r="E159">
        <f>IF(ISSUES!$Q$60="X",ISSUES!C60,"")</f>
        <v/>
      </c>
      <c r="F159">
        <f>IF(ISSUES!$Q$60="X",ISSUES!F60,"")</f>
        <v/>
      </c>
      <c r="G159">
        <f>IF(ISSUES!$Q$60="X",ISSUES!H60,"")</f>
        <v/>
      </c>
      <c r="H159">
        <f>IF(ISSUES!$Q$60="X","X","")</f>
        <v/>
      </c>
    </row>
    <row r="160" ht="15" customHeight="1" s="130">
      <c r="A160">
        <f>IF(ISSUES!$Q$61="X","ISSUES","")</f>
        <v/>
      </c>
      <c r="B160">
        <f>IF(ISSUES!$Q$61="X",ISSUES!A61,"")</f>
        <v/>
      </c>
      <c r="C160">
        <f>IF(ISSUES!$Q$61="X",ISSUES!O61,"")</f>
        <v/>
      </c>
      <c r="D160">
        <f>IF(ISSUES!$Q$61="X",ISSUES!P61,"")</f>
        <v/>
      </c>
      <c r="E160">
        <f>IF(ISSUES!$Q$61="X",ISSUES!C61,"")</f>
        <v/>
      </c>
      <c r="F160">
        <f>IF(ISSUES!$Q$61="X",ISSUES!F61,"")</f>
        <v/>
      </c>
      <c r="G160">
        <f>IF(ISSUES!$Q$61="X",ISSUES!H61,"")</f>
        <v/>
      </c>
      <c r="H160">
        <f>IF(ISSUES!$Q$61="X","X","")</f>
        <v/>
      </c>
    </row>
    <row r="161" ht="15" customHeight="1" s="130">
      <c r="A161">
        <f>IF(ISSUES!$Q$62="X","ISSUES","")</f>
        <v/>
      </c>
      <c r="B161">
        <f>IF(ISSUES!$Q$62="X",ISSUES!A62,"")</f>
        <v/>
      </c>
      <c r="C161">
        <f>IF(ISSUES!$Q$62="X",ISSUES!O62,"")</f>
        <v/>
      </c>
      <c r="D161">
        <f>IF(ISSUES!$Q$62="X",ISSUES!P62,"")</f>
        <v/>
      </c>
      <c r="E161">
        <f>IF(ISSUES!$Q$62="X",ISSUES!C62,"")</f>
        <v/>
      </c>
      <c r="F161">
        <f>IF(ISSUES!$Q$62="X",ISSUES!F62,"")</f>
        <v/>
      </c>
      <c r="G161">
        <f>IF(ISSUES!$Q$62="X",ISSUES!H62,"")</f>
        <v/>
      </c>
      <c r="H161">
        <f>IF(ISSUES!$Q$62="X","X","")</f>
        <v/>
      </c>
    </row>
    <row r="162" ht="15" customHeight="1" s="130">
      <c r="A162">
        <f>IF(ISSUES!$Q$63="X","ISSUES","")</f>
        <v/>
      </c>
      <c r="B162">
        <f>IF(ISSUES!$Q$63="X",ISSUES!A63,"")</f>
        <v/>
      </c>
      <c r="C162">
        <f>IF(ISSUES!$Q$63="X",ISSUES!O63,"")</f>
        <v/>
      </c>
      <c r="D162">
        <f>IF(ISSUES!$Q$63="X",ISSUES!P63,"")</f>
        <v/>
      </c>
      <c r="E162">
        <f>IF(ISSUES!$Q$63="X",ISSUES!C63,"")</f>
        <v/>
      </c>
      <c r="F162">
        <f>IF(ISSUES!$Q$63="X",ISSUES!F63,"")</f>
        <v/>
      </c>
      <c r="G162">
        <f>IF(ISSUES!$Q$63="X",ISSUES!H63,"")</f>
        <v/>
      </c>
      <c r="H162">
        <f>IF(ISSUES!$Q$63="X","X","")</f>
        <v/>
      </c>
    </row>
    <row r="163" ht="15" customHeight="1" s="130">
      <c r="A163">
        <f>IF(ISSUES!$Q$64="X","ISSUES","")</f>
        <v/>
      </c>
      <c r="B163">
        <f>IF(ISSUES!$Q$64="X",ISSUES!A64,"")</f>
        <v/>
      </c>
      <c r="C163">
        <f>IF(ISSUES!$Q$64="X",ISSUES!O64,"")</f>
        <v/>
      </c>
      <c r="D163">
        <f>IF(ISSUES!$Q$64="X",ISSUES!P64,"")</f>
        <v/>
      </c>
      <c r="E163">
        <f>IF(ISSUES!$Q$64="X",ISSUES!C64,"")</f>
        <v/>
      </c>
      <c r="F163">
        <f>IF(ISSUES!$Q$64="X",ISSUES!F64,"")</f>
        <v/>
      </c>
      <c r="G163">
        <f>IF(ISSUES!$Q$64="X",ISSUES!H64,"")</f>
        <v/>
      </c>
      <c r="H163">
        <f>IF(ISSUES!$Q$64="X","X","")</f>
        <v/>
      </c>
    </row>
    <row r="164" ht="15" customHeight="1" s="130">
      <c r="A164">
        <f>IF(ISSUES!$Q$65="X","ISSUES","")</f>
        <v/>
      </c>
      <c r="B164">
        <f>IF(ISSUES!$Q$65="X",ISSUES!A65,"")</f>
        <v/>
      </c>
      <c r="C164">
        <f>IF(ISSUES!$Q$65="X",ISSUES!O65,"")</f>
        <v/>
      </c>
      <c r="D164">
        <f>IF(ISSUES!$Q$65="X",ISSUES!P65,"")</f>
        <v/>
      </c>
      <c r="E164">
        <f>IF(ISSUES!$Q$65="X",ISSUES!C65,"")</f>
        <v/>
      </c>
      <c r="F164">
        <f>IF(ISSUES!$Q$65="X",ISSUES!F65,"")</f>
        <v/>
      </c>
      <c r="G164">
        <f>IF(ISSUES!$Q$65="X",ISSUES!H65,"")</f>
        <v/>
      </c>
      <c r="H164">
        <f>IF(ISSUES!$Q$65="X","X","")</f>
        <v/>
      </c>
    </row>
    <row r="165" ht="15" customHeight="1" s="130">
      <c r="A165">
        <f>IF(ISSUES!$Q$66="X","ISSUES","")</f>
        <v/>
      </c>
      <c r="B165">
        <f>IF(ISSUES!$Q$66="X",ISSUES!A66,"")</f>
        <v/>
      </c>
      <c r="C165">
        <f>IF(ISSUES!$Q$66="X",ISSUES!O66,"")</f>
        <v/>
      </c>
      <c r="D165">
        <f>IF(ISSUES!$Q$66="X",ISSUES!P66,"")</f>
        <v/>
      </c>
      <c r="E165">
        <f>IF(ISSUES!$Q$66="X",ISSUES!C66,"")</f>
        <v/>
      </c>
      <c r="F165">
        <f>IF(ISSUES!$Q$66="X",ISSUES!F66,"")</f>
        <v/>
      </c>
      <c r="G165">
        <f>IF(ISSUES!$Q$66="X",ISSUES!H66,"")</f>
        <v/>
      </c>
      <c r="H165">
        <f>IF(ISSUES!$Q$66="X","X","")</f>
        <v/>
      </c>
    </row>
    <row r="166" ht="15" customHeight="1" s="130">
      <c r="A166">
        <f>IF(ISSUES!$Q$67="X","ISSUES","")</f>
        <v/>
      </c>
      <c r="B166">
        <f>IF(ISSUES!$Q$67="X",ISSUES!A67,"")</f>
        <v/>
      </c>
      <c r="C166">
        <f>IF(ISSUES!$Q$67="X",ISSUES!O67,"")</f>
        <v/>
      </c>
      <c r="D166">
        <f>IF(ISSUES!$Q$67="X",ISSUES!P67,"")</f>
        <v/>
      </c>
      <c r="E166">
        <f>IF(ISSUES!$Q$67="X",ISSUES!C67,"")</f>
        <v/>
      </c>
      <c r="F166">
        <f>IF(ISSUES!$Q$67="X",ISSUES!F67,"")</f>
        <v/>
      </c>
      <c r="G166">
        <f>IF(ISSUES!$Q$67="X",ISSUES!H67,"")</f>
        <v/>
      </c>
      <c r="H166">
        <f>IF(ISSUES!$Q$67="X","X","")</f>
        <v/>
      </c>
    </row>
    <row r="167" ht="15" customHeight="1" s="130">
      <c r="A167">
        <f>IF(ISSUES!$Q$68="X","ISSUES","")</f>
        <v/>
      </c>
      <c r="B167">
        <f>IF(ISSUES!$Q$68="X",ISSUES!A68,"")</f>
        <v/>
      </c>
      <c r="C167">
        <f>IF(ISSUES!$Q$68="X",ISSUES!O68,"")</f>
        <v/>
      </c>
      <c r="D167">
        <f>IF(ISSUES!$Q$68="X",ISSUES!P68,"")</f>
        <v/>
      </c>
      <c r="E167">
        <f>IF(ISSUES!$Q$68="X",ISSUES!C68,"")</f>
        <v/>
      </c>
      <c r="F167">
        <f>IF(ISSUES!$Q$68="X",ISSUES!F68,"")</f>
        <v/>
      </c>
      <c r="G167">
        <f>IF(ISSUES!$Q$68="X",ISSUES!H68,"")</f>
        <v/>
      </c>
      <c r="H167">
        <f>IF(ISSUES!$Q$68="X","X","")</f>
        <v/>
      </c>
    </row>
    <row r="168" ht="15" customHeight="1" s="130">
      <c r="A168">
        <f>IF(ISSUES!$Q$69="X","ISSUES","")</f>
        <v/>
      </c>
      <c r="B168">
        <f>IF(ISSUES!$Q$69="X",ISSUES!A69,"")</f>
        <v/>
      </c>
      <c r="C168">
        <f>IF(ISSUES!$Q$69="X",ISSUES!O69,"")</f>
        <v/>
      </c>
      <c r="D168">
        <f>IF(ISSUES!$Q$69="X",ISSUES!P69,"")</f>
        <v/>
      </c>
      <c r="E168">
        <f>IF(ISSUES!$Q$69="X",ISSUES!C69,"")</f>
        <v/>
      </c>
      <c r="F168">
        <f>IF(ISSUES!$Q$69="X",ISSUES!F69,"")</f>
        <v/>
      </c>
      <c r="G168">
        <f>IF(ISSUES!$Q$69="X",ISSUES!H69,"")</f>
        <v/>
      </c>
      <c r="H168">
        <f>IF(ISSUES!$Q$69="X","X","")</f>
        <v/>
      </c>
    </row>
    <row r="169" ht="15" customHeight="1" s="130">
      <c r="A169">
        <f>IF(ISSUES!$Q$70="X","ISSUES","")</f>
        <v/>
      </c>
      <c r="B169">
        <f>IF(ISSUES!$Q$70="X",ISSUES!A70,"")</f>
        <v/>
      </c>
      <c r="C169">
        <f>IF(ISSUES!$Q$70="X",ISSUES!O70,"")</f>
        <v/>
      </c>
      <c r="D169">
        <f>IF(ISSUES!$Q$70="X",ISSUES!P70,"")</f>
        <v/>
      </c>
      <c r="E169">
        <f>IF(ISSUES!$Q$70="X",ISSUES!C70,"")</f>
        <v/>
      </c>
      <c r="F169">
        <f>IF(ISSUES!$Q$70="X",ISSUES!F70,"")</f>
        <v/>
      </c>
      <c r="G169">
        <f>IF(ISSUES!$Q$70="X",ISSUES!H70,"")</f>
        <v/>
      </c>
      <c r="H169">
        <f>IF(ISSUES!$Q$70="X","X","")</f>
        <v/>
      </c>
    </row>
    <row r="170" ht="15" customHeight="1" s="130">
      <c r="A170">
        <f>IF(ISSUES!$Q$71="X","ISSUES","")</f>
        <v/>
      </c>
      <c r="B170">
        <f>IF(ISSUES!$Q$71="X",ISSUES!A71,"")</f>
        <v/>
      </c>
      <c r="C170">
        <f>IF(ISSUES!$Q$71="X",ISSUES!O71,"")</f>
        <v/>
      </c>
      <c r="D170">
        <f>IF(ISSUES!$Q$71="X",ISSUES!P71,"")</f>
        <v/>
      </c>
      <c r="E170">
        <f>IF(ISSUES!$Q$71="X",ISSUES!C71,"")</f>
        <v/>
      </c>
      <c r="F170">
        <f>IF(ISSUES!$Q$71="X",ISSUES!F71,"")</f>
        <v/>
      </c>
      <c r="G170">
        <f>IF(ISSUES!$Q$71="X",ISSUES!H71,"")</f>
        <v/>
      </c>
      <c r="H170">
        <f>IF(ISSUES!$Q$71="X","X","")</f>
        <v/>
      </c>
    </row>
    <row r="171" ht="15" customHeight="1" s="130">
      <c r="A171">
        <f>IF(ISSUES!$Q$72="X","ISSUES","")</f>
        <v/>
      </c>
      <c r="B171">
        <f>IF(ISSUES!$Q$72="X",ISSUES!A72,"")</f>
        <v/>
      </c>
      <c r="C171">
        <f>IF(ISSUES!$Q$72="X",ISSUES!O72,"")</f>
        <v/>
      </c>
      <c r="D171">
        <f>IF(ISSUES!$Q$72="X",ISSUES!P72,"")</f>
        <v/>
      </c>
      <c r="E171">
        <f>IF(ISSUES!$Q$72="X",ISSUES!C72,"")</f>
        <v/>
      </c>
      <c r="F171">
        <f>IF(ISSUES!$Q$72="X",ISSUES!F72,"")</f>
        <v/>
      </c>
      <c r="G171">
        <f>IF(ISSUES!$Q$72="X",ISSUES!H72,"")</f>
        <v/>
      </c>
      <c r="H171">
        <f>IF(ISSUES!$Q$72="X","X","")</f>
        <v/>
      </c>
    </row>
    <row r="172" ht="15" customHeight="1" s="130">
      <c r="A172">
        <f>IF(ISSUES!$Q$73="X","ISSUES","")</f>
        <v/>
      </c>
      <c r="B172">
        <f>IF(ISSUES!$Q$73="X",ISSUES!A73,"")</f>
        <v/>
      </c>
      <c r="C172">
        <f>IF(ISSUES!$Q$73="X",ISSUES!O73,"")</f>
        <v/>
      </c>
      <c r="D172">
        <f>IF(ISSUES!$Q$73="X",ISSUES!P73,"")</f>
        <v/>
      </c>
      <c r="E172">
        <f>IF(ISSUES!$Q$73="X",ISSUES!C73,"")</f>
        <v/>
      </c>
      <c r="F172">
        <f>IF(ISSUES!$Q$73="X",ISSUES!F73,"")</f>
        <v/>
      </c>
      <c r="G172">
        <f>IF(ISSUES!$Q$73="X",ISSUES!H73,"")</f>
        <v/>
      </c>
      <c r="H172">
        <f>IF(ISSUES!$Q$73="X","X","")</f>
        <v/>
      </c>
    </row>
    <row r="173" ht="15" customHeight="1" s="130">
      <c r="A173">
        <f>IF(ISSUES!$Q$74="X","ISSUES","")</f>
        <v/>
      </c>
      <c r="B173">
        <f>IF(ISSUES!$Q$74="X",ISSUES!A74,"")</f>
        <v/>
      </c>
      <c r="C173">
        <f>IF(ISSUES!$Q$74="X",ISSUES!O74,"")</f>
        <v/>
      </c>
      <c r="D173">
        <f>IF(ISSUES!$Q$74="X",ISSUES!P74,"")</f>
        <v/>
      </c>
      <c r="E173">
        <f>IF(ISSUES!$Q$74="X",ISSUES!C74,"")</f>
        <v/>
      </c>
      <c r="F173">
        <f>IF(ISSUES!$Q$74="X",ISSUES!F74,"")</f>
        <v/>
      </c>
      <c r="G173">
        <f>IF(ISSUES!$Q$74="X",ISSUES!H74,"")</f>
        <v/>
      </c>
      <c r="H173">
        <f>IF(ISSUES!$Q$74="X","X","")</f>
        <v/>
      </c>
    </row>
    <row r="174" ht="15" customHeight="1" s="130">
      <c r="A174">
        <f>IF(ISSUES!$Q$75="X","ISSUES","")</f>
        <v/>
      </c>
      <c r="B174">
        <f>IF(ISSUES!$Q$75="X",ISSUES!A75,"")</f>
        <v/>
      </c>
      <c r="C174">
        <f>IF(ISSUES!$Q$75="X",ISSUES!O75,"")</f>
        <v/>
      </c>
      <c r="D174">
        <f>IF(ISSUES!$Q$75="X",ISSUES!P75,"")</f>
        <v/>
      </c>
      <c r="E174">
        <f>IF(ISSUES!$Q$75="X",ISSUES!C75,"")</f>
        <v/>
      </c>
      <c r="F174">
        <f>IF(ISSUES!$Q$75="X",ISSUES!F75,"")</f>
        <v/>
      </c>
      <c r="G174">
        <f>IF(ISSUES!$Q$75="X",ISSUES!H75,"")</f>
        <v/>
      </c>
      <c r="H174">
        <f>IF(ISSUES!$Q$75="X","X","")</f>
        <v/>
      </c>
    </row>
    <row r="175" ht="15" customHeight="1" s="130">
      <c r="A175">
        <f>IF(ISSUES!$Q$76="X","ISSUES","")</f>
        <v/>
      </c>
      <c r="B175">
        <f>IF(ISSUES!$Q$76="X",ISSUES!A76,"")</f>
        <v/>
      </c>
      <c r="C175">
        <f>IF(ISSUES!$Q$76="X",ISSUES!O76,"")</f>
        <v/>
      </c>
      <c r="D175">
        <f>IF(ISSUES!$Q$76="X",ISSUES!P76,"")</f>
        <v/>
      </c>
      <c r="E175">
        <f>IF(ISSUES!$Q$76="X",ISSUES!C76,"")</f>
        <v/>
      </c>
      <c r="F175">
        <f>IF(ISSUES!$Q$76="X",ISSUES!F76,"")</f>
        <v/>
      </c>
      <c r="G175">
        <f>IF(ISSUES!$Q$76="X",ISSUES!H76,"")</f>
        <v/>
      </c>
      <c r="H175">
        <f>IF(ISSUES!$Q$76="X","X","")</f>
        <v/>
      </c>
    </row>
    <row r="176" ht="15" customHeight="1" s="130">
      <c r="A176">
        <f>IF(ISSUES!$Q$77="X","ISSUES","")</f>
        <v/>
      </c>
      <c r="B176">
        <f>IF(ISSUES!$Q$77="X",ISSUES!A77,"")</f>
        <v/>
      </c>
      <c r="C176">
        <f>IF(ISSUES!$Q$77="X",ISSUES!O77,"")</f>
        <v/>
      </c>
      <c r="D176">
        <f>IF(ISSUES!$Q$77="X",ISSUES!P77,"")</f>
        <v/>
      </c>
      <c r="E176">
        <f>IF(ISSUES!$Q$77="X",ISSUES!C77,"")</f>
        <v/>
      </c>
      <c r="F176">
        <f>IF(ISSUES!$Q$77="X",ISSUES!F77,"")</f>
        <v/>
      </c>
      <c r="G176">
        <f>IF(ISSUES!$Q$77="X",ISSUES!H77,"")</f>
        <v/>
      </c>
      <c r="H176">
        <f>IF(ISSUES!$Q$77="X","X","")</f>
        <v/>
      </c>
    </row>
    <row r="177" ht="15" customHeight="1" s="130">
      <c r="A177">
        <f>IF(ISSUES!$Q$78="X","ISSUES","")</f>
        <v/>
      </c>
      <c r="B177">
        <f>IF(ISSUES!$Q$78="X",ISSUES!A78,"")</f>
        <v/>
      </c>
      <c r="C177">
        <f>IF(ISSUES!$Q$78="X",ISSUES!O78,"")</f>
        <v/>
      </c>
      <c r="D177">
        <f>IF(ISSUES!$Q$78="X",ISSUES!P78,"")</f>
        <v/>
      </c>
      <c r="E177">
        <f>IF(ISSUES!$Q$78="X",ISSUES!C78,"")</f>
        <v/>
      </c>
      <c r="F177">
        <f>IF(ISSUES!$Q$78="X",ISSUES!F78,"")</f>
        <v/>
      </c>
      <c r="G177">
        <f>IF(ISSUES!$Q$78="X",ISSUES!H78,"")</f>
        <v/>
      </c>
      <c r="H177">
        <f>IF(ISSUES!$Q$78="X","X","")</f>
        <v/>
      </c>
    </row>
    <row r="178" ht="15" customHeight="1" s="130">
      <c r="A178">
        <f>IF(ISSUES!$Q$79="X","ISSUES","")</f>
        <v/>
      </c>
      <c r="B178">
        <f>IF(ISSUES!$Q$79="X",ISSUES!A79,"")</f>
        <v/>
      </c>
      <c r="C178">
        <f>IF(ISSUES!$Q$79="X",ISSUES!O79,"")</f>
        <v/>
      </c>
      <c r="D178">
        <f>IF(ISSUES!$Q$79="X",ISSUES!P79,"")</f>
        <v/>
      </c>
      <c r="E178">
        <f>IF(ISSUES!$Q$79="X",ISSUES!C79,"")</f>
        <v/>
      </c>
      <c r="F178">
        <f>IF(ISSUES!$Q$79="X",ISSUES!F79,"")</f>
        <v/>
      </c>
      <c r="G178">
        <f>IF(ISSUES!$Q$79="X",ISSUES!H79,"")</f>
        <v/>
      </c>
      <c r="H178">
        <f>IF(ISSUES!$Q$79="X","X","")</f>
        <v/>
      </c>
    </row>
    <row r="179" ht="15" customHeight="1" s="130">
      <c r="A179">
        <f>IF(ISSUES!$Q$80="X","ISSUES","")</f>
        <v/>
      </c>
      <c r="B179">
        <f>IF(ISSUES!$Q$80="X",ISSUES!A80,"")</f>
        <v/>
      </c>
      <c r="C179">
        <f>IF(ISSUES!$Q$80="X",ISSUES!O80,"")</f>
        <v/>
      </c>
      <c r="D179">
        <f>IF(ISSUES!$Q$80="X",ISSUES!P80,"")</f>
        <v/>
      </c>
      <c r="E179">
        <f>IF(ISSUES!$Q$80="X",ISSUES!C80,"")</f>
        <v/>
      </c>
      <c r="F179">
        <f>IF(ISSUES!$Q$80="X",ISSUES!F80,"")</f>
        <v/>
      </c>
      <c r="G179">
        <f>IF(ISSUES!$Q$80="X",ISSUES!H80,"")</f>
        <v/>
      </c>
      <c r="H179">
        <f>IF(ISSUES!$Q$80="X","X","")</f>
        <v/>
      </c>
    </row>
    <row r="180" ht="15" customHeight="1" s="130">
      <c r="A180">
        <f>IF(ISSUES!$Q$81="X","ISSUES","")</f>
        <v/>
      </c>
      <c r="B180">
        <f>IF(ISSUES!$Q$81="X",ISSUES!A81,"")</f>
        <v/>
      </c>
      <c r="C180">
        <f>IF(ISSUES!$Q$81="X",ISSUES!O81,"")</f>
        <v/>
      </c>
      <c r="D180">
        <f>IF(ISSUES!$Q$81="X",ISSUES!P81,"")</f>
        <v/>
      </c>
      <c r="E180">
        <f>IF(ISSUES!$Q$81="X",ISSUES!C81,"")</f>
        <v/>
      </c>
      <c r="F180">
        <f>IF(ISSUES!$Q$81="X",ISSUES!F81,"")</f>
        <v/>
      </c>
      <c r="G180">
        <f>IF(ISSUES!$Q$81="X",ISSUES!H81,"")</f>
        <v/>
      </c>
      <c r="H180">
        <f>IF(ISSUES!$Q$81="X","X","")</f>
        <v/>
      </c>
    </row>
    <row r="181" ht="15" customHeight="1" s="130">
      <c r="A181">
        <f>IF(ISSUES!$Q$82="X","ISSUES","")</f>
        <v/>
      </c>
      <c r="B181">
        <f>IF(ISSUES!$Q$82="X",ISSUES!A82,"")</f>
        <v/>
      </c>
      <c r="C181">
        <f>IF(ISSUES!$Q$82="X",ISSUES!O82,"")</f>
        <v/>
      </c>
      <c r="D181">
        <f>IF(ISSUES!$Q$82="X",ISSUES!P82,"")</f>
        <v/>
      </c>
      <c r="E181">
        <f>IF(ISSUES!$Q$82="X",ISSUES!C82,"")</f>
        <v/>
      </c>
      <c r="F181">
        <f>IF(ISSUES!$Q$82="X",ISSUES!F82,"")</f>
        <v/>
      </c>
      <c r="G181">
        <f>IF(ISSUES!$Q$82="X",ISSUES!H82,"")</f>
        <v/>
      </c>
      <c r="H181">
        <f>IF(ISSUES!$Q$82="X","X","")</f>
        <v/>
      </c>
    </row>
    <row r="182" ht="15" customHeight="1" s="130">
      <c r="A182">
        <f>IF(ISSUES!$Q$83="X","ISSUES","")</f>
        <v/>
      </c>
      <c r="B182">
        <f>IF(ISSUES!$Q$83="X",ISSUES!A83,"")</f>
        <v/>
      </c>
      <c r="C182">
        <f>IF(ISSUES!$Q$83="X",ISSUES!O83,"")</f>
        <v/>
      </c>
      <c r="D182">
        <f>IF(ISSUES!$Q$83="X",ISSUES!P83,"")</f>
        <v/>
      </c>
      <c r="E182">
        <f>IF(ISSUES!$Q$83="X",ISSUES!C83,"")</f>
        <v/>
      </c>
      <c r="F182">
        <f>IF(ISSUES!$Q$83="X",ISSUES!F83,"")</f>
        <v/>
      </c>
      <c r="G182">
        <f>IF(ISSUES!$Q$83="X",ISSUES!H83,"")</f>
        <v/>
      </c>
      <c r="H182">
        <f>IF(ISSUES!$Q$83="X","X","")</f>
        <v/>
      </c>
    </row>
    <row r="183" ht="15" customHeight="1" s="130">
      <c r="A183">
        <f>IF(ISSUES!$Q$84="X","ISSUES","")</f>
        <v/>
      </c>
      <c r="B183">
        <f>IF(ISSUES!$Q$84="X",ISSUES!A84,"")</f>
        <v/>
      </c>
      <c r="C183">
        <f>IF(ISSUES!$Q$84="X",ISSUES!O84,"")</f>
        <v/>
      </c>
      <c r="D183">
        <f>IF(ISSUES!$Q$84="X",ISSUES!P84,"")</f>
        <v/>
      </c>
      <c r="E183">
        <f>IF(ISSUES!$Q$84="X",ISSUES!C84,"")</f>
        <v/>
      </c>
      <c r="F183">
        <f>IF(ISSUES!$Q$84="X",ISSUES!F84,"")</f>
        <v/>
      </c>
      <c r="G183">
        <f>IF(ISSUES!$Q$84="X",ISSUES!H84,"")</f>
        <v/>
      </c>
      <c r="H183">
        <f>IF(ISSUES!$Q$84="X","X","")</f>
        <v/>
      </c>
    </row>
    <row r="184" ht="15" customHeight="1" s="130">
      <c r="A184">
        <f>IF(ISSUES!$Q$85="X","ISSUES","")</f>
        <v/>
      </c>
      <c r="B184">
        <f>IF(ISSUES!$Q$85="X",ISSUES!A85,"")</f>
        <v/>
      </c>
      <c r="C184">
        <f>IF(ISSUES!$Q$85="X",ISSUES!O85,"")</f>
        <v/>
      </c>
      <c r="D184">
        <f>IF(ISSUES!$Q$85="X",ISSUES!P85,"")</f>
        <v/>
      </c>
      <c r="E184">
        <f>IF(ISSUES!$Q$85="X",ISSUES!C85,"")</f>
        <v/>
      </c>
      <c r="F184">
        <f>IF(ISSUES!$Q$85="X",ISSUES!F85,"")</f>
        <v/>
      </c>
      <c r="G184">
        <f>IF(ISSUES!$Q$85="X",ISSUES!H85,"")</f>
        <v/>
      </c>
      <c r="H184">
        <f>IF(ISSUES!$Q$85="X","X","")</f>
        <v/>
      </c>
    </row>
    <row r="185" ht="15" customHeight="1" s="130">
      <c r="A185">
        <f>IF(ISSUES!$Q$86="X","ISSUES","")</f>
        <v/>
      </c>
      <c r="B185">
        <f>IF(ISSUES!$Q$86="X",ISSUES!A86,"")</f>
        <v/>
      </c>
      <c r="C185">
        <f>IF(ISSUES!$Q$86="X",ISSUES!O86,"")</f>
        <v/>
      </c>
      <c r="D185">
        <f>IF(ISSUES!$Q$86="X",ISSUES!P86,"")</f>
        <v/>
      </c>
      <c r="E185">
        <f>IF(ISSUES!$Q$86="X",ISSUES!C86,"")</f>
        <v/>
      </c>
      <c r="F185">
        <f>IF(ISSUES!$Q$86="X",ISSUES!F86,"")</f>
        <v/>
      </c>
      <c r="G185">
        <f>IF(ISSUES!$Q$86="X",ISSUES!H86,"")</f>
        <v/>
      </c>
      <c r="H185">
        <f>IF(ISSUES!$Q$86="X","X","")</f>
        <v/>
      </c>
    </row>
    <row r="186" ht="15" customHeight="1" s="130">
      <c r="A186">
        <f>IF(ISSUES!$Q$87="X","ISSUES","")</f>
        <v/>
      </c>
      <c r="B186">
        <f>IF(ISSUES!$Q$87="X",ISSUES!A87,"")</f>
        <v/>
      </c>
      <c r="C186">
        <f>IF(ISSUES!$Q$87="X",ISSUES!O87,"")</f>
        <v/>
      </c>
      <c r="D186">
        <f>IF(ISSUES!$Q$87="X",ISSUES!P87,"")</f>
        <v/>
      </c>
      <c r="E186">
        <f>IF(ISSUES!$Q$87="X",ISSUES!C87,"")</f>
        <v/>
      </c>
      <c r="F186">
        <f>IF(ISSUES!$Q$87="X",ISSUES!F87,"")</f>
        <v/>
      </c>
      <c r="G186">
        <f>IF(ISSUES!$Q$87="X",ISSUES!H87,"")</f>
        <v/>
      </c>
      <c r="H186">
        <f>IF(ISSUES!$Q$87="X","X","")</f>
        <v/>
      </c>
    </row>
    <row r="187" ht="15" customHeight="1" s="130">
      <c r="A187">
        <f>IF(ISSUES!$Q$88="X","ISSUES","")</f>
        <v/>
      </c>
      <c r="B187">
        <f>IF(ISSUES!$Q$88="X",ISSUES!A88,"")</f>
        <v/>
      </c>
      <c r="C187">
        <f>IF(ISSUES!$Q$88="X",ISSUES!O88,"")</f>
        <v/>
      </c>
      <c r="D187">
        <f>IF(ISSUES!$Q$88="X",ISSUES!P88,"")</f>
        <v/>
      </c>
      <c r="E187">
        <f>IF(ISSUES!$Q$88="X",ISSUES!C88,"")</f>
        <v/>
      </c>
      <c r="F187">
        <f>IF(ISSUES!$Q$88="X",ISSUES!F88,"")</f>
        <v/>
      </c>
      <c r="G187">
        <f>IF(ISSUES!$Q$88="X",ISSUES!H88,"")</f>
        <v/>
      </c>
      <c r="H187">
        <f>IF(ISSUES!$Q$88="X","X","")</f>
        <v/>
      </c>
    </row>
    <row r="188" ht="15" customHeight="1" s="130">
      <c r="A188">
        <f>IF(ISSUES!$Q$89="X","ISSUES","")</f>
        <v/>
      </c>
      <c r="B188">
        <f>IF(ISSUES!$Q$89="X",ISSUES!A89,"")</f>
        <v/>
      </c>
      <c r="C188">
        <f>IF(ISSUES!$Q$89="X",ISSUES!O89,"")</f>
        <v/>
      </c>
      <c r="D188">
        <f>IF(ISSUES!$Q$89="X",ISSUES!P89,"")</f>
        <v/>
      </c>
      <c r="E188">
        <f>IF(ISSUES!$Q$89="X",ISSUES!C89,"")</f>
        <v/>
      </c>
      <c r="F188">
        <f>IF(ISSUES!$Q$89="X",ISSUES!F89,"")</f>
        <v/>
      </c>
      <c r="G188">
        <f>IF(ISSUES!$Q$89="X",ISSUES!H89,"")</f>
        <v/>
      </c>
      <c r="H188">
        <f>IF(ISSUES!$Q$89="X","X","")</f>
        <v/>
      </c>
    </row>
    <row r="189" ht="15" customHeight="1" s="130">
      <c r="A189">
        <f>IF(ISSUES!$Q$90="X","ISSUES","")</f>
        <v/>
      </c>
      <c r="B189">
        <f>IF(ISSUES!$Q$90="X",ISSUES!A90,"")</f>
        <v/>
      </c>
      <c r="C189">
        <f>IF(ISSUES!$Q$90="X",ISSUES!O90,"")</f>
        <v/>
      </c>
      <c r="D189">
        <f>IF(ISSUES!$Q$90="X",ISSUES!P90,"")</f>
        <v/>
      </c>
      <c r="E189">
        <f>IF(ISSUES!$Q$90="X",ISSUES!C90,"")</f>
        <v/>
      </c>
      <c r="F189">
        <f>IF(ISSUES!$Q$90="X",ISSUES!F90,"")</f>
        <v/>
      </c>
      <c r="G189">
        <f>IF(ISSUES!$Q$90="X",ISSUES!H90,"")</f>
        <v/>
      </c>
      <c r="H189">
        <f>IF(ISSUES!$Q$90="X","X","")</f>
        <v/>
      </c>
    </row>
    <row r="190" ht="15" customHeight="1" s="130">
      <c r="A190">
        <f>IF(ISSUES!$Q$91="X","ISSUES","")</f>
        <v/>
      </c>
      <c r="B190">
        <f>IF(ISSUES!$Q$91="X",ISSUES!A91,"")</f>
        <v/>
      </c>
      <c r="C190">
        <f>IF(ISSUES!$Q$91="X",ISSUES!O91,"")</f>
        <v/>
      </c>
      <c r="D190">
        <f>IF(ISSUES!$Q$91="X",ISSUES!P91,"")</f>
        <v/>
      </c>
      <c r="E190">
        <f>IF(ISSUES!$Q$91="X",ISSUES!C91,"")</f>
        <v/>
      </c>
      <c r="F190">
        <f>IF(ISSUES!$Q$91="X",ISSUES!F91,"")</f>
        <v/>
      </c>
      <c r="G190">
        <f>IF(ISSUES!$Q$91="X",ISSUES!H91,"")</f>
        <v/>
      </c>
      <c r="H190">
        <f>IF(ISSUES!$Q$91="X","X","")</f>
        <v/>
      </c>
    </row>
    <row r="191" ht="15" customHeight="1" s="130">
      <c r="A191">
        <f>IF(ISSUES!$Q$92="X","ISSUES","")</f>
        <v/>
      </c>
      <c r="B191">
        <f>IF(ISSUES!$Q$92="X",ISSUES!A92,"")</f>
        <v/>
      </c>
      <c r="C191">
        <f>IF(ISSUES!$Q$92="X",ISSUES!O92,"")</f>
        <v/>
      </c>
      <c r="D191">
        <f>IF(ISSUES!$Q$92="X",ISSUES!P92,"")</f>
        <v/>
      </c>
      <c r="E191">
        <f>IF(ISSUES!$Q$92="X",ISSUES!C92,"")</f>
        <v/>
      </c>
      <c r="F191">
        <f>IF(ISSUES!$Q$92="X",ISSUES!F92,"")</f>
        <v/>
      </c>
      <c r="G191">
        <f>IF(ISSUES!$Q$92="X",ISSUES!H92,"")</f>
        <v/>
      </c>
      <c r="H191">
        <f>IF(ISSUES!$Q$92="X","X","")</f>
        <v/>
      </c>
    </row>
    <row r="192" ht="15" customHeight="1" s="130">
      <c r="A192">
        <f>IF(ISSUES!$Q$93="X","ISSUES","")</f>
        <v/>
      </c>
      <c r="B192">
        <f>IF(ISSUES!$Q$93="X",ISSUES!A93,"")</f>
        <v/>
      </c>
      <c r="C192">
        <f>IF(ISSUES!$Q$93="X",ISSUES!O93,"")</f>
        <v/>
      </c>
      <c r="D192">
        <f>IF(ISSUES!$Q$93="X",ISSUES!P93,"")</f>
        <v/>
      </c>
      <c r="E192">
        <f>IF(ISSUES!$Q$93="X",ISSUES!C93,"")</f>
        <v/>
      </c>
      <c r="F192">
        <f>IF(ISSUES!$Q$93="X",ISSUES!F93,"")</f>
        <v/>
      </c>
      <c r="G192">
        <f>IF(ISSUES!$Q$93="X",ISSUES!H93,"")</f>
        <v/>
      </c>
      <c r="H192">
        <f>IF(ISSUES!$Q$93="X","X","")</f>
        <v/>
      </c>
    </row>
    <row r="193" ht="15" customHeight="1" s="130">
      <c r="A193">
        <f>IF(ISSUES!$Q$94="X","ISSUES","")</f>
        <v/>
      </c>
      <c r="B193">
        <f>IF(ISSUES!$Q$94="X",ISSUES!A94,"")</f>
        <v/>
      </c>
      <c r="C193">
        <f>IF(ISSUES!$Q$94="X",ISSUES!O94,"")</f>
        <v/>
      </c>
      <c r="D193">
        <f>IF(ISSUES!$Q$94="X",ISSUES!P94,"")</f>
        <v/>
      </c>
      <c r="E193">
        <f>IF(ISSUES!$Q$94="X",ISSUES!C94,"")</f>
        <v/>
      </c>
      <c r="F193">
        <f>IF(ISSUES!$Q$94="X",ISSUES!F94,"")</f>
        <v/>
      </c>
      <c r="G193">
        <f>IF(ISSUES!$Q$94="X",ISSUES!H94,"")</f>
        <v/>
      </c>
      <c r="H193">
        <f>IF(ISSUES!$Q$94="X","X","")</f>
        <v/>
      </c>
    </row>
    <row r="194" ht="15" customHeight="1" s="130">
      <c r="A194">
        <f>IF(ISSUES!$Q$95="X","ISSUES","")</f>
        <v/>
      </c>
      <c r="B194">
        <f>IF(ISSUES!$Q$95="X",ISSUES!A95,"")</f>
        <v/>
      </c>
      <c r="C194">
        <f>IF(ISSUES!$Q$95="X",ISSUES!O95,"")</f>
        <v/>
      </c>
      <c r="D194">
        <f>IF(ISSUES!$Q$95="X",ISSUES!P95,"")</f>
        <v/>
      </c>
      <c r="E194">
        <f>IF(ISSUES!$Q$95="X",ISSUES!C95,"")</f>
        <v/>
      </c>
      <c r="F194">
        <f>IF(ISSUES!$Q$95="X",ISSUES!F95,"")</f>
        <v/>
      </c>
      <c r="G194">
        <f>IF(ISSUES!$Q$95="X",ISSUES!H95,"")</f>
        <v/>
      </c>
      <c r="H194">
        <f>IF(ISSUES!$Q$95="X","X","")</f>
        <v/>
      </c>
    </row>
    <row r="195" ht="15" customHeight="1" s="130">
      <c r="A195">
        <f>IF(ISSUES!$Q$96="X","ISSUES","")</f>
        <v/>
      </c>
      <c r="B195">
        <f>IF(ISSUES!$Q$96="X",ISSUES!A96,"")</f>
        <v/>
      </c>
      <c r="C195">
        <f>IF(ISSUES!$Q$96="X",ISSUES!O96,"")</f>
        <v/>
      </c>
      <c r="D195">
        <f>IF(ISSUES!$Q$96="X",ISSUES!P96,"")</f>
        <v/>
      </c>
      <c r="E195">
        <f>IF(ISSUES!$Q$96="X",ISSUES!C96,"")</f>
        <v/>
      </c>
      <c r="F195">
        <f>IF(ISSUES!$Q$96="X",ISSUES!F96,"")</f>
        <v/>
      </c>
      <c r="G195">
        <f>IF(ISSUES!$Q$96="X",ISSUES!H96,"")</f>
        <v/>
      </c>
      <c r="H195">
        <f>IF(ISSUES!$Q$96="X","X","")</f>
        <v/>
      </c>
    </row>
    <row r="196" ht="15" customHeight="1" s="130">
      <c r="A196">
        <f>IF(ISSUES!$Q$97="X","ISSUES","")</f>
        <v/>
      </c>
      <c r="B196">
        <f>IF(ISSUES!$Q$97="X",ISSUES!A97,"")</f>
        <v/>
      </c>
      <c r="C196">
        <f>IF(ISSUES!$Q$97="X",ISSUES!O97,"")</f>
        <v/>
      </c>
      <c r="D196">
        <f>IF(ISSUES!$Q$97="X",ISSUES!P97,"")</f>
        <v/>
      </c>
      <c r="E196">
        <f>IF(ISSUES!$Q$97="X",ISSUES!C97,"")</f>
        <v/>
      </c>
      <c r="F196">
        <f>IF(ISSUES!$Q$97="X",ISSUES!F97,"")</f>
        <v/>
      </c>
      <c r="G196">
        <f>IF(ISSUES!$Q$97="X",ISSUES!H97,"")</f>
        <v/>
      </c>
      <c r="H196">
        <f>IF(ISSUES!$Q$97="X","X","")</f>
        <v/>
      </c>
    </row>
    <row r="197" ht="15" customHeight="1" s="130">
      <c r="A197">
        <f>IF(ISSUES!$Q$98="X","ISSUES","")</f>
        <v/>
      </c>
      <c r="B197">
        <f>IF(ISSUES!$Q$98="X",ISSUES!A98,"")</f>
        <v/>
      </c>
      <c r="C197">
        <f>IF(ISSUES!$Q$98="X",ISSUES!O98,"")</f>
        <v/>
      </c>
      <c r="D197">
        <f>IF(ISSUES!$Q$98="X",ISSUES!P98,"")</f>
        <v/>
      </c>
      <c r="E197">
        <f>IF(ISSUES!$Q$98="X",ISSUES!C98,"")</f>
        <v/>
      </c>
      <c r="F197">
        <f>IF(ISSUES!$Q$98="X",ISSUES!F98,"")</f>
        <v/>
      </c>
      <c r="G197">
        <f>IF(ISSUES!$Q$98="X",ISSUES!H98,"")</f>
        <v/>
      </c>
      <c r="H197">
        <f>IF(ISSUES!$Q$98="X","X","")</f>
        <v/>
      </c>
    </row>
    <row r="198" ht="15" customHeight="1" s="130">
      <c r="A198">
        <f>IF(ISSUES!$Q$99="X","ISSUES","")</f>
        <v/>
      </c>
      <c r="B198">
        <f>IF(ISSUES!$Q$99="X",ISSUES!A99,"")</f>
        <v/>
      </c>
      <c r="C198">
        <f>IF(ISSUES!$Q$99="X",ISSUES!O99,"")</f>
        <v/>
      </c>
      <c r="D198">
        <f>IF(ISSUES!$Q$99="X",ISSUES!P99,"")</f>
        <v/>
      </c>
      <c r="E198">
        <f>IF(ISSUES!$Q$99="X",ISSUES!C99,"")</f>
        <v/>
      </c>
      <c r="F198">
        <f>IF(ISSUES!$Q$99="X",ISSUES!F99,"")</f>
        <v/>
      </c>
      <c r="G198">
        <f>IF(ISSUES!$Q$99="X",ISSUES!H99,"")</f>
        <v/>
      </c>
      <c r="H198">
        <f>IF(ISSUES!$Q$99="X","X","")</f>
        <v/>
      </c>
    </row>
    <row r="199" ht="15" customHeight="1" s="130">
      <c r="A199">
        <f>IF(ISSUES!$Q$100="X","ISSUES","")</f>
        <v/>
      </c>
      <c r="B199">
        <f>IF(ISSUES!$Q$100="X",ISSUES!A100,"")</f>
        <v/>
      </c>
      <c r="C199">
        <f>IF(ISSUES!$Q$100="X",ISSUES!O100,"")</f>
        <v/>
      </c>
      <c r="D199">
        <f>IF(ISSUES!$Q$100="X",ISSUES!P100,"")</f>
        <v/>
      </c>
      <c r="E199">
        <f>IF(ISSUES!$Q$100="X",ISSUES!C100,"")</f>
        <v/>
      </c>
      <c r="F199">
        <f>IF(ISSUES!$Q$100="X",ISSUES!F100,"")</f>
        <v/>
      </c>
      <c r="G199">
        <f>IF(ISSUES!$Q$100="X",ISSUES!H100,"")</f>
        <v/>
      </c>
      <c r="H199">
        <f>IF(ISSUES!$Q$100="X","X","")</f>
        <v/>
      </c>
    </row>
    <row r="200" ht="15" customHeight="1" s="130">
      <c r="A200">
        <f>IF(ISSUES!$Q$101="X","ISSUES","")</f>
        <v/>
      </c>
      <c r="B200">
        <f>IF(ISSUES!$Q$101="X",ISSUES!A101,"")</f>
        <v/>
      </c>
      <c r="C200">
        <f>IF(ISSUES!$Q$101="X",ISSUES!O101,"")</f>
        <v/>
      </c>
      <c r="D200">
        <f>IF(ISSUES!$Q$101="X",ISSUES!P101,"")</f>
        <v/>
      </c>
      <c r="E200">
        <f>IF(ISSUES!$Q$101="X",ISSUES!C101,"")</f>
        <v/>
      </c>
      <c r="F200">
        <f>IF(ISSUES!$Q$101="X",ISSUES!F101,"")</f>
        <v/>
      </c>
      <c r="G200">
        <f>IF(ISSUES!$Q$101="X",ISSUES!H101,"")</f>
        <v/>
      </c>
      <c r="H200">
        <f>IF(ISSUES!$Q$101="X","X","")</f>
        <v/>
      </c>
    </row>
    <row r="201" ht="15" customHeight="1" s="130">
      <c r="A201">
        <f>IF(ISSUES!$Q$102="X","ISSUES","")</f>
        <v/>
      </c>
      <c r="B201">
        <f>IF(ISSUES!$Q$102="X",ISSUES!A102,"")</f>
        <v/>
      </c>
      <c r="C201">
        <f>IF(ISSUES!$Q$102="X",ISSUES!O102,"")</f>
        <v/>
      </c>
      <c r="D201">
        <f>IF(ISSUES!$Q$102="X",ISSUES!P102,"")</f>
        <v/>
      </c>
      <c r="E201">
        <f>IF(ISSUES!$Q$102="X",ISSUES!C102,"")</f>
        <v/>
      </c>
      <c r="F201">
        <f>IF(ISSUES!$Q$102="X",ISSUES!F102,"")</f>
        <v/>
      </c>
      <c r="G201">
        <f>IF(ISSUES!$Q$102="X",ISSUES!H102,"")</f>
        <v/>
      </c>
      <c r="H201">
        <f>IF(ISSUES!$Q$102="X","X","")</f>
        <v/>
      </c>
    </row>
    <row r="202" ht="15" customHeight="1" s="130">
      <c r="A202">
        <f>IF(ISSUES!$Q$103="X","ISSUES","")</f>
        <v/>
      </c>
      <c r="B202">
        <f>IF(ISSUES!$Q$103="X",ISSUES!A103,"")</f>
        <v/>
      </c>
      <c r="C202">
        <f>IF(ISSUES!$Q$103="X",ISSUES!O103,"")</f>
        <v/>
      </c>
      <c r="D202">
        <f>IF(ISSUES!$Q$103="X",ISSUES!P103,"")</f>
        <v/>
      </c>
      <c r="E202">
        <f>IF(ISSUES!$Q$103="X",ISSUES!C103,"")</f>
        <v/>
      </c>
      <c r="F202">
        <f>IF(ISSUES!$Q$103="X",ISSUES!F103,"")</f>
        <v/>
      </c>
      <c r="G202">
        <f>IF(ISSUES!$Q$103="X",ISSUES!H103,"")</f>
        <v/>
      </c>
      <c r="H202">
        <f>IF(ISSUES!$Q$103="X","X","")</f>
        <v/>
      </c>
    </row>
    <row r="203" ht="15" customHeight="1" s="130">
      <c r="A203">
        <f>IF(ISSUES!$Q$104="X","ISSUES","")</f>
        <v/>
      </c>
      <c r="B203">
        <f>IF(ISSUES!$Q$104="X",ISSUES!A104,"")</f>
        <v/>
      </c>
      <c r="C203">
        <f>IF(ISSUES!$Q$104="X",ISSUES!O104,"")</f>
        <v/>
      </c>
      <c r="D203">
        <f>IF(ISSUES!$Q$104="X",ISSUES!P104,"")</f>
        <v/>
      </c>
      <c r="E203">
        <f>IF(ISSUES!$Q$104="X",ISSUES!C104,"")</f>
        <v/>
      </c>
      <c r="F203">
        <f>IF(ISSUES!$Q$104="X",ISSUES!F104,"")</f>
        <v/>
      </c>
      <c r="G203">
        <f>IF(ISSUES!$Q$104="X",ISSUES!H104,"")</f>
        <v/>
      </c>
      <c r="H203">
        <f>IF(ISSUES!$Q$104="X","X","")</f>
        <v/>
      </c>
    </row>
    <row r="204" ht="15" customHeight="1" s="130">
      <c r="A204">
        <f>IF(ISSUES!$Q$105="X","ISSUES","")</f>
        <v/>
      </c>
      <c r="B204">
        <f>IF(ISSUES!$Q$105="X",ISSUES!A105,"")</f>
        <v/>
      </c>
      <c r="C204">
        <f>IF(ISSUES!$Q$105="X",ISSUES!O105,"")</f>
        <v/>
      </c>
      <c r="D204">
        <f>IF(ISSUES!$Q$105="X",ISSUES!P105,"")</f>
        <v/>
      </c>
      <c r="E204">
        <f>IF(ISSUES!$Q$105="X",ISSUES!C105,"")</f>
        <v/>
      </c>
      <c r="F204">
        <f>IF(ISSUES!$Q$105="X",ISSUES!F105,"")</f>
        <v/>
      </c>
      <c r="G204">
        <f>IF(ISSUES!$Q$105="X",ISSUES!H105,"")</f>
        <v/>
      </c>
      <c r="H204">
        <f>IF(ISSUES!$Q$105="X","X","")</f>
        <v/>
      </c>
    </row>
    <row r="205" ht="15" customHeight="1" s="130">
      <c r="A205">
        <f>IF(ISSUES!$Q$106="X","ISSUES","")</f>
        <v/>
      </c>
      <c r="B205">
        <f>IF(ISSUES!$Q$106="X",ISSUES!A106,"")</f>
        <v/>
      </c>
      <c r="C205">
        <f>IF(ISSUES!$Q$106="X",ISSUES!O106,"")</f>
        <v/>
      </c>
      <c r="D205">
        <f>IF(ISSUES!$Q$106="X",ISSUES!P106,"")</f>
        <v/>
      </c>
      <c r="E205">
        <f>IF(ISSUES!$Q$106="X",ISSUES!C106,"")</f>
        <v/>
      </c>
      <c r="F205">
        <f>IF(ISSUES!$Q$106="X",ISSUES!F106,"")</f>
        <v/>
      </c>
      <c r="G205">
        <f>IF(ISSUES!$Q$106="X",ISSUES!H106,"")</f>
        <v/>
      </c>
      <c r="H205">
        <f>IF(ISSUES!$Q$106="X","X","")</f>
        <v/>
      </c>
    </row>
    <row r="206" ht="15" customHeight="1" s="130">
      <c r="A206">
        <f>IF(ISSUES!$Q$107="X","ISSUES","")</f>
        <v/>
      </c>
      <c r="B206">
        <f>IF(ISSUES!$Q$107="X",ISSUES!A107,"")</f>
        <v/>
      </c>
      <c r="C206">
        <f>IF(ISSUES!$Q$107="X",ISSUES!O107,"")</f>
        <v/>
      </c>
      <c r="D206">
        <f>IF(ISSUES!$Q$107="X",ISSUES!P107,"")</f>
        <v/>
      </c>
      <c r="E206">
        <f>IF(ISSUES!$Q$107="X",ISSUES!C107,"")</f>
        <v/>
      </c>
      <c r="F206">
        <f>IF(ISSUES!$Q$107="X",ISSUES!F107,"")</f>
        <v/>
      </c>
      <c r="G206">
        <f>IF(ISSUES!$Q$107="X",ISSUES!H107,"")</f>
        <v/>
      </c>
      <c r="H206">
        <f>IF(ISSUES!$Q$107="X","X","")</f>
        <v/>
      </c>
    </row>
    <row r="207" ht="15" customHeight="1" s="130">
      <c r="A207">
        <f>IF(ISSUES!$Q$108="X","ISSUES","")</f>
        <v/>
      </c>
      <c r="B207">
        <f>IF(ISSUES!$Q$108="X",ISSUES!A108,"")</f>
        <v/>
      </c>
      <c r="C207">
        <f>IF(ISSUES!$Q$108="X",ISSUES!O108,"")</f>
        <v/>
      </c>
      <c r="D207">
        <f>IF(ISSUES!$Q$108="X",ISSUES!P108,"")</f>
        <v/>
      </c>
      <c r="E207">
        <f>IF(ISSUES!$Q$108="X",ISSUES!C108,"")</f>
        <v/>
      </c>
      <c r="F207">
        <f>IF(ISSUES!$Q$108="X",ISSUES!F108,"")</f>
        <v/>
      </c>
      <c r="G207">
        <f>IF(ISSUES!$Q$108="X",ISSUES!H108,"")</f>
        <v/>
      </c>
      <c r="H207">
        <f>IF(ISSUES!$Q$108="X","X","")</f>
        <v/>
      </c>
    </row>
    <row r="208" ht="15" customHeight="1" s="130">
      <c r="A208">
        <f>IF(ISSUES!$Q$109="X","ISSUES","")</f>
        <v/>
      </c>
      <c r="B208">
        <f>IF(ISSUES!$Q$109="X",ISSUES!A109,"")</f>
        <v/>
      </c>
      <c r="C208">
        <f>IF(ISSUES!$Q$109="X",ISSUES!O109,"")</f>
        <v/>
      </c>
      <c r="D208">
        <f>IF(ISSUES!$Q$109="X",ISSUES!P109,"")</f>
        <v/>
      </c>
      <c r="E208">
        <f>IF(ISSUES!$Q$109="X",ISSUES!C109,"")</f>
        <v/>
      </c>
      <c r="F208">
        <f>IF(ISSUES!$Q$109="X",ISSUES!F109,"")</f>
        <v/>
      </c>
      <c r="G208">
        <f>IF(ISSUES!$Q$109="X",ISSUES!H109,"")</f>
        <v/>
      </c>
      <c r="H208">
        <f>IF(ISSUES!$Q$109="X","X","")</f>
        <v/>
      </c>
    </row>
    <row r="209" ht="15" customHeight="1" s="130">
      <c r="A209">
        <f>IF(ISSUES!$Q$110="X","ISSUES","")</f>
        <v/>
      </c>
      <c r="B209">
        <f>IF(ISSUES!$Q$110="X",ISSUES!A110,"")</f>
        <v/>
      </c>
      <c r="C209">
        <f>IF(ISSUES!$Q$110="X",ISSUES!O110,"")</f>
        <v/>
      </c>
      <c r="D209">
        <f>IF(ISSUES!$Q$110="X",ISSUES!P110,"")</f>
        <v/>
      </c>
      <c r="E209">
        <f>IF(ISSUES!$Q$110="X",ISSUES!C110,"")</f>
        <v/>
      </c>
      <c r="F209">
        <f>IF(ISSUES!$Q$110="X",ISSUES!F110,"")</f>
        <v/>
      </c>
      <c r="G209">
        <f>IF(ISSUES!$Q$110="X",ISSUES!H110,"")</f>
        <v/>
      </c>
      <c r="H209">
        <f>IF(ISSUES!$Q$110="X","X","")</f>
        <v/>
      </c>
    </row>
    <row r="210" ht="15" customHeight="1" s="130">
      <c r="A210">
        <f>IF(ISSUES!$Q$111="X","ISSUES","")</f>
        <v/>
      </c>
      <c r="B210">
        <f>IF(ISSUES!$Q$111="X",ISSUES!A111,"")</f>
        <v/>
      </c>
      <c r="C210">
        <f>IF(ISSUES!$Q$111="X",ISSUES!O111,"")</f>
        <v/>
      </c>
      <c r="D210">
        <f>IF(ISSUES!$Q$111="X",ISSUES!P111,"")</f>
        <v/>
      </c>
      <c r="E210">
        <f>IF(ISSUES!$Q$111="X",ISSUES!C111,"")</f>
        <v/>
      </c>
      <c r="F210">
        <f>IF(ISSUES!$Q$111="X",ISSUES!F111,"")</f>
        <v/>
      </c>
      <c r="G210">
        <f>IF(ISSUES!$Q$111="X",ISSUES!H111,"")</f>
        <v/>
      </c>
      <c r="H210">
        <f>IF(ISSUES!$Q$111="X","X","")</f>
        <v/>
      </c>
    </row>
    <row r="211" ht="15" customHeight="1" s="130">
      <c r="A211">
        <f>IF(ISSUES!$Q$112="X","ISSUES","")</f>
        <v/>
      </c>
      <c r="B211">
        <f>IF(ISSUES!$Q$112="X",ISSUES!A112,"")</f>
        <v/>
      </c>
      <c r="C211">
        <f>IF(ISSUES!$Q$112="X",ISSUES!O112,"")</f>
        <v/>
      </c>
      <c r="D211">
        <f>IF(ISSUES!$Q$112="X",ISSUES!P112,"")</f>
        <v/>
      </c>
      <c r="E211">
        <f>IF(ISSUES!$Q$112="X",ISSUES!C112,"")</f>
        <v/>
      </c>
      <c r="F211">
        <f>IF(ISSUES!$Q$112="X",ISSUES!F112,"")</f>
        <v/>
      </c>
      <c r="G211">
        <f>IF(ISSUES!$Q$112="X",ISSUES!H112,"")</f>
        <v/>
      </c>
      <c r="H211">
        <f>IF(ISSUES!$Q$112="X","X","")</f>
        <v/>
      </c>
    </row>
    <row r="212" ht="15" customHeight="1" s="130">
      <c r="A212">
        <f>IF(ISSUES!$Q$113="X","ISSUES","")</f>
        <v/>
      </c>
      <c r="B212">
        <f>IF(ISSUES!$Q$113="X",ISSUES!A113,"")</f>
        <v/>
      </c>
      <c r="C212">
        <f>IF(ISSUES!$Q$113="X",ISSUES!O113,"")</f>
        <v/>
      </c>
      <c r="D212">
        <f>IF(ISSUES!$Q$113="X",ISSUES!P113,"")</f>
        <v/>
      </c>
      <c r="E212">
        <f>IF(ISSUES!$Q$113="X",ISSUES!C113,"")</f>
        <v/>
      </c>
      <c r="F212">
        <f>IF(ISSUES!$Q$113="X",ISSUES!F113,"")</f>
        <v/>
      </c>
      <c r="G212">
        <f>IF(ISSUES!$Q$113="X",ISSUES!H113,"")</f>
        <v/>
      </c>
      <c r="H212">
        <f>IF(ISSUES!$Q$113="X","X","")</f>
        <v/>
      </c>
    </row>
    <row r="213" ht="15" customHeight="1" s="130">
      <c r="A213">
        <f>IF(ISSUES!$Q$114="X","ISSUES","")</f>
        <v/>
      </c>
      <c r="B213">
        <f>IF(ISSUES!$Q$114="X",ISSUES!A114,"")</f>
        <v/>
      </c>
      <c r="C213">
        <f>IF(ISSUES!$Q$114="X",ISSUES!O114,"")</f>
        <v/>
      </c>
      <c r="D213">
        <f>IF(ISSUES!$Q$114="X",ISSUES!P114,"")</f>
        <v/>
      </c>
      <c r="E213">
        <f>IF(ISSUES!$Q$114="X",ISSUES!C114,"")</f>
        <v/>
      </c>
      <c r="F213">
        <f>IF(ISSUES!$Q$114="X",ISSUES!F114,"")</f>
        <v/>
      </c>
      <c r="G213">
        <f>IF(ISSUES!$Q$114="X",ISSUES!H114,"")</f>
        <v/>
      </c>
      <c r="H213">
        <f>IF(ISSUES!$Q$114="X","X","")</f>
        <v/>
      </c>
    </row>
    <row r="214" ht="15" customHeight="1" s="130">
      <c r="A214">
        <f>IF(ISSUES!$Q$115="X","ISSUES","")</f>
        <v/>
      </c>
      <c r="B214">
        <f>IF(ISSUES!$Q$115="X",ISSUES!A115,"")</f>
        <v/>
      </c>
      <c r="C214">
        <f>IF(ISSUES!$Q$115="X",ISSUES!O115,"")</f>
        <v/>
      </c>
      <c r="D214">
        <f>IF(ISSUES!$Q$115="X",ISSUES!P115,"")</f>
        <v/>
      </c>
      <c r="E214">
        <f>IF(ISSUES!$Q$115="X",ISSUES!C115,"")</f>
        <v/>
      </c>
      <c r="F214">
        <f>IF(ISSUES!$Q$115="X",ISSUES!F115,"")</f>
        <v/>
      </c>
      <c r="G214">
        <f>IF(ISSUES!$Q$115="X",ISSUES!H115,"")</f>
        <v/>
      </c>
      <c r="H214">
        <f>IF(ISSUES!$Q$115="X","X","")</f>
        <v/>
      </c>
    </row>
    <row r="215" ht="15" customHeight="1" s="130">
      <c r="A215">
        <f>IF(ISSUES!$Q$116="X","ISSUES","")</f>
        <v/>
      </c>
      <c r="B215">
        <f>IF(ISSUES!$Q$116="X",ISSUES!A116,"")</f>
        <v/>
      </c>
      <c r="C215">
        <f>IF(ISSUES!$Q$116="X",ISSUES!O116,"")</f>
        <v/>
      </c>
      <c r="D215">
        <f>IF(ISSUES!$Q$116="X",ISSUES!P116,"")</f>
        <v/>
      </c>
      <c r="E215">
        <f>IF(ISSUES!$Q$116="X",ISSUES!C116,"")</f>
        <v/>
      </c>
      <c r="F215">
        <f>IF(ISSUES!$Q$116="X",ISSUES!F116,"")</f>
        <v/>
      </c>
      <c r="G215">
        <f>IF(ISSUES!$Q$116="X",ISSUES!H116,"")</f>
        <v/>
      </c>
      <c r="H215">
        <f>IF(ISSUES!$Q$116="X","X","")</f>
        <v/>
      </c>
    </row>
    <row r="216" ht="15" customHeight="1" s="130">
      <c r="A216">
        <f>IF(ISSUES!$Q$117="X","ISSUES","")</f>
        <v/>
      </c>
      <c r="B216">
        <f>IF(ISSUES!$Q$117="X",ISSUES!A117,"")</f>
        <v/>
      </c>
      <c r="C216">
        <f>IF(ISSUES!$Q$117="X",ISSUES!O117,"")</f>
        <v/>
      </c>
      <c r="D216">
        <f>IF(ISSUES!$Q$117="X",ISSUES!P117,"")</f>
        <v/>
      </c>
      <c r="E216">
        <f>IF(ISSUES!$Q$117="X",ISSUES!C117,"")</f>
        <v/>
      </c>
      <c r="F216">
        <f>IF(ISSUES!$Q$117="X",ISSUES!F117,"")</f>
        <v/>
      </c>
      <c r="G216">
        <f>IF(ISSUES!$Q$117="X",ISSUES!H117,"")</f>
        <v/>
      </c>
      <c r="H216">
        <f>IF(ISSUES!$Q$117="X","X","")</f>
        <v/>
      </c>
    </row>
    <row r="217" ht="15" customHeight="1" s="130">
      <c r="A217">
        <f>IF(ISSUES!$Q$118="X","ISSUES","")</f>
        <v/>
      </c>
      <c r="B217">
        <f>IF(ISSUES!$Q$118="X",ISSUES!A118,"")</f>
        <v/>
      </c>
      <c r="C217">
        <f>IF(ISSUES!$Q$118="X",ISSUES!O118,"")</f>
        <v/>
      </c>
      <c r="D217">
        <f>IF(ISSUES!$Q$118="X",ISSUES!P118,"")</f>
        <v/>
      </c>
      <c r="E217">
        <f>IF(ISSUES!$Q$118="X",ISSUES!C118,"")</f>
        <v/>
      </c>
      <c r="F217">
        <f>IF(ISSUES!$Q$118="X",ISSUES!F118,"")</f>
        <v/>
      </c>
      <c r="G217">
        <f>IF(ISSUES!$Q$118="X",ISSUES!H118,"")</f>
        <v/>
      </c>
      <c r="H217">
        <f>IF(ISSUES!$Q$118="X","X","")</f>
        <v/>
      </c>
    </row>
    <row r="218" ht="15" customHeight="1" s="130">
      <c r="A218">
        <f>IF(ISSUES!$Q$119="X","ISSUES","")</f>
        <v/>
      </c>
      <c r="B218">
        <f>IF(ISSUES!$Q$119="X",ISSUES!A119,"")</f>
        <v/>
      </c>
      <c r="C218">
        <f>IF(ISSUES!$Q$119="X",ISSUES!O119,"")</f>
        <v/>
      </c>
      <c r="D218">
        <f>IF(ISSUES!$Q$119="X",ISSUES!P119,"")</f>
        <v/>
      </c>
      <c r="E218">
        <f>IF(ISSUES!$Q$119="X",ISSUES!C119,"")</f>
        <v/>
      </c>
      <c r="F218">
        <f>IF(ISSUES!$Q$119="X",ISSUES!F119,"")</f>
        <v/>
      </c>
      <c r="G218">
        <f>IF(ISSUES!$Q$119="X",ISSUES!H119,"")</f>
        <v/>
      </c>
      <c r="H218">
        <f>IF(ISSUES!$Q$119="X","X","")</f>
        <v/>
      </c>
    </row>
    <row r="219" ht="15" customHeight="1" s="130">
      <c r="A219">
        <f>IF(ISSUES!$Q$120="X","ISSUES","")</f>
        <v/>
      </c>
      <c r="B219">
        <f>IF(ISSUES!$Q$120="X",ISSUES!A120,"")</f>
        <v/>
      </c>
      <c r="C219">
        <f>IF(ISSUES!$Q$120="X",ISSUES!O120,"")</f>
        <v/>
      </c>
      <c r="D219">
        <f>IF(ISSUES!$Q$120="X",ISSUES!P120,"")</f>
        <v/>
      </c>
      <c r="E219">
        <f>IF(ISSUES!$Q$120="X",ISSUES!C120,"")</f>
        <v/>
      </c>
      <c r="F219">
        <f>IF(ISSUES!$Q$120="X",ISSUES!F120,"")</f>
        <v/>
      </c>
      <c r="G219">
        <f>IF(ISSUES!$Q$120="X",ISSUES!H120,"")</f>
        <v/>
      </c>
      <c r="H219">
        <f>IF(ISSUES!$Q$120="X","X","")</f>
        <v/>
      </c>
    </row>
    <row r="220" ht="15" customHeight="1" s="130">
      <c r="A220">
        <f>IF(ISSUES!$Q$121="X","ISSUES","")</f>
        <v/>
      </c>
      <c r="B220">
        <f>IF(ISSUES!$Q$121="X",ISSUES!A121,"")</f>
        <v/>
      </c>
      <c r="C220">
        <f>IF(ISSUES!$Q$121="X",ISSUES!O121,"")</f>
        <v/>
      </c>
      <c r="D220">
        <f>IF(ISSUES!$Q$121="X",ISSUES!P121,"")</f>
        <v/>
      </c>
      <c r="E220">
        <f>IF(ISSUES!$Q$121="X",ISSUES!C121,"")</f>
        <v/>
      </c>
      <c r="F220">
        <f>IF(ISSUES!$Q$121="X",ISSUES!F121,"")</f>
        <v/>
      </c>
      <c r="G220">
        <f>IF(ISSUES!$Q$121="X",ISSUES!H121,"")</f>
        <v/>
      </c>
      <c r="H220">
        <f>IF(ISSUES!$Q$121="X","X","")</f>
        <v/>
      </c>
    </row>
    <row r="221" ht="15" customHeight="1" s="130">
      <c r="A221">
        <f>IF(ISSUES!$Q$122="X","ISSUES","")</f>
        <v/>
      </c>
      <c r="B221">
        <f>IF(ISSUES!$Q$122="X",ISSUES!A122,"")</f>
        <v/>
      </c>
      <c r="C221">
        <f>IF(ISSUES!$Q$122="X",ISSUES!O122,"")</f>
        <v/>
      </c>
      <c r="D221">
        <f>IF(ISSUES!$Q$122="X",ISSUES!P122,"")</f>
        <v/>
      </c>
      <c r="E221">
        <f>IF(ISSUES!$Q$122="X",ISSUES!C122,"")</f>
        <v/>
      </c>
      <c r="F221">
        <f>IF(ISSUES!$Q$122="X",ISSUES!F122,"")</f>
        <v/>
      </c>
      <c r="G221">
        <f>IF(ISSUES!$Q$122="X",ISSUES!H122,"")</f>
        <v/>
      </c>
      <c r="H221">
        <f>IF(ISSUES!$Q$122="X","X","")</f>
        <v/>
      </c>
    </row>
    <row r="222" ht="15" customHeight="1" s="130">
      <c r="A222">
        <f>IF(ISSUES!$Q$123="X","ISSUES","")</f>
        <v/>
      </c>
      <c r="B222">
        <f>IF(ISSUES!$Q$123="X",ISSUES!A123,"")</f>
        <v/>
      </c>
      <c r="C222">
        <f>IF(ISSUES!$Q$123="X",ISSUES!O123,"")</f>
        <v/>
      </c>
      <c r="D222">
        <f>IF(ISSUES!$Q$123="X",ISSUES!P123,"")</f>
        <v/>
      </c>
      <c r="E222">
        <f>IF(ISSUES!$Q$123="X",ISSUES!C123,"")</f>
        <v/>
      </c>
      <c r="F222">
        <f>IF(ISSUES!$Q$123="X",ISSUES!F123,"")</f>
        <v/>
      </c>
      <c r="G222">
        <f>IF(ISSUES!$Q$123="X",ISSUES!H123,"")</f>
        <v/>
      </c>
      <c r="H222">
        <f>IF(ISSUES!$Q$123="X","X","")</f>
        <v/>
      </c>
    </row>
    <row r="223" ht="15" customHeight="1" s="130">
      <c r="A223">
        <f>IF(ISSUES!$Q$124="X","ISSUES","")</f>
        <v/>
      </c>
      <c r="B223">
        <f>IF(ISSUES!$Q$124="X",ISSUES!A124,"")</f>
        <v/>
      </c>
      <c r="C223">
        <f>IF(ISSUES!$Q$124="X",ISSUES!O124,"")</f>
        <v/>
      </c>
      <c r="D223">
        <f>IF(ISSUES!$Q$124="X",ISSUES!P124,"")</f>
        <v/>
      </c>
      <c r="E223">
        <f>IF(ISSUES!$Q$124="X",ISSUES!C124,"")</f>
        <v/>
      </c>
      <c r="F223">
        <f>IF(ISSUES!$Q$124="X",ISSUES!F124,"")</f>
        <v/>
      </c>
      <c r="G223">
        <f>IF(ISSUES!$Q$124="X",ISSUES!H124,"")</f>
        <v/>
      </c>
      <c r="H223">
        <f>IF(ISSUES!$Q$124="X","X","")</f>
        <v/>
      </c>
    </row>
    <row r="224" ht="15" customHeight="1" s="130">
      <c r="A224">
        <f>IF(ISSUES!$Q$125="X","ISSUES","")</f>
        <v/>
      </c>
      <c r="B224">
        <f>IF(ISSUES!$Q$125="X",ISSUES!A125,"")</f>
        <v/>
      </c>
      <c r="C224">
        <f>IF(ISSUES!$Q$125="X",ISSUES!O125,"")</f>
        <v/>
      </c>
      <c r="D224">
        <f>IF(ISSUES!$Q$125="X",ISSUES!P125,"")</f>
        <v/>
      </c>
      <c r="E224">
        <f>IF(ISSUES!$Q$125="X",ISSUES!C125,"")</f>
        <v/>
      </c>
      <c r="F224">
        <f>IF(ISSUES!$Q$125="X",ISSUES!F125,"")</f>
        <v/>
      </c>
      <c r="G224">
        <f>IF(ISSUES!$Q$125="X",ISSUES!H125,"")</f>
        <v/>
      </c>
      <c r="H224">
        <f>IF(ISSUES!$Q$125="X","X","")</f>
        <v/>
      </c>
    </row>
    <row r="225" ht="15" customHeight="1" s="130">
      <c r="A225">
        <f>IF(ISSUES!$Q$126="X","ISSUES","")</f>
        <v/>
      </c>
      <c r="B225">
        <f>IF(ISSUES!$Q$126="X",ISSUES!A126,"")</f>
        <v/>
      </c>
      <c r="C225">
        <f>IF(ISSUES!$Q$126="X",ISSUES!O126,"")</f>
        <v/>
      </c>
      <c r="D225">
        <f>IF(ISSUES!$Q$126="X",ISSUES!P126,"")</f>
        <v/>
      </c>
      <c r="E225">
        <f>IF(ISSUES!$Q$126="X",ISSUES!C126,"")</f>
        <v/>
      </c>
      <c r="F225">
        <f>IF(ISSUES!$Q$126="X",ISSUES!F126,"")</f>
        <v/>
      </c>
      <c r="G225">
        <f>IF(ISSUES!$Q$126="X",ISSUES!H126,"")</f>
        <v/>
      </c>
      <c r="H225">
        <f>IF(ISSUES!$Q$126="X","X","")</f>
        <v/>
      </c>
    </row>
    <row r="226" ht="15" customHeight="1" s="130">
      <c r="A226">
        <f>IF(ISSUES!$Q$127="X","ISSUES","")</f>
        <v/>
      </c>
      <c r="B226">
        <f>IF(ISSUES!$Q$127="X",ISSUES!A127,"")</f>
        <v/>
      </c>
      <c r="C226">
        <f>IF(ISSUES!$Q$127="X",ISSUES!O127,"")</f>
        <v/>
      </c>
      <c r="D226">
        <f>IF(ISSUES!$Q$127="X",ISSUES!P127,"")</f>
        <v/>
      </c>
      <c r="E226">
        <f>IF(ISSUES!$Q$127="X",ISSUES!C127,"")</f>
        <v/>
      </c>
      <c r="F226">
        <f>IF(ISSUES!$Q$127="X",ISSUES!F127,"")</f>
        <v/>
      </c>
      <c r="G226">
        <f>IF(ISSUES!$Q$127="X",ISSUES!H127,"")</f>
        <v/>
      </c>
      <c r="H226">
        <f>IF(ISSUES!$Q$127="X","X","")</f>
        <v/>
      </c>
    </row>
    <row r="227" ht="15" customHeight="1" s="130">
      <c r="A227">
        <f>IF(ISSUES!$Q$128="X","ISSUES","")</f>
        <v/>
      </c>
      <c r="B227">
        <f>IF(ISSUES!$Q$128="X",ISSUES!A128,"")</f>
        <v/>
      </c>
      <c r="C227">
        <f>IF(ISSUES!$Q$128="X",ISSUES!O128,"")</f>
        <v/>
      </c>
      <c r="D227">
        <f>IF(ISSUES!$Q$128="X",ISSUES!P128,"")</f>
        <v/>
      </c>
      <c r="E227">
        <f>IF(ISSUES!$Q$128="X",ISSUES!C128,"")</f>
        <v/>
      </c>
      <c r="F227">
        <f>IF(ISSUES!$Q$128="X",ISSUES!F128,"")</f>
        <v/>
      </c>
      <c r="G227">
        <f>IF(ISSUES!$Q$128="X",ISSUES!H128,"")</f>
        <v/>
      </c>
      <c r="H227">
        <f>IF(ISSUES!$Q$128="X","X","")</f>
        <v/>
      </c>
    </row>
    <row r="228" ht="15" customHeight="1" s="130">
      <c r="A228">
        <f>IF(ISSUES!$Q$129="X","ISSUES","")</f>
        <v/>
      </c>
      <c r="B228">
        <f>IF(ISSUES!$Q$129="X",ISSUES!A129,"")</f>
        <v/>
      </c>
      <c r="C228">
        <f>IF(ISSUES!$Q$129="X",ISSUES!O129,"")</f>
        <v/>
      </c>
      <c r="D228">
        <f>IF(ISSUES!$Q$129="X",ISSUES!P129,"")</f>
        <v/>
      </c>
      <c r="E228">
        <f>IF(ISSUES!$Q$129="X",ISSUES!C129,"")</f>
        <v/>
      </c>
      <c r="F228">
        <f>IF(ISSUES!$Q$129="X",ISSUES!F129,"")</f>
        <v/>
      </c>
      <c r="G228">
        <f>IF(ISSUES!$Q$129="X",ISSUES!H129,"")</f>
        <v/>
      </c>
      <c r="H228">
        <f>IF(ISSUES!$Q$129="X","X","")</f>
        <v/>
      </c>
    </row>
    <row r="229" ht="15" customHeight="1" s="130">
      <c r="A229">
        <f>IF(ISSUES!$Q$130="X","ISSUES","")</f>
        <v/>
      </c>
      <c r="B229">
        <f>IF(ISSUES!$Q$130="X",ISSUES!A130,"")</f>
        <v/>
      </c>
      <c r="C229">
        <f>IF(ISSUES!$Q$130="X",ISSUES!O130,"")</f>
        <v/>
      </c>
      <c r="D229">
        <f>IF(ISSUES!$Q$130="X",ISSUES!P130,"")</f>
        <v/>
      </c>
      <c r="E229">
        <f>IF(ISSUES!$Q$130="X",ISSUES!C130,"")</f>
        <v/>
      </c>
      <c r="F229">
        <f>IF(ISSUES!$Q$130="X",ISSUES!F130,"")</f>
        <v/>
      </c>
      <c r="G229">
        <f>IF(ISSUES!$Q$130="X",ISSUES!H130,"")</f>
        <v/>
      </c>
      <c r="H229">
        <f>IF(ISSUES!$Q$130="X","X","")</f>
        <v/>
      </c>
    </row>
    <row r="230" ht="15" customHeight="1" s="130">
      <c r="A230">
        <f>IF(ISSUES!$Q$131="X","ISSUES","")</f>
        <v/>
      </c>
      <c r="B230">
        <f>IF(ISSUES!$Q$131="X",ISSUES!A131,"")</f>
        <v/>
      </c>
      <c r="C230">
        <f>IF(ISSUES!$Q$131="X",ISSUES!O131,"")</f>
        <v/>
      </c>
      <c r="D230">
        <f>IF(ISSUES!$Q$131="X",ISSUES!P131,"")</f>
        <v/>
      </c>
      <c r="E230">
        <f>IF(ISSUES!$Q$131="X",ISSUES!C131,"")</f>
        <v/>
      </c>
      <c r="F230">
        <f>IF(ISSUES!$Q$131="X",ISSUES!F131,"")</f>
        <v/>
      </c>
      <c r="G230">
        <f>IF(ISSUES!$Q$131="X",ISSUES!H131,"")</f>
        <v/>
      </c>
      <c r="H230">
        <f>IF(ISSUES!$Q$131="X","X","")</f>
        <v/>
      </c>
    </row>
    <row r="231" ht="15" customHeight="1" s="130">
      <c r="A231">
        <f>IF(ISSUES!$Q$132="X","ISSUES","")</f>
        <v/>
      </c>
      <c r="B231">
        <f>IF(ISSUES!$Q$132="X",ISSUES!A132,"")</f>
        <v/>
      </c>
      <c r="C231">
        <f>IF(ISSUES!$Q$132="X",ISSUES!O132,"")</f>
        <v/>
      </c>
      <c r="D231">
        <f>IF(ISSUES!$Q$132="X",ISSUES!P132,"")</f>
        <v/>
      </c>
      <c r="E231">
        <f>IF(ISSUES!$Q$132="X",ISSUES!C132,"")</f>
        <v/>
      </c>
      <c r="F231">
        <f>IF(ISSUES!$Q$132="X",ISSUES!F132,"")</f>
        <v/>
      </c>
      <c r="G231">
        <f>IF(ISSUES!$Q$132="X",ISSUES!H132,"")</f>
        <v/>
      </c>
      <c r="H231">
        <f>IF(ISSUES!$Q$132="X","X","")</f>
        <v/>
      </c>
    </row>
    <row r="232" ht="15" customHeight="1" s="130">
      <c r="A232">
        <f>IF(ISSUES!$Q$133="X","ISSUES","")</f>
        <v/>
      </c>
      <c r="B232">
        <f>IF(ISSUES!$Q$133="X",ISSUES!A133,"")</f>
        <v/>
      </c>
      <c r="C232">
        <f>IF(ISSUES!$Q$133="X",ISSUES!O133,"")</f>
        <v/>
      </c>
      <c r="D232">
        <f>IF(ISSUES!$Q$133="X",ISSUES!P133,"")</f>
        <v/>
      </c>
      <c r="E232">
        <f>IF(ISSUES!$Q$133="X",ISSUES!C133,"")</f>
        <v/>
      </c>
      <c r="F232">
        <f>IF(ISSUES!$Q$133="X",ISSUES!F133,"")</f>
        <v/>
      </c>
      <c r="G232">
        <f>IF(ISSUES!$Q$133="X",ISSUES!H133,"")</f>
        <v/>
      </c>
      <c r="H232">
        <f>IF(ISSUES!$Q$133="X","X","")</f>
        <v/>
      </c>
    </row>
    <row r="233" ht="15" customHeight="1" s="130">
      <c r="A233">
        <f>IF(ISSUES!$Q$134="X","ISSUES","")</f>
        <v/>
      </c>
      <c r="B233">
        <f>IF(ISSUES!$Q$134="X",ISSUES!A134,"")</f>
        <v/>
      </c>
      <c r="C233">
        <f>IF(ISSUES!$Q$134="X",ISSUES!O134,"")</f>
        <v/>
      </c>
      <c r="D233">
        <f>IF(ISSUES!$Q$134="X",ISSUES!P134,"")</f>
        <v/>
      </c>
      <c r="E233">
        <f>IF(ISSUES!$Q$134="X",ISSUES!C134,"")</f>
        <v/>
      </c>
      <c r="F233">
        <f>IF(ISSUES!$Q$134="X",ISSUES!F134,"")</f>
        <v/>
      </c>
      <c r="G233">
        <f>IF(ISSUES!$Q$134="X",ISSUES!H134,"")</f>
        <v/>
      </c>
      <c r="H233">
        <f>IF(ISSUES!$Q$134="X","X","")</f>
        <v/>
      </c>
    </row>
    <row r="234" ht="15" customHeight="1" s="130">
      <c r="A234">
        <f>IF(ISSUES!$Q$135="X","ISSUES","")</f>
        <v/>
      </c>
      <c r="B234">
        <f>IF(ISSUES!$Q$135="X",ISSUES!A135,"")</f>
        <v/>
      </c>
      <c r="C234">
        <f>IF(ISSUES!$Q$135="X",ISSUES!O135,"")</f>
        <v/>
      </c>
      <c r="D234">
        <f>IF(ISSUES!$Q$135="X",ISSUES!P135,"")</f>
        <v/>
      </c>
      <c r="E234">
        <f>IF(ISSUES!$Q$135="X",ISSUES!C135,"")</f>
        <v/>
      </c>
      <c r="F234">
        <f>IF(ISSUES!$Q$135="X",ISSUES!F135,"")</f>
        <v/>
      </c>
      <c r="G234">
        <f>IF(ISSUES!$Q$135="X",ISSUES!H135,"")</f>
        <v/>
      </c>
      <c r="H234">
        <f>IF(ISSUES!$Q$135="X","X","")</f>
        <v/>
      </c>
    </row>
    <row r="235" ht="15" customHeight="1" s="130">
      <c r="A235">
        <f>IF(ISSUES!$Q$136="X","ISSUES","")</f>
        <v/>
      </c>
      <c r="B235">
        <f>IF(ISSUES!$Q$136="X",ISSUES!A136,"")</f>
        <v/>
      </c>
      <c r="C235">
        <f>IF(ISSUES!$Q$136="X",ISSUES!O136,"")</f>
        <v/>
      </c>
      <c r="D235">
        <f>IF(ISSUES!$Q$136="X",ISSUES!P136,"")</f>
        <v/>
      </c>
      <c r="E235">
        <f>IF(ISSUES!$Q$136="X",ISSUES!C136,"")</f>
        <v/>
      </c>
      <c r="F235">
        <f>IF(ISSUES!$Q$136="X",ISSUES!F136,"")</f>
        <v/>
      </c>
      <c r="G235">
        <f>IF(ISSUES!$Q$136="X",ISSUES!H136,"")</f>
        <v/>
      </c>
      <c r="H235">
        <f>IF(ISSUES!$Q$136="X","X","")</f>
        <v/>
      </c>
    </row>
    <row r="236" ht="15" customHeight="1" s="130">
      <c r="A236">
        <f>IF(ISSUES!$Q$137="X","ISSUES","")</f>
        <v/>
      </c>
      <c r="B236">
        <f>IF(ISSUES!$Q$137="X",ISSUES!A137,"")</f>
        <v/>
      </c>
      <c r="C236">
        <f>IF(ISSUES!$Q$137="X",ISSUES!O137,"")</f>
        <v/>
      </c>
      <c r="D236">
        <f>IF(ISSUES!$Q$137="X",ISSUES!P137,"")</f>
        <v/>
      </c>
      <c r="E236">
        <f>IF(ISSUES!$Q$137="X",ISSUES!C137,"")</f>
        <v/>
      </c>
      <c r="F236">
        <f>IF(ISSUES!$Q$137="X",ISSUES!F137,"")</f>
        <v/>
      </c>
      <c r="G236">
        <f>IF(ISSUES!$Q$137="X",ISSUES!H137,"")</f>
        <v/>
      </c>
      <c r="H236">
        <f>IF(ISSUES!$Q$137="X","X","")</f>
        <v/>
      </c>
    </row>
    <row r="237" ht="15" customHeight="1" s="130">
      <c r="A237">
        <f>IF(ISSUES!$Q$138="X","ISSUES","")</f>
        <v/>
      </c>
      <c r="B237">
        <f>IF(ISSUES!$Q$138="X",ISSUES!A138,"")</f>
        <v/>
      </c>
      <c r="C237">
        <f>IF(ISSUES!$Q$138="X",ISSUES!O138,"")</f>
        <v/>
      </c>
      <c r="D237">
        <f>IF(ISSUES!$Q$138="X",ISSUES!P138,"")</f>
        <v/>
      </c>
      <c r="E237">
        <f>IF(ISSUES!$Q$138="X",ISSUES!C138,"")</f>
        <v/>
      </c>
      <c r="F237">
        <f>IF(ISSUES!$Q$138="X",ISSUES!F138,"")</f>
        <v/>
      </c>
      <c r="G237">
        <f>IF(ISSUES!$Q$138="X",ISSUES!H138,"")</f>
        <v/>
      </c>
      <c r="H237">
        <f>IF(ISSUES!$Q$138="X","X","")</f>
        <v/>
      </c>
    </row>
    <row r="238" ht="15" customHeight="1" s="130">
      <c r="A238">
        <f>IF(ISSUES!$Q$139="X","ISSUES","")</f>
        <v/>
      </c>
      <c r="B238">
        <f>IF(ISSUES!$Q$139="X",ISSUES!A139,"")</f>
        <v/>
      </c>
      <c r="C238">
        <f>IF(ISSUES!$Q$139="X",ISSUES!O139,"")</f>
        <v/>
      </c>
      <c r="D238">
        <f>IF(ISSUES!$Q$139="X",ISSUES!P139,"")</f>
        <v/>
      </c>
      <c r="E238">
        <f>IF(ISSUES!$Q$139="X",ISSUES!C139,"")</f>
        <v/>
      </c>
      <c r="F238">
        <f>IF(ISSUES!$Q$139="X",ISSUES!F139,"")</f>
        <v/>
      </c>
      <c r="G238">
        <f>IF(ISSUES!$Q$139="X",ISSUES!H139,"")</f>
        <v/>
      </c>
      <c r="H238">
        <f>IF(ISSUES!$Q$139="X","X","")</f>
        <v/>
      </c>
    </row>
    <row r="239" ht="15" customHeight="1" s="130">
      <c r="A239">
        <f>IF(ISSUES!$Q$140="X","ISSUES","")</f>
        <v/>
      </c>
      <c r="B239">
        <f>IF(ISSUES!$Q$140="X",ISSUES!A140,"")</f>
        <v/>
      </c>
      <c r="C239">
        <f>IF(ISSUES!$Q$140="X",ISSUES!O140,"")</f>
        <v/>
      </c>
      <c r="D239">
        <f>IF(ISSUES!$Q$140="X",ISSUES!P140,"")</f>
        <v/>
      </c>
      <c r="E239">
        <f>IF(ISSUES!$Q$140="X",ISSUES!C140,"")</f>
        <v/>
      </c>
      <c r="F239">
        <f>IF(ISSUES!$Q$140="X",ISSUES!F140,"")</f>
        <v/>
      </c>
      <c r="G239">
        <f>IF(ISSUES!$Q$140="X",ISSUES!H140,"")</f>
        <v/>
      </c>
      <c r="H239">
        <f>IF(ISSUES!$Q$140="X","X","")</f>
        <v/>
      </c>
    </row>
    <row r="240" ht="15" customHeight="1" s="130">
      <c r="A240">
        <f>IF(ISSUES!$Q$141="X","ISSUES","")</f>
        <v/>
      </c>
      <c r="B240">
        <f>IF(ISSUES!$Q$141="X",ISSUES!A141,"")</f>
        <v/>
      </c>
      <c r="C240">
        <f>IF(ISSUES!$Q$141="X",ISSUES!O141,"")</f>
        <v/>
      </c>
      <c r="D240">
        <f>IF(ISSUES!$Q$141="X",ISSUES!P141,"")</f>
        <v/>
      </c>
      <c r="E240">
        <f>IF(ISSUES!$Q$141="X",ISSUES!C141,"")</f>
        <v/>
      </c>
      <c r="F240">
        <f>IF(ISSUES!$Q$141="X",ISSUES!F141,"")</f>
        <v/>
      </c>
      <c r="G240">
        <f>IF(ISSUES!$Q$141="X",ISSUES!H141,"")</f>
        <v/>
      </c>
      <c r="H240">
        <f>IF(ISSUES!$Q$141="X","X","")</f>
        <v/>
      </c>
    </row>
    <row r="241" ht="15" customHeight="1" s="130">
      <c r="A241">
        <f>IF(ISSUES!$Q$142="X","ISSUES","")</f>
        <v/>
      </c>
      <c r="B241">
        <f>IF(ISSUES!$Q$142="X",ISSUES!A142,"")</f>
        <v/>
      </c>
      <c r="C241">
        <f>IF(ISSUES!$Q$142="X",ISSUES!O142,"")</f>
        <v/>
      </c>
      <c r="D241">
        <f>IF(ISSUES!$Q$142="X",ISSUES!P142,"")</f>
        <v/>
      </c>
      <c r="E241">
        <f>IF(ISSUES!$Q$142="X",ISSUES!C142,"")</f>
        <v/>
      </c>
      <c r="F241">
        <f>IF(ISSUES!$Q$142="X",ISSUES!F142,"")</f>
        <v/>
      </c>
      <c r="G241">
        <f>IF(ISSUES!$Q$142="X",ISSUES!H142,"")</f>
        <v/>
      </c>
      <c r="H241">
        <f>IF(ISSUES!$Q$142="X","X","")</f>
        <v/>
      </c>
    </row>
    <row r="242" ht="15" customHeight="1" s="130">
      <c r="A242">
        <f>IF(ISSUES!$Q$143="X","ISSUES","")</f>
        <v/>
      </c>
      <c r="B242">
        <f>IF(ISSUES!$Q$143="X",ISSUES!A143,"")</f>
        <v/>
      </c>
      <c r="C242">
        <f>IF(ISSUES!$Q$143="X",ISSUES!O143,"")</f>
        <v/>
      </c>
      <c r="D242">
        <f>IF(ISSUES!$Q$143="X",ISSUES!P143,"")</f>
        <v/>
      </c>
      <c r="E242">
        <f>IF(ISSUES!$Q$143="X",ISSUES!C143,"")</f>
        <v/>
      </c>
      <c r="F242">
        <f>IF(ISSUES!$Q$143="X",ISSUES!F143,"")</f>
        <v/>
      </c>
      <c r="G242">
        <f>IF(ISSUES!$Q$143="X",ISSUES!H143,"")</f>
        <v/>
      </c>
      <c r="H242">
        <f>IF(ISSUES!$Q$143="X","X","")</f>
        <v/>
      </c>
    </row>
    <row r="243" ht="15" customHeight="1" s="130">
      <c r="A243">
        <f>IF(ISSUES!$Q$144="X","ISSUES","")</f>
        <v/>
      </c>
      <c r="B243">
        <f>IF(ISSUES!$Q$144="X",ISSUES!A144,"")</f>
        <v/>
      </c>
      <c r="C243">
        <f>IF(ISSUES!$Q$144="X",ISSUES!O144,"")</f>
        <v/>
      </c>
      <c r="D243">
        <f>IF(ISSUES!$Q$144="X",ISSUES!P144,"")</f>
        <v/>
      </c>
      <c r="E243">
        <f>IF(ISSUES!$Q$144="X",ISSUES!C144,"")</f>
        <v/>
      </c>
      <c r="F243">
        <f>IF(ISSUES!$Q$144="X",ISSUES!F144,"")</f>
        <v/>
      </c>
      <c r="G243">
        <f>IF(ISSUES!$Q$144="X",ISSUES!H144,"")</f>
        <v/>
      </c>
      <c r="H243">
        <f>IF(ISSUES!$Q$144="X","X","")</f>
        <v/>
      </c>
    </row>
    <row r="244" ht="15" customHeight="1" s="130">
      <c r="A244">
        <f>IF(ISSUES!$Q$145="X","ISSUES","")</f>
        <v/>
      </c>
      <c r="B244">
        <f>IF(ISSUES!$Q$145="X",ISSUES!A145,"")</f>
        <v/>
      </c>
      <c r="C244">
        <f>IF(ISSUES!$Q$145="X",ISSUES!O145,"")</f>
        <v/>
      </c>
      <c r="D244">
        <f>IF(ISSUES!$Q$145="X",ISSUES!P145,"")</f>
        <v/>
      </c>
      <c r="E244">
        <f>IF(ISSUES!$Q$145="X",ISSUES!C145,"")</f>
        <v/>
      </c>
      <c r="F244">
        <f>IF(ISSUES!$Q$145="X",ISSUES!F145,"")</f>
        <v/>
      </c>
      <c r="G244">
        <f>IF(ISSUES!$Q$145="X",ISSUES!H145,"")</f>
        <v/>
      </c>
      <c r="H244">
        <f>IF(ISSUES!$Q$145="X","X","")</f>
        <v/>
      </c>
    </row>
    <row r="245" ht="15" customHeight="1" s="130">
      <c r="A245">
        <f>IF(ISSUES!$Q$146="X","ISSUES","")</f>
        <v/>
      </c>
      <c r="B245">
        <f>IF(ISSUES!$Q$146="X",ISSUES!A146,"")</f>
        <v/>
      </c>
      <c r="C245">
        <f>IF(ISSUES!$Q$146="X",ISSUES!O146,"")</f>
        <v/>
      </c>
      <c r="D245">
        <f>IF(ISSUES!$Q$146="X",ISSUES!P146,"")</f>
        <v/>
      </c>
      <c r="E245">
        <f>IF(ISSUES!$Q$146="X",ISSUES!C146,"")</f>
        <v/>
      </c>
      <c r="F245">
        <f>IF(ISSUES!$Q$146="X",ISSUES!F146,"")</f>
        <v/>
      </c>
      <c r="G245">
        <f>IF(ISSUES!$Q$146="X",ISSUES!H146,"")</f>
        <v/>
      </c>
      <c r="H245">
        <f>IF(ISSUES!$Q$146="X","X","")</f>
        <v/>
      </c>
    </row>
    <row r="246" ht="15" customHeight="1" s="130">
      <c r="A246">
        <f>IF(ISSUES!$Q$147="X","ISSUES","")</f>
        <v/>
      </c>
      <c r="B246">
        <f>IF(ISSUES!$Q$147="X",ISSUES!A147,"")</f>
        <v/>
      </c>
      <c r="C246">
        <f>IF(ISSUES!$Q$147="X",ISSUES!O147,"")</f>
        <v/>
      </c>
      <c r="D246">
        <f>IF(ISSUES!$Q$147="X",ISSUES!P147,"")</f>
        <v/>
      </c>
      <c r="E246">
        <f>IF(ISSUES!$Q$147="X",ISSUES!C147,"")</f>
        <v/>
      </c>
      <c r="F246">
        <f>IF(ISSUES!$Q$147="X",ISSUES!F147,"")</f>
        <v/>
      </c>
      <c r="G246">
        <f>IF(ISSUES!$Q$147="X",ISSUES!H147,"")</f>
        <v/>
      </c>
      <c r="H246">
        <f>IF(ISSUES!$Q$147="X","X","")</f>
        <v/>
      </c>
    </row>
    <row r="247" ht="15" customHeight="1" s="130">
      <c r="A247">
        <f>IF(ISSUES!$Q$148="X","ISSUES","")</f>
        <v/>
      </c>
      <c r="B247">
        <f>IF(ISSUES!$Q$148="X",ISSUES!A148,"")</f>
        <v/>
      </c>
      <c r="C247">
        <f>IF(ISSUES!$Q$148="X",ISSUES!O148,"")</f>
        <v/>
      </c>
      <c r="D247">
        <f>IF(ISSUES!$Q$148="X",ISSUES!P148,"")</f>
        <v/>
      </c>
      <c r="E247">
        <f>IF(ISSUES!$Q$148="X",ISSUES!C148,"")</f>
        <v/>
      </c>
      <c r="F247">
        <f>IF(ISSUES!$Q$148="X",ISSUES!F148,"")</f>
        <v/>
      </c>
      <c r="G247">
        <f>IF(ISSUES!$Q$148="X",ISSUES!H148,"")</f>
        <v/>
      </c>
      <c r="H247">
        <f>IF(ISSUES!$Q$148="X","X","")</f>
        <v/>
      </c>
    </row>
    <row r="248" ht="15" customHeight="1" s="130">
      <c r="A248">
        <f>IF(ISSUES!$Q$149="X","ISSUES","")</f>
        <v/>
      </c>
      <c r="B248">
        <f>IF(ISSUES!$Q$149="X",ISSUES!A149,"")</f>
        <v/>
      </c>
      <c r="C248">
        <f>IF(ISSUES!$Q$149="X",ISSUES!O149,"")</f>
        <v/>
      </c>
      <c r="D248">
        <f>IF(ISSUES!$Q$149="X",ISSUES!P149,"")</f>
        <v/>
      </c>
      <c r="E248">
        <f>IF(ISSUES!$Q$149="X",ISSUES!C149,"")</f>
        <v/>
      </c>
      <c r="F248">
        <f>IF(ISSUES!$Q$149="X",ISSUES!F149,"")</f>
        <v/>
      </c>
      <c r="G248">
        <f>IF(ISSUES!$Q$149="X",ISSUES!H149,"")</f>
        <v/>
      </c>
      <c r="H248">
        <f>IF(ISSUES!$Q$149="X","X","")</f>
        <v/>
      </c>
    </row>
    <row r="249" ht="15" customHeight="1" s="130">
      <c r="A249">
        <f>IF(ISSUES!$Q$150="X","ISSUES","")</f>
        <v/>
      </c>
      <c r="B249">
        <f>IF(ISSUES!$Q$150="X",ISSUES!A150,"")</f>
        <v/>
      </c>
      <c r="C249">
        <f>IF(ISSUES!$Q$150="X",ISSUES!O150,"")</f>
        <v/>
      </c>
      <c r="D249">
        <f>IF(ISSUES!$Q$150="X",ISSUES!P150,"")</f>
        <v/>
      </c>
      <c r="E249">
        <f>IF(ISSUES!$Q$150="X",ISSUES!C150,"")</f>
        <v/>
      </c>
      <c r="F249">
        <f>IF(ISSUES!$Q$150="X",ISSUES!F150,"")</f>
        <v/>
      </c>
      <c r="G249">
        <f>IF(ISSUES!$Q$150="X",ISSUES!H150,"")</f>
        <v/>
      </c>
      <c r="H249">
        <f>IF(ISSUES!$Q$150="X","X","")</f>
        <v/>
      </c>
    </row>
    <row r="250" ht="15" customHeight="1" s="130">
      <c r="A250">
        <f>IF(ISSUES!$Q$151="X","ISSUES","")</f>
        <v/>
      </c>
      <c r="B250">
        <f>IF(ISSUES!$Q$151="X",ISSUES!A151,"")</f>
        <v/>
      </c>
      <c r="C250">
        <f>IF(ISSUES!$Q$151="X",ISSUES!O151,"")</f>
        <v/>
      </c>
      <c r="D250">
        <f>IF(ISSUES!$Q$151="X",ISSUES!P151,"")</f>
        <v/>
      </c>
      <c r="E250">
        <f>IF(ISSUES!$Q$151="X",ISSUES!C151,"")</f>
        <v/>
      </c>
      <c r="F250">
        <f>IF(ISSUES!$Q$151="X",ISSUES!F151,"")</f>
        <v/>
      </c>
      <c r="G250">
        <f>IF(ISSUES!$Q$151="X",ISSUES!H151,"")</f>
        <v/>
      </c>
      <c r="H250">
        <f>IF(ISSUES!$Q$151="X","X","")</f>
        <v/>
      </c>
    </row>
    <row r="251" ht="15" customHeight="1" s="130">
      <c r="A251">
        <f>IF(ISSUES!$Q$152="X","ISSUES","")</f>
        <v/>
      </c>
      <c r="B251">
        <f>IF(ISSUES!$Q$152="X",ISSUES!A152,"")</f>
        <v/>
      </c>
      <c r="C251">
        <f>IF(ISSUES!$Q$152="X",ISSUES!O152,"")</f>
        <v/>
      </c>
      <c r="D251">
        <f>IF(ISSUES!$Q$152="X",ISSUES!P152,"")</f>
        <v/>
      </c>
      <c r="E251">
        <f>IF(ISSUES!$Q$152="X",ISSUES!C152,"")</f>
        <v/>
      </c>
      <c r="F251">
        <f>IF(ISSUES!$Q$152="X",ISSUES!F152,"")</f>
        <v/>
      </c>
      <c r="G251">
        <f>IF(ISSUES!$Q$152="X",ISSUES!H152,"")</f>
        <v/>
      </c>
      <c r="H251">
        <f>IF(ISSUES!$Q$152="X","X","")</f>
        <v/>
      </c>
    </row>
    <row r="252" ht="15" customHeight="1" s="130">
      <c r="A252">
        <f>IF(ISSUES!$Q$153="X","ISSUES","")</f>
        <v/>
      </c>
      <c r="B252">
        <f>IF(ISSUES!$Q$153="X",ISSUES!A153,"")</f>
        <v/>
      </c>
      <c r="C252">
        <f>IF(ISSUES!$Q$153="X",ISSUES!O153,"")</f>
        <v/>
      </c>
      <c r="D252">
        <f>IF(ISSUES!$Q$153="X",ISSUES!P153,"")</f>
        <v/>
      </c>
      <c r="E252">
        <f>IF(ISSUES!$Q$153="X",ISSUES!C153,"")</f>
        <v/>
      </c>
      <c r="F252">
        <f>IF(ISSUES!$Q$153="X",ISSUES!F153,"")</f>
        <v/>
      </c>
      <c r="G252">
        <f>IF(ISSUES!$Q$153="X",ISSUES!H153,"")</f>
        <v/>
      </c>
      <c r="H252">
        <f>IF(ISSUES!$Q$153="X","X","")</f>
        <v/>
      </c>
    </row>
    <row r="253" ht="15" customHeight="1" s="130">
      <c r="A253">
        <f>IF(ISSUES!$Q$154="X","ISSUES","")</f>
        <v/>
      </c>
      <c r="B253">
        <f>IF(ISSUES!$Q$154="X",ISSUES!A154,"")</f>
        <v/>
      </c>
      <c r="C253">
        <f>IF(ISSUES!$Q$154="X",ISSUES!O154,"")</f>
        <v/>
      </c>
      <c r="D253">
        <f>IF(ISSUES!$Q$154="X",ISSUES!P154,"")</f>
        <v/>
      </c>
      <c r="E253">
        <f>IF(ISSUES!$Q$154="X",ISSUES!C154,"")</f>
        <v/>
      </c>
      <c r="F253">
        <f>IF(ISSUES!$Q$154="X",ISSUES!F154,"")</f>
        <v/>
      </c>
      <c r="G253">
        <f>IF(ISSUES!$Q$154="X",ISSUES!H154,"")</f>
        <v/>
      </c>
      <c r="H253">
        <f>IF(ISSUES!$Q$154="X","X","")</f>
        <v/>
      </c>
    </row>
    <row r="254" ht="15" customHeight="1" s="130">
      <c r="A254">
        <f>IF(ISSUES!$Q$155="X","ISSUES","")</f>
        <v/>
      </c>
      <c r="B254">
        <f>IF(ISSUES!$Q$155="X",ISSUES!A155,"")</f>
        <v/>
      </c>
      <c r="C254">
        <f>IF(ISSUES!$Q$155="X",ISSUES!O155,"")</f>
        <v/>
      </c>
      <c r="D254">
        <f>IF(ISSUES!$Q$155="X",ISSUES!P155,"")</f>
        <v/>
      </c>
      <c r="E254">
        <f>IF(ISSUES!$Q$155="X",ISSUES!C155,"")</f>
        <v/>
      </c>
      <c r="F254">
        <f>IF(ISSUES!$Q$155="X",ISSUES!F155,"")</f>
        <v/>
      </c>
      <c r="G254">
        <f>IF(ISSUES!$Q$155="X",ISSUES!H155,"")</f>
        <v/>
      </c>
      <c r="H254">
        <f>IF(ISSUES!$Q$155="X","X","")</f>
        <v/>
      </c>
    </row>
    <row r="255" ht="15" customHeight="1" s="130">
      <c r="A255">
        <f>IF(ISSUES!$Q$156="X","ISSUES","")</f>
        <v/>
      </c>
      <c r="B255">
        <f>IF(ISSUES!$Q$156="X",ISSUES!A156,"")</f>
        <v/>
      </c>
      <c r="C255">
        <f>IF(ISSUES!$Q$156="X",ISSUES!O156,"")</f>
        <v/>
      </c>
      <c r="D255">
        <f>IF(ISSUES!$Q$156="X",ISSUES!P156,"")</f>
        <v/>
      </c>
      <c r="E255">
        <f>IF(ISSUES!$Q$156="X",ISSUES!C156,"")</f>
        <v/>
      </c>
      <c r="F255">
        <f>IF(ISSUES!$Q$156="X",ISSUES!F156,"")</f>
        <v/>
      </c>
      <c r="G255">
        <f>IF(ISSUES!$Q$156="X",ISSUES!H156,"")</f>
        <v/>
      </c>
      <c r="H255">
        <f>IF(ISSUES!$Q$156="X","X","")</f>
        <v/>
      </c>
    </row>
    <row r="256" ht="15" customHeight="1" s="130">
      <c r="A256">
        <f>IF(ISSUES!$Q$157="X","ISSUES","")</f>
        <v/>
      </c>
      <c r="B256">
        <f>IF(ISSUES!$Q$157="X",ISSUES!A157,"")</f>
        <v/>
      </c>
      <c r="C256">
        <f>IF(ISSUES!$Q$157="X",ISSUES!O157,"")</f>
        <v/>
      </c>
      <c r="D256">
        <f>IF(ISSUES!$Q$157="X",ISSUES!P157,"")</f>
        <v/>
      </c>
      <c r="E256">
        <f>IF(ISSUES!$Q$157="X",ISSUES!C157,"")</f>
        <v/>
      </c>
      <c r="F256">
        <f>IF(ISSUES!$Q$157="X",ISSUES!F157,"")</f>
        <v/>
      </c>
      <c r="G256">
        <f>IF(ISSUES!$Q$157="X",ISSUES!H157,"")</f>
        <v/>
      </c>
      <c r="H256">
        <f>IF(ISSUES!$Q$157="X","X","")</f>
        <v/>
      </c>
    </row>
    <row r="257" ht="15" customHeight="1" s="130">
      <c r="A257">
        <f>IF(ISSUES!$Q$158="X","ISSUES","")</f>
        <v/>
      </c>
      <c r="B257">
        <f>IF(ISSUES!$Q$158="X",ISSUES!A158,"")</f>
        <v/>
      </c>
      <c r="C257">
        <f>IF(ISSUES!$Q$158="X",ISSUES!O158,"")</f>
        <v/>
      </c>
      <c r="D257">
        <f>IF(ISSUES!$Q$158="X",ISSUES!P158,"")</f>
        <v/>
      </c>
      <c r="E257">
        <f>IF(ISSUES!$Q$158="X",ISSUES!C158,"")</f>
        <v/>
      </c>
      <c r="F257">
        <f>IF(ISSUES!$Q$158="X",ISSUES!F158,"")</f>
        <v/>
      </c>
      <c r="G257">
        <f>IF(ISSUES!$Q$158="X",ISSUES!H158,"")</f>
        <v/>
      </c>
      <c r="H257">
        <f>IF(ISSUES!$Q$158="X","X","")</f>
        <v/>
      </c>
    </row>
    <row r="258" ht="15" customHeight="1" s="130">
      <c r="A258">
        <f>IF(ISSUES!$Q$159="X","ISSUES","")</f>
        <v/>
      </c>
      <c r="B258">
        <f>IF(ISSUES!$Q$159="X",ISSUES!A159,"")</f>
        <v/>
      </c>
      <c r="C258">
        <f>IF(ISSUES!$Q$159="X",ISSUES!O159,"")</f>
        <v/>
      </c>
      <c r="D258">
        <f>IF(ISSUES!$Q$159="X",ISSUES!P159,"")</f>
        <v/>
      </c>
      <c r="E258">
        <f>IF(ISSUES!$Q$159="X",ISSUES!C159,"")</f>
        <v/>
      </c>
      <c r="F258">
        <f>IF(ISSUES!$Q$159="X",ISSUES!F159,"")</f>
        <v/>
      </c>
      <c r="G258">
        <f>IF(ISSUES!$Q$159="X",ISSUES!H159,"")</f>
        <v/>
      </c>
      <c r="H258">
        <f>IF(ISSUES!$Q$159="X","X","")</f>
        <v/>
      </c>
    </row>
    <row r="259" ht="15" customHeight="1" s="130">
      <c r="A259">
        <f>IF(ISSUES!$Q$160="X","ISSUES","")</f>
        <v/>
      </c>
      <c r="B259">
        <f>IF(ISSUES!$Q$160="X",ISSUES!A160,"")</f>
        <v/>
      </c>
      <c r="C259">
        <f>IF(ISSUES!$Q$160="X",ISSUES!O160,"")</f>
        <v/>
      </c>
      <c r="D259">
        <f>IF(ISSUES!$Q$160="X",ISSUES!P160,"")</f>
        <v/>
      </c>
      <c r="E259">
        <f>IF(ISSUES!$Q$160="X",ISSUES!C160,"")</f>
        <v/>
      </c>
      <c r="F259">
        <f>IF(ISSUES!$Q$160="X",ISSUES!F160,"")</f>
        <v/>
      </c>
      <c r="G259">
        <f>IF(ISSUES!$Q$160="X",ISSUES!H160,"")</f>
        <v/>
      </c>
      <c r="H259">
        <f>IF(ISSUES!$Q$160="X","X","")</f>
        <v/>
      </c>
    </row>
    <row r="260" ht="15" customHeight="1" s="130">
      <c r="A260">
        <f>IF(ISSUES!$Q$161="X","ISSUES","")</f>
        <v/>
      </c>
      <c r="B260">
        <f>IF(ISSUES!$Q$161="X",ISSUES!A161,"")</f>
        <v/>
      </c>
      <c r="C260">
        <f>IF(ISSUES!$Q$161="X",ISSUES!O161,"")</f>
        <v/>
      </c>
      <c r="D260">
        <f>IF(ISSUES!$Q$161="X",ISSUES!P161,"")</f>
        <v/>
      </c>
      <c r="E260">
        <f>IF(ISSUES!$Q$161="X",ISSUES!C161,"")</f>
        <v/>
      </c>
      <c r="F260">
        <f>IF(ISSUES!$Q$161="X",ISSUES!F161,"")</f>
        <v/>
      </c>
      <c r="G260">
        <f>IF(ISSUES!$Q$161="X",ISSUES!H161,"")</f>
        <v/>
      </c>
      <c r="H260">
        <f>IF(ISSUES!$Q$161="X","X","")</f>
        <v/>
      </c>
    </row>
    <row r="261" ht="15" customHeight="1" s="130">
      <c r="A261">
        <f>IF(ISSUES!$Q$162="X","ISSUES","")</f>
        <v/>
      </c>
      <c r="B261">
        <f>IF(ISSUES!$Q$162="X",ISSUES!A162,"")</f>
        <v/>
      </c>
      <c r="C261">
        <f>IF(ISSUES!$Q$162="X",ISSUES!O162,"")</f>
        <v/>
      </c>
      <c r="D261">
        <f>IF(ISSUES!$Q$162="X",ISSUES!P162,"")</f>
        <v/>
      </c>
      <c r="E261">
        <f>IF(ISSUES!$Q$162="X",ISSUES!C162,"")</f>
        <v/>
      </c>
      <c r="F261">
        <f>IF(ISSUES!$Q$162="X",ISSUES!F162,"")</f>
        <v/>
      </c>
      <c r="G261">
        <f>IF(ISSUES!$Q$162="X",ISSUES!H162,"")</f>
        <v/>
      </c>
      <c r="H261">
        <f>IF(ISSUES!$Q$162="X","X","")</f>
        <v/>
      </c>
    </row>
    <row r="262" ht="15" customHeight="1" s="130">
      <c r="A262">
        <f>IF(ISSUES!$Q$163="X","ISSUES","")</f>
        <v/>
      </c>
      <c r="B262">
        <f>IF(ISSUES!$Q$163="X",ISSUES!A163,"")</f>
        <v/>
      </c>
      <c r="C262">
        <f>IF(ISSUES!$Q$163="X",ISSUES!O163,"")</f>
        <v/>
      </c>
      <c r="D262">
        <f>IF(ISSUES!$Q$163="X",ISSUES!P163,"")</f>
        <v/>
      </c>
      <c r="E262">
        <f>IF(ISSUES!$Q$163="X",ISSUES!C163,"")</f>
        <v/>
      </c>
      <c r="F262">
        <f>IF(ISSUES!$Q$163="X",ISSUES!F163,"")</f>
        <v/>
      </c>
      <c r="G262">
        <f>IF(ISSUES!$Q$163="X",ISSUES!H163,"")</f>
        <v/>
      </c>
      <c r="H262">
        <f>IF(ISSUES!$Q$163="X","X","")</f>
        <v/>
      </c>
    </row>
    <row r="263" ht="15" customHeight="1" s="130">
      <c r="A263">
        <f>IF(ISSUES!$Q$164="X","ISSUES","")</f>
        <v/>
      </c>
      <c r="B263">
        <f>IF(ISSUES!$Q$164="X",ISSUES!A164,"")</f>
        <v/>
      </c>
      <c r="C263">
        <f>IF(ISSUES!$Q$164="X",ISSUES!O164,"")</f>
        <v/>
      </c>
      <c r="D263">
        <f>IF(ISSUES!$Q$164="X",ISSUES!P164,"")</f>
        <v/>
      </c>
      <c r="E263">
        <f>IF(ISSUES!$Q$164="X",ISSUES!C164,"")</f>
        <v/>
      </c>
      <c r="F263">
        <f>IF(ISSUES!$Q$164="X",ISSUES!F164,"")</f>
        <v/>
      </c>
      <c r="G263">
        <f>IF(ISSUES!$Q$164="X",ISSUES!H164,"")</f>
        <v/>
      </c>
      <c r="H263">
        <f>IF(ISSUES!$Q$164="X","X","")</f>
        <v/>
      </c>
    </row>
    <row r="264" ht="15" customHeight="1" s="130">
      <c r="A264">
        <f>IF(ISSUES!$Q$165="X","ISSUES","")</f>
        <v/>
      </c>
      <c r="B264">
        <f>IF(ISSUES!$Q$165="X",ISSUES!A165,"")</f>
        <v/>
      </c>
      <c r="C264">
        <f>IF(ISSUES!$Q$165="X",ISSUES!O165,"")</f>
        <v/>
      </c>
      <c r="D264">
        <f>IF(ISSUES!$Q$165="X",ISSUES!P165,"")</f>
        <v/>
      </c>
      <c r="E264">
        <f>IF(ISSUES!$Q$165="X",ISSUES!C165,"")</f>
        <v/>
      </c>
      <c r="F264">
        <f>IF(ISSUES!$Q$165="X",ISSUES!F165,"")</f>
        <v/>
      </c>
      <c r="G264">
        <f>IF(ISSUES!$Q$165="X",ISSUES!H165,"")</f>
        <v/>
      </c>
      <c r="H264">
        <f>IF(ISSUES!$Q$165="X","X","")</f>
        <v/>
      </c>
    </row>
    <row r="265" ht="15" customHeight="1" s="130">
      <c r="A265">
        <f>IF(ISSUES!$Q$166="X","ISSUES","")</f>
        <v/>
      </c>
      <c r="B265">
        <f>IF(ISSUES!$Q$166="X",ISSUES!A166,"")</f>
        <v/>
      </c>
      <c r="C265">
        <f>IF(ISSUES!$Q$166="X",ISSUES!O166,"")</f>
        <v/>
      </c>
      <c r="D265">
        <f>IF(ISSUES!$Q$166="X",ISSUES!P166,"")</f>
        <v/>
      </c>
      <c r="E265">
        <f>IF(ISSUES!$Q$166="X",ISSUES!C166,"")</f>
        <v/>
      </c>
      <c r="F265">
        <f>IF(ISSUES!$Q$166="X",ISSUES!F166,"")</f>
        <v/>
      </c>
      <c r="G265">
        <f>IF(ISSUES!$Q$166="X",ISSUES!H166,"")</f>
        <v/>
      </c>
      <c r="H265">
        <f>IF(ISSUES!$Q$166="X","X","")</f>
        <v/>
      </c>
    </row>
    <row r="266" ht="15" customHeight="1" s="130">
      <c r="A266">
        <f>IF(ISSUES!$Q$167="X","ISSUES","")</f>
        <v/>
      </c>
      <c r="B266">
        <f>IF(ISSUES!$Q$167="X",ISSUES!A167,"")</f>
        <v/>
      </c>
      <c r="C266">
        <f>IF(ISSUES!$Q$167="X",ISSUES!O167,"")</f>
        <v/>
      </c>
      <c r="D266">
        <f>IF(ISSUES!$Q$167="X",ISSUES!P167,"")</f>
        <v/>
      </c>
      <c r="E266">
        <f>IF(ISSUES!$Q$167="X",ISSUES!C167,"")</f>
        <v/>
      </c>
      <c r="F266">
        <f>IF(ISSUES!$Q$167="X",ISSUES!F167,"")</f>
        <v/>
      </c>
      <c r="G266">
        <f>IF(ISSUES!$Q$167="X",ISSUES!H167,"")</f>
        <v/>
      </c>
      <c r="H266">
        <f>IF(ISSUES!$Q$167="X","X","")</f>
        <v/>
      </c>
    </row>
    <row r="267" ht="15" customHeight="1" s="130">
      <c r="A267">
        <f>IF(ISSUES!$Q$168="X","ISSUES","")</f>
        <v/>
      </c>
      <c r="B267">
        <f>IF(ISSUES!$Q$168="X",ISSUES!A168,"")</f>
        <v/>
      </c>
      <c r="C267">
        <f>IF(ISSUES!$Q$168="X",ISSUES!O168,"")</f>
        <v/>
      </c>
      <c r="D267">
        <f>IF(ISSUES!$Q$168="X",ISSUES!P168,"")</f>
        <v/>
      </c>
      <c r="E267">
        <f>IF(ISSUES!$Q$168="X",ISSUES!C168,"")</f>
        <v/>
      </c>
      <c r="F267">
        <f>IF(ISSUES!$Q$168="X",ISSUES!F168,"")</f>
        <v/>
      </c>
      <c r="G267">
        <f>IF(ISSUES!$Q$168="X",ISSUES!H168,"")</f>
        <v/>
      </c>
      <c r="H267">
        <f>IF(ISSUES!$Q$168="X","X","")</f>
        <v/>
      </c>
    </row>
    <row r="268" ht="15" customHeight="1" s="130">
      <c r="A268">
        <f>IF(ISSUES!$Q$169="X","ISSUES","")</f>
        <v/>
      </c>
      <c r="B268">
        <f>IF(ISSUES!$Q$169="X",ISSUES!A169,"")</f>
        <v/>
      </c>
      <c r="C268">
        <f>IF(ISSUES!$Q$169="X",ISSUES!O169,"")</f>
        <v/>
      </c>
      <c r="D268">
        <f>IF(ISSUES!$Q$169="X",ISSUES!P169,"")</f>
        <v/>
      </c>
      <c r="E268">
        <f>IF(ISSUES!$Q$169="X",ISSUES!C169,"")</f>
        <v/>
      </c>
      <c r="F268">
        <f>IF(ISSUES!$Q$169="X",ISSUES!F169,"")</f>
        <v/>
      </c>
      <c r="G268">
        <f>IF(ISSUES!$Q$169="X",ISSUES!H169,"")</f>
        <v/>
      </c>
      <c r="H268">
        <f>IF(ISSUES!$Q$169="X","X","")</f>
        <v/>
      </c>
    </row>
    <row r="269" ht="15" customHeight="1" s="130">
      <c r="A269">
        <f>IF(ISSUES!$Q$170="X","ISSUES","")</f>
        <v/>
      </c>
      <c r="B269">
        <f>IF(ISSUES!$Q$170="X",ISSUES!A170,"")</f>
        <v/>
      </c>
      <c r="C269">
        <f>IF(ISSUES!$Q$170="X",ISSUES!O170,"")</f>
        <v/>
      </c>
      <c r="D269">
        <f>IF(ISSUES!$Q$170="X",ISSUES!P170,"")</f>
        <v/>
      </c>
      <c r="E269">
        <f>IF(ISSUES!$Q$170="X",ISSUES!C170,"")</f>
        <v/>
      </c>
      <c r="F269">
        <f>IF(ISSUES!$Q$170="X",ISSUES!F170,"")</f>
        <v/>
      </c>
      <c r="G269">
        <f>IF(ISSUES!$Q$170="X",ISSUES!H170,"")</f>
        <v/>
      </c>
      <c r="H269">
        <f>IF(ISSUES!$Q$170="X","X","")</f>
        <v/>
      </c>
    </row>
    <row r="270" ht="15" customHeight="1" s="130">
      <c r="A270">
        <f>IF(ISSUES!$Q$171="X","ISSUES","")</f>
        <v/>
      </c>
      <c r="B270">
        <f>IF(ISSUES!$Q$171="X",ISSUES!A171,"")</f>
        <v/>
      </c>
      <c r="C270">
        <f>IF(ISSUES!$Q$171="X",ISSUES!O171,"")</f>
        <v/>
      </c>
      <c r="D270">
        <f>IF(ISSUES!$Q$171="X",ISSUES!P171,"")</f>
        <v/>
      </c>
      <c r="E270">
        <f>IF(ISSUES!$Q$171="X",ISSUES!C171,"")</f>
        <v/>
      </c>
      <c r="F270">
        <f>IF(ISSUES!$Q$171="X",ISSUES!F171,"")</f>
        <v/>
      </c>
      <c r="G270">
        <f>IF(ISSUES!$Q$171="X",ISSUES!H171,"")</f>
        <v/>
      </c>
      <c r="H270">
        <f>IF(ISSUES!$Q$171="X","X","")</f>
        <v/>
      </c>
    </row>
    <row r="271" ht="15" customHeight="1" s="130">
      <c r="A271">
        <f>IF(ISSUES!$Q$172="X","ISSUES","")</f>
        <v/>
      </c>
      <c r="B271">
        <f>IF(ISSUES!$Q$172="X",ISSUES!A172,"")</f>
        <v/>
      </c>
      <c r="C271">
        <f>IF(ISSUES!$Q$172="X",ISSUES!O172,"")</f>
        <v/>
      </c>
      <c r="D271">
        <f>IF(ISSUES!$Q$172="X",ISSUES!P172,"")</f>
        <v/>
      </c>
      <c r="E271">
        <f>IF(ISSUES!$Q$172="X",ISSUES!C172,"")</f>
        <v/>
      </c>
      <c r="F271">
        <f>IF(ISSUES!$Q$172="X",ISSUES!F172,"")</f>
        <v/>
      </c>
      <c r="G271">
        <f>IF(ISSUES!$Q$172="X",ISSUES!H172,"")</f>
        <v/>
      </c>
      <c r="H271">
        <f>IF(ISSUES!$Q$172="X","X","")</f>
        <v/>
      </c>
    </row>
    <row r="272" ht="15" customHeight="1" s="130">
      <c r="A272">
        <f>IF(ISSUES!$Q$173="X","ISSUES","")</f>
        <v/>
      </c>
      <c r="B272">
        <f>IF(ISSUES!$Q$173="X",ISSUES!A173,"")</f>
        <v/>
      </c>
      <c r="C272">
        <f>IF(ISSUES!$Q$173="X",ISSUES!O173,"")</f>
        <v/>
      </c>
      <c r="D272">
        <f>IF(ISSUES!$Q$173="X",ISSUES!P173,"")</f>
        <v/>
      </c>
      <c r="E272">
        <f>IF(ISSUES!$Q$173="X",ISSUES!C173,"")</f>
        <v/>
      </c>
      <c r="F272">
        <f>IF(ISSUES!$Q$173="X",ISSUES!F173,"")</f>
        <v/>
      </c>
      <c r="G272">
        <f>IF(ISSUES!$Q$173="X",ISSUES!H173,"")</f>
        <v/>
      </c>
      <c r="H272">
        <f>IF(ISSUES!$Q$173="X","X","")</f>
        <v/>
      </c>
    </row>
    <row r="273" ht="15" customHeight="1" s="130">
      <c r="A273">
        <f>IF(ISSUES!$Q$174="X","ISSUES","")</f>
        <v/>
      </c>
      <c r="B273">
        <f>IF(ISSUES!$Q$174="X",ISSUES!A174,"")</f>
        <v/>
      </c>
      <c r="C273">
        <f>IF(ISSUES!$Q$174="X",ISSUES!O174,"")</f>
        <v/>
      </c>
      <c r="D273">
        <f>IF(ISSUES!$Q$174="X",ISSUES!P174,"")</f>
        <v/>
      </c>
      <c r="E273">
        <f>IF(ISSUES!$Q$174="X",ISSUES!C174,"")</f>
        <v/>
      </c>
      <c r="F273">
        <f>IF(ISSUES!$Q$174="X",ISSUES!F174,"")</f>
        <v/>
      </c>
      <c r="G273">
        <f>IF(ISSUES!$Q$174="X",ISSUES!H174,"")</f>
        <v/>
      </c>
      <c r="H273">
        <f>IF(ISSUES!$Q$174="X","X","")</f>
        <v/>
      </c>
    </row>
    <row r="274" ht="15" customHeight="1" s="130">
      <c r="A274">
        <f>IF(ISSUES!$Q$175="X","ISSUES","")</f>
        <v/>
      </c>
      <c r="B274">
        <f>IF(ISSUES!$Q$175="X",ISSUES!A175,"")</f>
        <v/>
      </c>
      <c r="C274">
        <f>IF(ISSUES!$Q$175="X",ISSUES!O175,"")</f>
        <v/>
      </c>
      <c r="D274">
        <f>IF(ISSUES!$Q$175="X",ISSUES!P175,"")</f>
        <v/>
      </c>
      <c r="E274">
        <f>IF(ISSUES!$Q$175="X",ISSUES!C175,"")</f>
        <v/>
      </c>
      <c r="F274">
        <f>IF(ISSUES!$Q$175="X",ISSUES!F175,"")</f>
        <v/>
      </c>
      <c r="G274">
        <f>IF(ISSUES!$Q$175="X",ISSUES!H175,"")</f>
        <v/>
      </c>
      <c r="H274">
        <f>IF(ISSUES!$Q$175="X","X","")</f>
        <v/>
      </c>
    </row>
    <row r="275" ht="15" customHeight="1" s="130">
      <c r="A275">
        <f>IF(ISSUES!$Q$176="X","ISSUES","")</f>
        <v/>
      </c>
      <c r="B275">
        <f>IF(ISSUES!$Q$176="X",ISSUES!A176,"")</f>
        <v/>
      </c>
      <c r="C275">
        <f>IF(ISSUES!$Q$176="X",ISSUES!O176,"")</f>
        <v/>
      </c>
      <c r="D275">
        <f>IF(ISSUES!$Q$176="X",ISSUES!P176,"")</f>
        <v/>
      </c>
      <c r="E275">
        <f>IF(ISSUES!$Q$176="X",ISSUES!C176,"")</f>
        <v/>
      </c>
      <c r="F275">
        <f>IF(ISSUES!$Q$176="X",ISSUES!F176,"")</f>
        <v/>
      </c>
      <c r="G275">
        <f>IF(ISSUES!$Q$176="X",ISSUES!H176,"")</f>
        <v/>
      </c>
      <c r="H275">
        <f>IF(ISSUES!$Q$176="X","X","")</f>
        <v/>
      </c>
    </row>
    <row r="276" ht="15" customHeight="1" s="130">
      <c r="A276">
        <f>IF(ISSUES!$Q$177="X","ISSUES","")</f>
        <v/>
      </c>
      <c r="B276">
        <f>IF(ISSUES!$Q$177="X",ISSUES!A177,"")</f>
        <v/>
      </c>
      <c r="C276">
        <f>IF(ISSUES!$Q$177="X",ISSUES!O177,"")</f>
        <v/>
      </c>
      <c r="D276">
        <f>IF(ISSUES!$Q$177="X",ISSUES!P177,"")</f>
        <v/>
      </c>
      <c r="E276">
        <f>IF(ISSUES!$Q$177="X",ISSUES!C177,"")</f>
        <v/>
      </c>
      <c r="F276">
        <f>IF(ISSUES!$Q$177="X",ISSUES!F177,"")</f>
        <v/>
      </c>
      <c r="G276">
        <f>IF(ISSUES!$Q$177="X",ISSUES!H177,"")</f>
        <v/>
      </c>
      <c r="H276">
        <f>IF(ISSUES!$Q$177="X","X","")</f>
        <v/>
      </c>
    </row>
    <row r="277" ht="15" customHeight="1" s="130">
      <c r="A277">
        <f>IF(ISSUES!$Q$178="X","ISSUES","")</f>
        <v/>
      </c>
      <c r="B277">
        <f>IF(ISSUES!$Q$178="X",ISSUES!A178,"")</f>
        <v/>
      </c>
      <c r="C277">
        <f>IF(ISSUES!$Q$178="X",ISSUES!O178,"")</f>
        <v/>
      </c>
      <c r="D277">
        <f>IF(ISSUES!$Q$178="X",ISSUES!P178,"")</f>
        <v/>
      </c>
      <c r="E277">
        <f>IF(ISSUES!$Q$178="X",ISSUES!C178,"")</f>
        <v/>
      </c>
      <c r="F277">
        <f>IF(ISSUES!$Q$178="X",ISSUES!F178,"")</f>
        <v/>
      </c>
      <c r="G277">
        <f>IF(ISSUES!$Q$178="X",ISSUES!H178,"")</f>
        <v/>
      </c>
      <c r="H277">
        <f>IF(ISSUES!$Q$178="X","X","")</f>
        <v/>
      </c>
    </row>
    <row r="278" ht="15" customHeight="1" s="130">
      <c r="A278">
        <f>IF(ISSUES!$Q$179="X","ISSUES","")</f>
        <v/>
      </c>
      <c r="B278">
        <f>IF(ISSUES!$Q$179="X",ISSUES!A179,"")</f>
        <v/>
      </c>
      <c r="C278">
        <f>IF(ISSUES!$Q$179="X",ISSUES!O179,"")</f>
        <v/>
      </c>
      <c r="D278">
        <f>IF(ISSUES!$Q$179="X",ISSUES!P179,"")</f>
        <v/>
      </c>
      <c r="E278">
        <f>IF(ISSUES!$Q$179="X",ISSUES!C179,"")</f>
        <v/>
      </c>
      <c r="F278">
        <f>IF(ISSUES!$Q$179="X",ISSUES!F179,"")</f>
        <v/>
      </c>
      <c r="G278">
        <f>IF(ISSUES!$Q$179="X",ISSUES!H179,"")</f>
        <v/>
      </c>
      <c r="H278">
        <f>IF(ISSUES!$Q$179="X","X","")</f>
        <v/>
      </c>
    </row>
    <row r="279" ht="15" customHeight="1" s="130">
      <c r="A279">
        <f>IF(ISSUES!$Q$180="X","ISSUES","")</f>
        <v/>
      </c>
      <c r="B279">
        <f>IF(ISSUES!$Q$180="X",ISSUES!A180,"")</f>
        <v/>
      </c>
      <c r="C279">
        <f>IF(ISSUES!$Q$180="X",ISSUES!O180,"")</f>
        <v/>
      </c>
      <c r="D279">
        <f>IF(ISSUES!$Q$180="X",ISSUES!P180,"")</f>
        <v/>
      </c>
      <c r="E279">
        <f>IF(ISSUES!$Q$180="X",ISSUES!C180,"")</f>
        <v/>
      </c>
      <c r="F279">
        <f>IF(ISSUES!$Q$180="X",ISSUES!F180,"")</f>
        <v/>
      </c>
      <c r="G279">
        <f>IF(ISSUES!$Q$180="X",ISSUES!H180,"")</f>
        <v/>
      </c>
      <c r="H279">
        <f>IF(ISSUES!$Q$180="X","X","")</f>
        <v/>
      </c>
    </row>
    <row r="280" ht="15" customHeight="1" s="130">
      <c r="A280">
        <f>IF(ISSUES!$Q$181="X","ISSUES","")</f>
        <v/>
      </c>
      <c r="B280">
        <f>IF(ISSUES!$Q$181="X",ISSUES!A181,"")</f>
        <v/>
      </c>
      <c r="C280">
        <f>IF(ISSUES!$Q$181="X",ISSUES!O181,"")</f>
        <v/>
      </c>
      <c r="D280">
        <f>IF(ISSUES!$Q$181="X",ISSUES!P181,"")</f>
        <v/>
      </c>
      <c r="E280">
        <f>IF(ISSUES!$Q$181="X",ISSUES!C181,"")</f>
        <v/>
      </c>
      <c r="F280">
        <f>IF(ISSUES!$Q$181="X",ISSUES!F181,"")</f>
        <v/>
      </c>
      <c r="G280">
        <f>IF(ISSUES!$Q$181="X",ISSUES!H181,"")</f>
        <v/>
      </c>
      <c r="H280">
        <f>IF(ISSUES!$Q$181="X","X","")</f>
        <v/>
      </c>
    </row>
    <row r="281" ht="15" customHeight="1" s="130">
      <c r="A281">
        <f>IF(ISSUES!$Q$182="X","ISSUES","")</f>
        <v/>
      </c>
      <c r="B281">
        <f>IF(ISSUES!$Q$182="X",ISSUES!A182,"")</f>
        <v/>
      </c>
      <c r="C281">
        <f>IF(ISSUES!$Q$182="X",ISSUES!O182,"")</f>
        <v/>
      </c>
      <c r="D281">
        <f>IF(ISSUES!$Q$182="X",ISSUES!P182,"")</f>
        <v/>
      </c>
      <c r="E281">
        <f>IF(ISSUES!$Q$182="X",ISSUES!C182,"")</f>
        <v/>
      </c>
      <c r="F281">
        <f>IF(ISSUES!$Q$182="X",ISSUES!F182,"")</f>
        <v/>
      </c>
      <c r="G281">
        <f>IF(ISSUES!$Q$182="X",ISSUES!H182,"")</f>
        <v/>
      </c>
      <c r="H281">
        <f>IF(ISSUES!$Q$182="X","X","")</f>
        <v/>
      </c>
    </row>
    <row r="282" ht="15" customHeight="1" s="130">
      <c r="A282">
        <f>IF(ISSUES!$Q$183="X","ISSUES","")</f>
        <v/>
      </c>
      <c r="B282">
        <f>IF(ISSUES!$Q$183="X",ISSUES!A183,"")</f>
        <v/>
      </c>
      <c r="C282">
        <f>IF(ISSUES!$Q$183="X",ISSUES!O183,"")</f>
        <v/>
      </c>
      <c r="D282">
        <f>IF(ISSUES!$Q$183="X",ISSUES!P183,"")</f>
        <v/>
      </c>
      <c r="E282">
        <f>IF(ISSUES!$Q$183="X",ISSUES!C183,"")</f>
        <v/>
      </c>
      <c r="F282">
        <f>IF(ISSUES!$Q$183="X",ISSUES!F183,"")</f>
        <v/>
      </c>
      <c r="G282">
        <f>IF(ISSUES!$Q$183="X",ISSUES!H183,"")</f>
        <v/>
      </c>
      <c r="H282">
        <f>IF(ISSUES!$Q$183="X","X","")</f>
        <v/>
      </c>
    </row>
    <row r="283" ht="15" customHeight="1" s="130">
      <c r="A283">
        <f>IF(ISSUES!$Q$184="X","ISSUES","")</f>
        <v/>
      </c>
      <c r="B283">
        <f>IF(ISSUES!$Q$184="X",ISSUES!A184,"")</f>
        <v/>
      </c>
      <c r="C283">
        <f>IF(ISSUES!$Q$184="X",ISSUES!O184,"")</f>
        <v/>
      </c>
      <c r="D283">
        <f>IF(ISSUES!$Q$184="X",ISSUES!P184,"")</f>
        <v/>
      </c>
      <c r="E283">
        <f>IF(ISSUES!$Q$184="X",ISSUES!C184,"")</f>
        <v/>
      </c>
      <c r="F283">
        <f>IF(ISSUES!$Q$184="X",ISSUES!F184,"")</f>
        <v/>
      </c>
      <c r="G283">
        <f>IF(ISSUES!$Q$184="X",ISSUES!H184,"")</f>
        <v/>
      </c>
      <c r="H283">
        <f>IF(ISSUES!$Q$184="X","X","")</f>
        <v/>
      </c>
    </row>
    <row r="284" ht="15" customHeight="1" s="130">
      <c r="A284">
        <f>IF(ISSUES!$Q$185="X","ISSUES","")</f>
        <v/>
      </c>
      <c r="B284">
        <f>IF(ISSUES!$Q$185="X",ISSUES!A185,"")</f>
        <v/>
      </c>
      <c r="C284">
        <f>IF(ISSUES!$Q$185="X",ISSUES!O185,"")</f>
        <v/>
      </c>
      <c r="D284">
        <f>IF(ISSUES!$Q$185="X",ISSUES!P185,"")</f>
        <v/>
      </c>
      <c r="E284">
        <f>IF(ISSUES!$Q$185="X",ISSUES!C185,"")</f>
        <v/>
      </c>
      <c r="F284">
        <f>IF(ISSUES!$Q$185="X",ISSUES!F185,"")</f>
        <v/>
      </c>
      <c r="G284">
        <f>IF(ISSUES!$Q$185="X",ISSUES!H185,"")</f>
        <v/>
      </c>
      <c r="H284">
        <f>IF(ISSUES!$Q$185="X","X","")</f>
        <v/>
      </c>
    </row>
    <row r="285" ht="15" customHeight="1" s="130">
      <c r="A285">
        <f>IF(ISSUES!$Q$186="X","ISSUES","")</f>
        <v/>
      </c>
      <c r="B285">
        <f>IF(ISSUES!$Q$186="X",ISSUES!A186,"")</f>
        <v/>
      </c>
      <c r="C285">
        <f>IF(ISSUES!$Q$186="X",ISSUES!O186,"")</f>
        <v/>
      </c>
      <c r="D285">
        <f>IF(ISSUES!$Q$186="X",ISSUES!P186,"")</f>
        <v/>
      </c>
      <c r="E285">
        <f>IF(ISSUES!$Q$186="X",ISSUES!C186,"")</f>
        <v/>
      </c>
      <c r="F285">
        <f>IF(ISSUES!$Q$186="X",ISSUES!F186,"")</f>
        <v/>
      </c>
      <c r="G285">
        <f>IF(ISSUES!$Q$186="X",ISSUES!H186,"")</f>
        <v/>
      </c>
      <c r="H285">
        <f>IF(ISSUES!$Q$186="X","X","")</f>
        <v/>
      </c>
    </row>
    <row r="286" ht="15" customHeight="1" s="130">
      <c r="A286">
        <f>IF(ISSUES!$Q$187="X","ISSUES","")</f>
        <v/>
      </c>
      <c r="B286">
        <f>IF(ISSUES!$Q$187="X",ISSUES!A187,"")</f>
        <v/>
      </c>
      <c r="C286">
        <f>IF(ISSUES!$Q$187="X",ISSUES!O187,"")</f>
        <v/>
      </c>
      <c r="D286">
        <f>IF(ISSUES!$Q$187="X",ISSUES!P187,"")</f>
        <v/>
      </c>
      <c r="E286">
        <f>IF(ISSUES!$Q$187="X",ISSUES!C187,"")</f>
        <v/>
      </c>
      <c r="F286">
        <f>IF(ISSUES!$Q$187="X",ISSUES!F187,"")</f>
        <v/>
      </c>
      <c r="G286">
        <f>IF(ISSUES!$Q$187="X",ISSUES!H187,"")</f>
        <v/>
      </c>
      <c r="H286">
        <f>IF(ISSUES!$Q$187="X","X","")</f>
        <v/>
      </c>
    </row>
    <row r="287" ht="15" customHeight="1" s="130">
      <c r="A287">
        <f>IF(ISSUES!$Q$188="X","ISSUES","")</f>
        <v/>
      </c>
      <c r="B287">
        <f>IF(ISSUES!$Q$188="X",ISSUES!A188,"")</f>
        <v/>
      </c>
      <c r="C287">
        <f>IF(ISSUES!$Q$188="X",ISSUES!O188,"")</f>
        <v/>
      </c>
      <c r="D287">
        <f>IF(ISSUES!$Q$188="X",ISSUES!P188,"")</f>
        <v/>
      </c>
      <c r="E287">
        <f>IF(ISSUES!$Q$188="X",ISSUES!C188,"")</f>
        <v/>
      </c>
      <c r="F287">
        <f>IF(ISSUES!$Q$188="X",ISSUES!F188,"")</f>
        <v/>
      </c>
      <c r="G287">
        <f>IF(ISSUES!$Q$188="X",ISSUES!H188,"")</f>
        <v/>
      </c>
      <c r="H287">
        <f>IF(ISSUES!$Q$188="X","X","")</f>
        <v/>
      </c>
    </row>
    <row r="288" ht="15" customHeight="1" s="130">
      <c r="A288">
        <f>IF(ISSUES!$Q$189="X","ISSUES","")</f>
        <v/>
      </c>
      <c r="B288">
        <f>IF(ISSUES!$Q$189="X",ISSUES!A189,"")</f>
        <v/>
      </c>
      <c r="C288">
        <f>IF(ISSUES!$Q$189="X",ISSUES!O189,"")</f>
        <v/>
      </c>
      <c r="D288">
        <f>IF(ISSUES!$Q$189="X",ISSUES!P189,"")</f>
        <v/>
      </c>
      <c r="E288">
        <f>IF(ISSUES!$Q$189="X",ISSUES!C189,"")</f>
        <v/>
      </c>
      <c r="F288">
        <f>IF(ISSUES!$Q$189="X",ISSUES!F189,"")</f>
        <v/>
      </c>
      <c r="G288">
        <f>IF(ISSUES!$Q$189="X",ISSUES!H189,"")</f>
        <v/>
      </c>
      <c r="H288">
        <f>IF(ISSUES!$Q$189="X","X","")</f>
        <v/>
      </c>
    </row>
    <row r="289" ht="15" customHeight="1" s="130">
      <c r="A289">
        <f>IF(ISSUES!$Q$190="X","ISSUES","")</f>
        <v/>
      </c>
      <c r="B289">
        <f>IF(ISSUES!$Q$190="X",ISSUES!A190,"")</f>
        <v/>
      </c>
      <c r="C289">
        <f>IF(ISSUES!$Q$190="X",ISSUES!O190,"")</f>
        <v/>
      </c>
      <c r="D289">
        <f>IF(ISSUES!$Q$190="X",ISSUES!P190,"")</f>
        <v/>
      </c>
      <c r="E289">
        <f>IF(ISSUES!$Q$190="X",ISSUES!C190,"")</f>
        <v/>
      </c>
      <c r="F289">
        <f>IF(ISSUES!$Q$190="X",ISSUES!F190,"")</f>
        <v/>
      </c>
      <c r="G289">
        <f>IF(ISSUES!$Q$190="X",ISSUES!H190,"")</f>
        <v/>
      </c>
      <c r="H289">
        <f>IF(ISSUES!$Q$190="X","X","")</f>
        <v/>
      </c>
    </row>
    <row r="290" ht="15" customHeight="1" s="130">
      <c r="A290">
        <f>IF(ISSUES!$Q$191="X","ISSUES","")</f>
        <v/>
      </c>
      <c r="B290">
        <f>IF(ISSUES!$Q$191="X",ISSUES!A191,"")</f>
        <v/>
      </c>
      <c r="C290">
        <f>IF(ISSUES!$Q$191="X",ISSUES!O191,"")</f>
        <v/>
      </c>
      <c r="D290">
        <f>IF(ISSUES!$Q$191="X",ISSUES!P191,"")</f>
        <v/>
      </c>
      <c r="E290">
        <f>IF(ISSUES!$Q$191="X",ISSUES!C191,"")</f>
        <v/>
      </c>
      <c r="F290">
        <f>IF(ISSUES!$Q$191="X",ISSUES!F191,"")</f>
        <v/>
      </c>
      <c r="G290">
        <f>IF(ISSUES!$Q$191="X",ISSUES!H191,"")</f>
        <v/>
      </c>
      <c r="H290">
        <f>IF(ISSUES!$Q$191="X","X","")</f>
        <v/>
      </c>
    </row>
    <row r="291" ht="15" customHeight="1" s="130">
      <c r="A291">
        <f>IF(ISSUES!$Q$192="X","ISSUES","")</f>
        <v/>
      </c>
      <c r="B291">
        <f>IF(ISSUES!$Q$192="X",ISSUES!A192,"")</f>
        <v/>
      </c>
      <c r="C291">
        <f>IF(ISSUES!$Q$192="X",ISSUES!O192,"")</f>
        <v/>
      </c>
      <c r="D291">
        <f>IF(ISSUES!$Q$192="X",ISSUES!P192,"")</f>
        <v/>
      </c>
      <c r="E291">
        <f>IF(ISSUES!$Q$192="X",ISSUES!C192,"")</f>
        <v/>
      </c>
      <c r="F291">
        <f>IF(ISSUES!$Q$192="X",ISSUES!F192,"")</f>
        <v/>
      </c>
      <c r="G291">
        <f>IF(ISSUES!$Q$192="X",ISSUES!H192,"")</f>
        <v/>
      </c>
      <c r="H291">
        <f>IF(ISSUES!$Q$192="X","X","")</f>
        <v/>
      </c>
    </row>
    <row r="292" ht="15" customHeight="1" s="130">
      <c r="A292">
        <f>IF(ISSUES!$Q$193="X","ISSUES","")</f>
        <v/>
      </c>
      <c r="B292">
        <f>IF(ISSUES!$Q$193="X",ISSUES!A193,"")</f>
        <v/>
      </c>
      <c r="C292">
        <f>IF(ISSUES!$Q$193="X",ISSUES!O193,"")</f>
        <v/>
      </c>
      <c r="D292">
        <f>IF(ISSUES!$Q$193="X",ISSUES!P193,"")</f>
        <v/>
      </c>
      <c r="E292">
        <f>IF(ISSUES!$Q$193="X",ISSUES!C193,"")</f>
        <v/>
      </c>
      <c r="F292">
        <f>IF(ISSUES!$Q$193="X",ISSUES!F193,"")</f>
        <v/>
      </c>
      <c r="G292">
        <f>IF(ISSUES!$Q$193="X",ISSUES!H193,"")</f>
        <v/>
      </c>
      <c r="H292">
        <f>IF(ISSUES!$Q$193="X","X","")</f>
        <v/>
      </c>
    </row>
    <row r="293" ht="15" customHeight="1" s="130">
      <c r="A293">
        <f>IF(ISSUES!$Q$194="X","ISSUES","")</f>
        <v/>
      </c>
      <c r="B293">
        <f>IF(ISSUES!$Q$194="X",ISSUES!A194,"")</f>
        <v/>
      </c>
      <c r="C293">
        <f>IF(ISSUES!$Q$194="X",ISSUES!O194,"")</f>
        <v/>
      </c>
      <c r="D293">
        <f>IF(ISSUES!$Q$194="X",ISSUES!P194,"")</f>
        <v/>
      </c>
      <c r="E293">
        <f>IF(ISSUES!$Q$194="X",ISSUES!C194,"")</f>
        <v/>
      </c>
      <c r="F293">
        <f>IF(ISSUES!$Q$194="X",ISSUES!F194,"")</f>
        <v/>
      </c>
      <c r="G293">
        <f>IF(ISSUES!$Q$194="X",ISSUES!H194,"")</f>
        <v/>
      </c>
      <c r="H293">
        <f>IF(ISSUES!$Q$194="X","X","")</f>
        <v/>
      </c>
    </row>
    <row r="294" ht="15" customHeight="1" s="130">
      <c r="A294">
        <f>IF(ISSUES!$Q$195="X","ISSUES","")</f>
        <v/>
      </c>
      <c r="B294">
        <f>IF(ISSUES!$Q$195="X",ISSUES!A195,"")</f>
        <v/>
      </c>
      <c r="C294">
        <f>IF(ISSUES!$Q$195="X",ISSUES!O195,"")</f>
        <v/>
      </c>
      <c r="D294">
        <f>IF(ISSUES!$Q$195="X",ISSUES!P195,"")</f>
        <v/>
      </c>
      <c r="E294">
        <f>IF(ISSUES!$Q$195="X",ISSUES!C195,"")</f>
        <v/>
      </c>
      <c r="F294">
        <f>IF(ISSUES!$Q$195="X",ISSUES!F195,"")</f>
        <v/>
      </c>
      <c r="G294">
        <f>IF(ISSUES!$Q$195="X",ISSUES!H195,"")</f>
        <v/>
      </c>
      <c r="H294">
        <f>IF(ISSUES!$Q$195="X","X","")</f>
        <v/>
      </c>
    </row>
    <row r="295" ht="15" customHeight="1" s="130">
      <c r="A295">
        <f>IF(ISSUES!$Q$196="X","ISSUES","")</f>
        <v/>
      </c>
      <c r="B295">
        <f>IF(ISSUES!$Q$196="X",ISSUES!A196,"")</f>
        <v/>
      </c>
      <c r="C295">
        <f>IF(ISSUES!$Q$196="X",ISSUES!O196,"")</f>
        <v/>
      </c>
      <c r="D295">
        <f>IF(ISSUES!$Q$196="X",ISSUES!P196,"")</f>
        <v/>
      </c>
      <c r="E295">
        <f>IF(ISSUES!$Q$196="X",ISSUES!C196,"")</f>
        <v/>
      </c>
      <c r="F295">
        <f>IF(ISSUES!$Q$196="X",ISSUES!F196,"")</f>
        <v/>
      </c>
      <c r="G295">
        <f>IF(ISSUES!$Q$196="X",ISSUES!H196,"")</f>
        <v/>
      </c>
      <c r="H295">
        <f>IF(ISSUES!$Q$196="X","X","")</f>
        <v/>
      </c>
    </row>
    <row r="296" ht="15" customHeight="1" s="130">
      <c r="A296">
        <f>IF(ISSUES!$Q$197="X","ISSUES","")</f>
        <v/>
      </c>
      <c r="B296">
        <f>IF(ISSUES!$Q$197="X",ISSUES!A197,"")</f>
        <v/>
      </c>
      <c r="C296">
        <f>IF(ISSUES!$Q$197="X",ISSUES!O197,"")</f>
        <v/>
      </c>
      <c r="D296">
        <f>IF(ISSUES!$Q$197="X",ISSUES!P197,"")</f>
        <v/>
      </c>
      <c r="E296">
        <f>IF(ISSUES!$Q$197="X",ISSUES!C197,"")</f>
        <v/>
      </c>
      <c r="F296">
        <f>IF(ISSUES!$Q$197="X",ISSUES!F197,"")</f>
        <v/>
      </c>
      <c r="G296">
        <f>IF(ISSUES!$Q$197="X",ISSUES!H197,"")</f>
        <v/>
      </c>
      <c r="H296">
        <f>IF(ISSUES!$Q$197="X","X","")</f>
        <v/>
      </c>
    </row>
    <row r="297" ht="15" customHeight="1" s="130">
      <c r="A297">
        <f>IF(ISSUES!$Q$198="X","ISSUES","")</f>
        <v/>
      </c>
      <c r="B297">
        <f>IF(ISSUES!$Q$198="X",ISSUES!A198,"")</f>
        <v/>
      </c>
      <c r="C297">
        <f>IF(ISSUES!$Q$198="X",ISSUES!O198,"")</f>
        <v/>
      </c>
      <c r="D297">
        <f>IF(ISSUES!$Q$198="X",ISSUES!P198,"")</f>
        <v/>
      </c>
      <c r="E297">
        <f>IF(ISSUES!$Q$198="X",ISSUES!C198,"")</f>
        <v/>
      </c>
      <c r="F297">
        <f>IF(ISSUES!$Q$198="X",ISSUES!F198,"")</f>
        <v/>
      </c>
      <c r="G297">
        <f>IF(ISSUES!$Q$198="X",ISSUES!H198,"")</f>
        <v/>
      </c>
      <c r="H297">
        <f>IF(ISSUES!$Q$198="X","X","")</f>
        <v/>
      </c>
    </row>
    <row r="298" ht="15" customHeight="1" s="130">
      <c r="A298">
        <f>IF(ISSUES!$Q$199="X","ISSUES","")</f>
        <v/>
      </c>
      <c r="B298">
        <f>IF(ISSUES!$Q$199="X",ISSUES!A199,"")</f>
        <v/>
      </c>
      <c r="C298">
        <f>IF(ISSUES!$Q$199="X",ISSUES!O199,"")</f>
        <v/>
      </c>
      <c r="D298">
        <f>IF(ISSUES!$Q$199="X",ISSUES!P199,"")</f>
        <v/>
      </c>
      <c r="E298">
        <f>IF(ISSUES!$Q$199="X",ISSUES!C199,"")</f>
        <v/>
      </c>
      <c r="F298">
        <f>IF(ISSUES!$Q$199="X",ISSUES!F199,"")</f>
        <v/>
      </c>
      <c r="G298">
        <f>IF(ISSUES!$Q$199="X",ISSUES!H199,"")</f>
        <v/>
      </c>
      <c r="H298">
        <f>IF(ISSUES!$Q$199="X","X","")</f>
        <v/>
      </c>
    </row>
    <row r="299" ht="15" customHeight="1" s="130">
      <c r="A299">
        <f>IF(ISSUES!$Q$200="X","ISSUES","")</f>
        <v/>
      </c>
      <c r="B299">
        <f>IF(ISSUES!$Q$200="X",ISSUES!A200,"")</f>
        <v/>
      </c>
      <c r="C299">
        <f>IF(ISSUES!$Q$200="X",ISSUES!O200,"")</f>
        <v/>
      </c>
      <c r="D299">
        <f>IF(ISSUES!$Q$200="X",ISSUES!P200,"")</f>
        <v/>
      </c>
      <c r="E299">
        <f>IF(ISSUES!$Q$200="X",ISSUES!C200,"")</f>
        <v/>
      </c>
      <c r="F299">
        <f>IF(ISSUES!$Q$200="X",ISSUES!F200,"")</f>
        <v/>
      </c>
      <c r="G299">
        <f>IF(ISSUES!$Q$200="X",ISSUES!H200,"")</f>
        <v/>
      </c>
      <c r="H299">
        <f>IF(ISSUES!$Q$200="X","X","")</f>
        <v/>
      </c>
    </row>
    <row r="300" ht="15" customHeight="1" s="130">
      <c r="A300">
        <f>IF('RFI REGISTER'!$R$5="X","RFI REGISTER","")</f>
        <v/>
      </c>
      <c r="B300">
        <f>IF('RFI REGISTER'!$R$5="X",'RFI REGISTER'!A5,"")</f>
        <v/>
      </c>
      <c r="C300">
        <f>IF('RFI REGISTER'!$R$5="X",'RFI REGISTER'!F5,"")</f>
        <v/>
      </c>
      <c r="D300">
        <f>IF('RFI REGISTER'!$R$5="X",'RFI REGISTER'!D5,"")</f>
        <v/>
      </c>
      <c r="E300">
        <f>IF('RFI REGISTER'!$R$5="X",'RFI REGISTER'!B5,"")</f>
        <v/>
      </c>
      <c r="F300">
        <f>IF('RFI REGISTER'!$R$5="X",'RFI REGISTER'!H5,"")</f>
        <v/>
      </c>
      <c r="G300">
        <f>IF('RFI REGISTER'!$R$5="X",'RFI REGISTER'!C5,"")</f>
        <v/>
      </c>
      <c r="H300">
        <f>IF('RFI REGISTER'!$R$5="X","X","")</f>
        <v/>
      </c>
    </row>
    <row r="301" ht="15" customHeight="1" s="130">
      <c r="A301">
        <f>IF('RFI REGISTER'!$R$6="X","RFI REGISTER","")</f>
        <v/>
      </c>
      <c r="B301">
        <f>IF('RFI REGISTER'!$R$6="X",'RFI REGISTER'!A6,"")</f>
        <v/>
      </c>
      <c r="C301">
        <f>IF('RFI REGISTER'!$R$6="X",'RFI REGISTER'!F6,"")</f>
        <v/>
      </c>
      <c r="D301">
        <f>IF('RFI REGISTER'!$R$6="X",'RFI REGISTER'!D6,"")</f>
        <v/>
      </c>
      <c r="E301">
        <f>IF('RFI REGISTER'!$R$6="X",'RFI REGISTER'!B6,"")</f>
        <v/>
      </c>
      <c r="F301">
        <f>IF('RFI REGISTER'!$R$6="X",'RFI REGISTER'!H6,"")</f>
        <v/>
      </c>
      <c r="G301">
        <f>IF('RFI REGISTER'!$R$6="X",'RFI REGISTER'!C6,"")</f>
        <v/>
      </c>
      <c r="H301">
        <f>IF('RFI REGISTER'!$R$6="X","X","")</f>
        <v/>
      </c>
    </row>
    <row r="302" ht="15" customHeight="1" s="130">
      <c r="A302">
        <f>IF('RFI REGISTER'!$R$7="X","RFI REGISTER","")</f>
        <v/>
      </c>
      <c r="B302">
        <f>IF('RFI REGISTER'!$R$7="X",'RFI REGISTER'!A7,"")</f>
        <v/>
      </c>
      <c r="C302">
        <f>IF('RFI REGISTER'!$R$7="X",'RFI REGISTER'!F7,"")</f>
        <v/>
      </c>
      <c r="D302">
        <f>IF('RFI REGISTER'!$R$7="X",'RFI REGISTER'!D7,"")</f>
        <v/>
      </c>
      <c r="E302">
        <f>IF('RFI REGISTER'!$R$7="X",'RFI REGISTER'!B7,"")</f>
        <v/>
      </c>
      <c r="F302">
        <f>IF('RFI REGISTER'!$R$7="X",'RFI REGISTER'!H7,"")</f>
        <v/>
      </c>
      <c r="G302">
        <f>IF('RFI REGISTER'!$R$7="X",'RFI REGISTER'!C7,"")</f>
        <v/>
      </c>
      <c r="H302">
        <f>IF('RFI REGISTER'!$R$7="X","X","")</f>
        <v/>
      </c>
    </row>
    <row r="303" ht="15" customHeight="1" s="130">
      <c r="A303">
        <f>IF('RFI REGISTER'!$R$8="X","RFI REGISTER","")</f>
        <v/>
      </c>
      <c r="B303">
        <f>IF('RFI REGISTER'!$R$8="X",'RFI REGISTER'!A8,"")</f>
        <v/>
      </c>
      <c r="C303">
        <f>IF('RFI REGISTER'!$R$8="X",'RFI REGISTER'!F8,"")</f>
        <v/>
      </c>
      <c r="D303">
        <f>IF('RFI REGISTER'!$R$8="X",'RFI REGISTER'!D8,"")</f>
        <v/>
      </c>
      <c r="E303">
        <f>IF('RFI REGISTER'!$R$8="X",'RFI REGISTER'!B8,"")</f>
        <v/>
      </c>
      <c r="F303">
        <f>IF('RFI REGISTER'!$R$8="X",'RFI REGISTER'!H8,"")</f>
        <v/>
      </c>
      <c r="G303">
        <f>IF('RFI REGISTER'!$R$8="X",'RFI REGISTER'!C8,"")</f>
        <v/>
      </c>
      <c r="H303">
        <f>IF('RFI REGISTER'!$R$8="X","X","")</f>
        <v/>
      </c>
    </row>
    <row r="304" ht="15" customHeight="1" s="130">
      <c r="A304">
        <f>IF('RFI REGISTER'!$R$9="X","RFI REGISTER","")</f>
        <v/>
      </c>
      <c r="B304">
        <f>IF('RFI REGISTER'!$R$9="X",'RFI REGISTER'!A9,"")</f>
        <v/>
      </c>
      <c r="C304">
        <f>IF('RFI REGISTER'!$R$9="X",'RFI REGISTER'!F9,"")</f>
        <v/>
      </c>
      <c r="D304">
        <f>IF('RFI REGISTER'!$R$9="X",'RFI REGISTER'!D9,"")</f>
        <v/>
      </c>
      <c r="E304">
        <f>IF('RFI REGISTER'!$R$9="X",'RFI REGISTER'!B9,"")</f>
        <v/>
      </c>
      <c r="F304">
        <f>IF('RFI REGISTER'!$R$9="X",'RFI REGISTER'!H9,"")</f>
        <v/>
      </c>
      <c r="G304">
        <f>IF('RFI REGISTER'!$R$9="X",'RFI REGISTER'!C9,"")</f>
        <v/>
      </c>
      <c r="H304">
        <f>IF('RFI REGISTER'!$R$9="X","X","")</f>
        <v/>
      </c>
    </row>
    <row r="305" ht="15" customHeight="1" s="130">
      <c r="A305">
        <f>IF('RFI REGISTER'!$R$10="X","RFI REGISTER","")</f>
        <v/>
      </c>
      <c r="B305">
        <f>IF('RFI REGISTER'!$R$10="X",'RFI REGISTER'!A10,"")</f>
        <v/>
      </c>
      <c r="C305">
        <f>IF('RFI REGISTER'!$R$10="X",'RFI REGISTER'!F10,"")</f>
        <v/>
      </c>
      <c r="D305">
        <f>IF('RFI REGISTER'!$R$10="X",'RFI REGISTER'!D10,"")</f>
        <v/>
      </c>
      <c r="E305">
        <f>IF('RFI REGISTER'!$R$10="X",'RFI REGISTER'!B10,"")</f>
        <v/>
      </c>
      <c r="F305">
        <f>IF('RFI REGISTER'!$R$10="X",'RFI REGISTER'!H10,"")</f>
        <v/>
      </c>
      <c r="G305">
        <f>IF('RFI REGISTER'!$R$10="X",'RFI REGISTER'!C10,"")</f>
        <v/>
      </c>
      <c r="H305">
        <f>IF('RFI REGISTER'!$R$10="X","X","")</f>
        <v/>
      </c>
    </row>
    <row r="306" ht="15" customHeight="1" s="130">
      <c r="A306">
        <f>IF('RFI REGISTER'!$R$11="X","RFI REGISTER","")</f>
        <v/>
      </c>
      <c r="B306">
        <f>IF('RFI REGISTER'!$R$11="X",'RFI REGISTER'!A11,"")</f>
        <v/>
      </c>
      <c r="C306">
        <f>IF('RFI REGISTER'!$R$11="X",'RFI REGISTER'!F11,"")</f>
        <v/>
      </c>
      <c r="D306">
        <f>IF('RFI REGISTER'!$R$11="X",'RFI REGISTER'!D11,"")</f>
        <v/>
      </c>
      <c r="E306">
        <f>IF('RFI REGISTER'!$R$11="X",'RFI REGISTER'!B11,"")</f>
        <v/>
      </c>
      <c r="F306">
        <f>IF('RFI REGISTER'!$R$11="X",'RFI REGISTER'!H11,"")</f>
        <v/>
      </c>
      <c r="G306">
        <f>IF('RFI REGISTER'!$R$11="X",'RFI REGISTER'!C11,"")</f>
        <v/>
      </c>
      <c r="H306">
        <f>IF('RFI REGISTER'!$R$11="X","X","")</f>
        <v/>
      </c>
    </row>
    <row r="307" ht="15" customHeight="1" s="130">
      <c r="A307">
        <f>IF('RFI REGISTER'!$R$12="X","RFI REGISTER","")</f>
        <v/>
      </c>
      <c r="B307">
        <f>IF('RFI REGISTER'!$R$12="X",'RFI REGISTER'!A12,"")</f>
        <v/>
      </c>
      <c r="C307">
        <f>IF('RFI REGISTER'!$R$12="X",'RFI REGISTER'!F12,"")</f>
        <v/>
      </c>
      <c r="D307">
        <f>IF('RFI REGISTER'!$R$12="X",'RFI REGISTER'!D12,"")</f>
        <v/>
      </c>
      <c r="E307">
        <f>IF('RFI REGISTER'!$R$12="X",'RFI REGISTER'!B12,"")</f>
        <v/>
      </c>
      <c r="F307">
        <f>IF('RFI REGISTER'!$R$12="X",'RFI REGISTER'!H12,"")</f>
        <v/>
      </c>
      <c r="G307">
        <f>IF('RFI REGISTER'!$R$12="X",'RFI REGISTER'!C12,"")</f>
        <v/>
      </c>
      <c r="H307">
        <f>IF('RFI REGISTER'!$R$12="X","X","")</f>
        <v/>
      </c>
    </row>
    <row r="308" ht="15" customHeight="1" s="130">
      <c r="A308">
        <f>IF('RFI REGISTER'!$R$13="X","RFI REGISTER","")</f>
        <v/>
      </c>
      <c r="B308">
        <f>IF('RFI REGISTER'!$R$13="X",'RFI REGISTER'!A13,"")</f>
        <v/>
      </c>
      <c r="C308">
        <f>IF('RFI REGISTER'!$R$13="X",'RFI REGISTER'!F13,"")</f>
        <v/>
      </c>
      <c r="D308">
        <f>IF('RFI REGISTER'!$R$13="X",'RFI REGISTER'!D13,"")</f>
        <v/>
      </c>
      <c r="E308">
        <f>IF('RFI REGISTER'!$R$13="X",'RFI REGISTER'!B13,"")</f>
        <v/>
      </c>
      <c r="F308">
        <f>IF('RFI REGISTER'!$R$13="X",'RFI REGISTER'!H13,"")</f>
        <v/>
      </c>
      <c r="G308">
        <f>IF('RFI REGISTER'!$R$13="X",'RFI REGISTER'!C13,"")</f>
        <v/>
      </c>
      <c r="H308">
        <f>IF('RFI REGISTER'!$R$13="X","X","")</f>
        <v/>
      </c>
    </row>
    <row r="309" ht="15" customHeight="1" s="130">
      <c r="A309">
        <f>IF('RFI REGISTER'!$R$14="X","RFI REGISTER","")</f>
        <v/>
      </c>
      <c r="B309">
        <f>IF('RFI REGISTER'!$R$14="X",'RFI REGISTER'!A14,"")</f>
        <v/>
      </c>
      <c r="C309">
        <f>IF('RFI REGISTER'!$R$14="X",'RFI REGISTER'!F14,"")</f>
        <v/>
      </c>
      <c r="D309">
        <f>IF('RFI REGISTER'!$R$14="X",'RFI REGISTER'!D14,"")</f>
        <v/>
      </c>
      <c r="E309">
        <f>IF('RFI REGISTER'!$R$14="X",'RFI REGISTER'!B14,"")</f>
        <v/>
      </c>
      <c r="F309">
        <f>IF('RFI REGISTER'!$R$14="X",'RFI REGISTER'!H14,"")</f>
        <v/>
      </c>
      <c r="G309">
        <f>IF('RFI REGISTER'!$R$14="X",'RFI REGISTER'!C14,"")</f>
        <v/>
      </c>
      <c r="H309">
        <f>IF('RFI REGISTER'!$R$14="X","X","")</f>
        <v/>
      </c>
    </row>
    <row r="310" ht="15" customHeight="1" s="130">
      <c r="A310">
        <f>IF('RFI REGISTER'!$R$15="X","RFI REGISTER","")</f>
        <v/>
      </c>
      <c r="B310">
        <f>IF('RFI REGISTER'!$R$15="X",'RFI REGISTER'!A15,"")</f>
        <v/>
      </c>
      <c r="C310">
        <f>IF('RFI REGISTER'!$R$15="X",'RFI REGISTER'!F15,"")</f>
        <v/>
      </c>
      <c r="D310">
        <f>IF('RFI REGISTER'!$R$15="X",'RFI REGISTER'!D15,"")</f>
        <v/>
      </c>
      <c r="E310">
        <f>IF('RFI REGISTER'!$R$15="X",'RFI REGISTER'!B15,"")</f>
        <v/>
      </c>
      <c r="F310">
        <f>IF('RFI REGISTER'!$R$15="X",'RFI REGISTER'!H15,"")</f>
        <v/>
      </c>
      <c r="G310">
        <f>IF('RFI REGISTER'!$R$15="X",'RFI REGISTER'!C15,"")</f>
        <v/>
      </c>
      <c r="H310">
        <f>IF('RFI REGISTER'!$R$15="X","X","")</f>
        <v/>
      </c>
    </row>
    <row r="311" ht="15" customHeight="1" s="130">
      <c r="A311">
        <f>IF('RFI REGISTER'!$R$16="X","RFI REGISTER","")</f>
        <v/>
      </c>
      <c r="B311">
        <f>IF('RFI REGISTER'!$R$16="X",'RFI REGISTER'!A16,"")</f>
        <v/>
      </c>
      <c r="C311">
        <f>IF('RFI REGISTER'!$R$16="X",'RFI REGISTER'!F16,"")</f>
        <v/>
      </c>
      <c r="D311">
        <f>IF('RFI REGISTER'!$R$16="X",'RFI REGISTER'!D16,"")</f>
        <v/>
      </c>
      <c r="E311">
        <f>IF('RFI REGISTER'!$R$16="X",'RFI REGISTER'!B16,"")</f>
        <v/>
      </c>
      <c r="F311">
        <f>IF('RFI REGISTER'!$R$16="X",'RFI REGISTER'!H16,"")</f>
        <v/>
      </c>
      <c r="G311">
        <f>IF('RFI REGISTER'!$R$16="X",'RFI REGISTER'!C16,"")</f>
        <v/>
      </c>
      <c r="H311">
        <f>IF('RFI REGISTER'!$R$16="X","X","")</f>
        <v/>
      </c>
    </row>
    <row r="312" ht="15" customHeight="1" s="130">
      <c r="A312">
        <f>IF('RFI REGISTER'!$R$17="X","RFI REGISTER","")</f>
        <v/>
      </c>
      <c r="B312">
        <f>IF('RFI REGISTER'!$R$17="X",'RFI REGISTER'!A17,"")</f>
        <v/>
      </c>
      <c r="C312">
        <f>IF('RFI REGISTER'!$R$17="X",'RFI REGISTER'!F17,"")</f>
        <v/>
      </c>
      <c r="D312">
        <f>IF('RFI REGISTER'!$R$17="X",'RFI REGISTER'!D17,"")</f>
        <v/>
      </c>
      <c r="E312">
        <f>IF('RFI REGISTER'!$R$17="X",'RFI REGISTER'!B17,"")</f>
        <v/>
      </c>
      <c r="F312">
        <f>IF('RFI REGISTER'!$R$17="X",'RFI REGISTER'!H17,"")</f>
        <v/>
      </c>
      <c r="G312">
        <f>IF('RFI REGISTER'!$R$17="X",'RFI REGISTER'!C17,"")</f>
        <v/>
      </c>
      <c r="H312">
        <f>IF('RFI REGISTER'!$R$17="X","X","")</f>
        <v/>
      </c>
    </row>
    <row r="313" ht="15" customHeight="1" s="130">
      <c r="A313">
        <f>IF('RFI REGISTER'!$R$18="X","RFI REGISTER","")</f>
        <v/>
      </c>
      <c r="B313">
        <f>IF('RFI REGISTER'!$R$18="X",'RFI REGISTER'!A18,"")</f>
        <v/>
      </c>
      <c r="C313">
        <f>IF('RFI REGISTER'!$R$18="X",'RFI REGISTER'!F18,"")</f>
        <v/>
      </c>
      <c r="D313">
        <f>IF('RFI REGISTER'!$R$18="X",'RFI REGISTER'!D18,"")</f>
        <v/>
      </c>
      <c r="E313">
        <f>IF('RFI REGISTER'!$R$18="X",'RFI REGISTER'!B18,"")</f>
        <v/>
      </c>
      <c r="F313">
        <f>IF('RFI REGISTER'!$R$18="X",'RFI REGISTER'!H18,"")</f>
        <v/>
      </c>
      <c r="G313">
        <f>IF('RFI REGISTER'!$R$18="X",'RFI REGISTER'!C18,"")</f>
        <v/>
      </c>
      <c r="H313">
        <f>IF('RFI REGISTER'!$R$18="X","X","")</f>
        <v/>
      </c>
    </row>
    <row r="314" ht="15" customHeight="1" s="130">
      <c r="A314">
        <f>IF('RFI REGISTER'!$R$19="X","RFI REGISTER","")</f>
        <v/>
      </c>
      <c r="B314">
        <f>IF('RFI REGISTER'!$R$19="X",'RFI REGISTER'!A19,"")</f>
        <v/>
      </c>
      <c r="C314">
        <f>IF('RFI REGISTER'!$R$19="X",'RFI REGISTER'!F19,"")</f>
        <v/>
      </c>
      <c r="D314">
        <f>IF('RFI REGISTER'!$R$19="X",'RFI REGISTER'!D19,"")</f>
        <v/>
      </c>
      <c r="E314">
        <f>IF('RFI REGISTER'!$R$19="X",'RFI REGISTER'!B19,"")</f>
        <v/>
      </c>
      <c r="F314">
        <f>IF('RFI REGISTER'!$R$19="X",'RFI REGISTER'!H19,"")</f>
        <v/>
      </c>
      <c r="G314">
        <f>IF('RFI REGISTER'!$R$19="X",'RFI REGISTER'!C19,"")</f>
        <v/>
      </c>
      <c r="H314">
        <f>IF('RFI REGISTER'!$R$19="X","X","")</f>
        <v/>
      </c>
    </row>
    <row r="315" ht="15" customHeight="1" s="130">
      <c r="A315">
        <f>IF('RFI REGISTER'!$R$20="X","RFI REGISTER","")</f>
        <v/>
      </c>
      <c r="B315">
        <f>IF('RFI REGISTER'!$R$20="X",'RFI REGISTER'!A20,"")</f>
        <v/>
      </c>
      <c r="C315">
        <f>IF('RFI REGISTER'!$R$20="X",'RFI REGISTER'!F20,"")</f>
        <v/>
      </c>
      <c r="D315">
        <f>IF('RFI REGISTER'!$R$20="X",'RFI REGISTER'!D20,"")</f>
        <v/>
      </c>
      <c r="E315">
        <f>IF('RFI REGISTER'!$R$20="X",'RFI REGISTER'!B20,"")</f>
        <v/>
      </c>
      <c r="F315">
        <f>IF('RFI REGISTER'!$R$20="X",'RFI REGISTER'!H20,"")</f>
        <v/>
      </c>
      <c r="G315">
        <f>IF('RFI REGISTER'!$R$20="X",'RFI REGISTER'!C20,"")</f>
        <v/>
      </c>
      <c r="H315">
        <f>IF('RFI REGISTER'!$R$20="X","X","")</f>
        <v/>
      </c>
    </row>
    <row r="316" ht="15" customHeight="1" s="130">
      <c r="A316">
        <f>IF('RFI REGISTER'!$R$21="X","RFI REGISTER","")</f>
        <v/>
      </c>
      <c r="B316">
        <f>IF('RFI REGISTER'!$R$21="X",'RFI REGISTER'!A21,"")</f>
        <v/>
      </c>
      <c r="C316">
        <f>IF('RFI REGISTER'!$R$21="X",'RFI REGISTER'!F21,"")</f>
        <v/>
      </c>
      <c r="D316">
        <f>IF('RFI REGISTER'!$R$21="X",'RFI REGISTER'!D21,"")</f>
        <v/>
      </c>
      <c r="E316">
        <f>IF('RFI REGISTER'!$R$21="X",'RFI REGISTER'!B21,"")</f>
        <v/>
      </c>
      <c r="F316">
        <f>IF('RFI REGISTER'!$R$21="X",'RFI REGISTER'!H21,"")</f>
        <v/>
      </c>
      <c r="G316">
        <f>IF('RFI REGISTER'!$R$21="X",'RFI REGISTER'!C21,"")</f>
        <v/>
      </c>
      <c r="H316">
        <f>IF('RFI REGISTER'!$R$21="X","X","")</f>
        <v/>
      </c>
    </row>
    <row r="317" ht="15" customHeight="1" s="130">
      <c r="A317">
        <f>IF('RFI REGISTER'!$R$22="X","RFI REGISTER","")</f>
        <v/>
      </c>
      <c r="B317">
        <f>IF('RFI REGISTER'!$R$22="X",'RFI REGISTER'!A22,"")</f>
        <v/>
      </c>
      <c r="C317">
        <f>IF('RFI REGISTER'!$R$22="X",'RFI REGISTER'!F22,"")</f>
        <v/>
      </c>
      <c r="D317">
        <f>IF('RFI REGISTER'!$R$22="X",'RFI REGISTER'!D22,"")</f>
        <v/>
      </c>
      <c r="E317">
        <f>IF('RFI REGISTER'!$R$22="X",'RFI REGISTER'!B22,"")</f>
        <v/>
      </c>
      <c r="F317">
        <f>IF('RFI REGISTER'!$R$22="X",'RFI REGISTER'!H22,"")</f>
        <v/>
      </c>
      <c r="G317">
        <f>IF('RFI REGISTER'!$R$22="X",'RFI REGISTER'!C22,"")</f>
        <v/>
      </c>
      <c r="H317">
        <f>IF('RFI REGISTER'!$R$22="X","X","")</f>
        <v/>
      </c>
    </row>
    <row r="318" ht="15" customHeight="1" s="130">
      <c r="A318">
        <f>IF('RFI REGISTER'!$R$23="X","RFI REGISTER","")</f>
        <v/>
      </c>
      <c r="B318">
        <f>IF('RFI REGISTER'!$R$23="X",'RFI REGISTER'!A23,"")</f>
        <v/>
      </c>
      <c r="C318">
        <f>IF('RFI REGISTER'!$R$23="X",'RFI REGISTER'!F23,"")</f>
        <v/>
      </c>
      <c r="D318">
        <f>IF('RFI REGISTER'!$R$23="X",'RFI REGISTER'!D23,"")</f>
        <v/>
      </c>
      <c r="E318">
        <f>IF('RFI REGISTER'!$R$23="X",'RFI REGISTER'!B23,"")</f>
        <v/>
      </c>
      <c r="F318">
        <f>IF('RFI REGISTER'!$R$23="X",'RFI REGISTER'!H23,"")</f>
        <v/>
      </c>
      <c r="G318">
        <f>IF('RFI REGISTER'!$R$23="X",'RFI REGISTER'!C23,"")</f>
        <v/>
      </c>
      <c r="H318">
        <f>IF('RFI REGISTER'!$R$23="X","X","")</f>
        <v/>
      </c>
    </row>
    <row r="319" ht="15" customHeight="1" s="130">
      <c r="A319">
        <f>IF('RFI REGISTER'!$R$24="X","RFI REGISTER","")</f>
        <v/>
      </c>
      <c r="B319">
        <f>IF('RFI REGISTER'!$R$24="X",'RFI REGISTER'!A24,"")</f>
        <v/>
      </c>
      <c r="C319">
        <f>IF('RFI REGISTER'!$R$24="X",'RFI REGISTER'!F24,"")</f>
        <v/>
      </c>
      <c r="D319">
        <f>IF('RFI REGISTER'!$R$24="X",'RFI REGISTER'!D24,"")</f>
        <v/>
      </c>
      <c r="E319">
        <f>IF('RFI REGISTER'!$R$24="X",'RFI REGISTER'!B24,"")</f>
        <v/>
      </c>
      <c r="F319">
        <f>IF('RFI REGISTER'!$R$24="X",'RFI REGISTER'!H24,"")</f>
        <v/>
      </c>
      <c r="G319">
        <f>IF('RFI REGISTER'!$R$24="X",'RFI REGISTER'!C24,"")</f>
        <v/>
      </c>
      <c r="H319">
        <f>IF('RFI REGISTER'!$R$24="X","X","")</f>
        <v/>
      </c>
    </row>
    <row r="320" ht="15" customHeight="1" s="130">
      <c r="A320">
        <f>IF('RFI REGISTER'!$R$25="X","RFI REGISTER","")</f>
        <v/>
      </c>
      <c r="B320">
        <f>IF('RFI REGISTER'!$R$25="X",'RFI REGISTER'!A25,"")</f>
        <v/>
      </c>
      <c r="C320">
        <f>IF('RFI REGISTER'!$R$25="X",'RFI REGISTER'!F25,"")</f>
        <v/>
      </c>
      <c r="D320">
        <f>IF('RFI REGISTER'!$R$25="X",'RFI REGISTER'!D25,"")</f>
        <v/>
      </c>
      <c r="E320">
        <f>IF('RFI REGISTER'!$R$25="X",'RFI REGISTER'!B25,"")</f>
        <v/>
      </c>
      <c r="F320">
        <f>IF('RFI REGISTER'!$R$25="X",'RFI REGISTER'!H25,"")</f>
        <v/>
      </c>
      <c r="G320">
        <f>IF('RFI REGISTER'!$R$25="X",'RFI REGISTER'!C25,"")</f>
        <v/>
      </c>
      <c r="H320">
        <f>IF('RFI REGISTER'!$R$25="X","X","")</f>
        <v/>
      </c>
    </row>
    <row r="321" ht="15" customHeight="1" s="130">
      <c r="A321">
        <f>IF('RFI REGISTER'!$R$26="X","RFI REGISTER","")</f>
        <v/>
      </c>
      <c r="B321">
        <f>IF('RFI REGISTER'!$R$26="X",'RFI REGISTER'!A26,"")</f>
        <v/>
      </c>
      <c r="C321">
        <f>IF('RFI REGISTER'!$R$26="X",'RFI REGISTER'!F26,"")</f>
        <v/>
      </c>
      <c r="D321">
        <f>IF('RFI REGISTER'!$R$26="X",'RFI REGISTER'!D26,"")</f>
        <v/>
      </c>
      <c r="E321">
        <f>IF('RFI REGISTER'!$R$26="X",'RFI REGISTER'!B26,"")</f>
        <v/>
      </c>
      <c r="F321">
        <f>IF('RFI REGISTER'!$R$26="X",'RFI REGISTER'!H26,"")</f>
        <v/>
      </c>
      <c r="G321">
        <f>IF('RFI REGISTER'!$R$26="X",'RFI REGISTER'!C26,"")</f>
        <v/>
      </c>
      <c r="H321">
        <f>IF('RFI REGISTER'!$R$26="X","X","")</f>
        <v/>
      </c>
    </row>
    <row r="322" ht="15" customHeight="1" s="130">
      <c r="A322">
        <f>IF('RFI REGISTER'!$R$27="X","RFI REGISTER","")</f>
        <v/>
      </c>
      <c r="B322">
        <f>IF('RFI REGISTER'!$R$27="X",'RFI REGISTER'!A27,"")</f>
        <v/>
      </c>
      <c r="C322">
        <f>IF('RFI REGISTER'!$R$27="X",'RFI REGISTER'!F27,"")</f>
        <v/>
      </c>
      <c r="D322">
        <f>IF('RFI REGISTER'!$R$27="X",'RFI REGISTER'!D27,"")</f>
        <v/>
      </c>
      <c r="E322">
        <f>IF('RFI REGISTER'!$R$27="X",'RFI REGISTER'!B27,"")</f>
        <v/>
      </c>
      <c r="F322">
        <f>IF('RFI REGISTER'!$R$27="X",'RFI REGISTER'!H27,"")</f>
        <v/>
      </c>
      <c r="G322">
        <f>IF('RFI REGISTER'!$R$27="X",'RFI REGISTER'!C27,"")</f>
        <v/>
      </c>
      <c r="H322">
        <f>IF('RFI REGISTER'!$R$27="X","X","")</f>
        <v/>
      </c>
    </row>
    <row r="323" ht="15" customHeight="1" s="130">
      <c r="A323">
        <f>IF('RFI REGISTER'!$R$28="X","RFI REGISTER","")</f>
        <v/>
      </c>
      <c r="B323">
        <f>IF('RFI REGISTER'!$R$28="X",'RFI REGISTER'!A28,"")</f>
        <v/>
      </c>
      <c r="C323">
        <f>IF('RFI REGISTER'!$R$28="X",'RFI REGISTER'!F28,"")</f>
        <v/>
      </c>
      <c r="D323">
        <f>IF('RFI REGISTER'!$R$28="X",'RFI REGISTER'!D28,"")</f>
        <v/>
      </c>
      <c r="E323">
        <f>IF('RFI REGISTER'!$R$28="X",'RFI REGISTER'!B28,"")</f>
        <v/>
      </c>
      <c r="F323">
        <f>IF('RFI REGISTER'!$R$28="X",'RFI REGISTER'!H28,"")</f>
        <v/>
      </c>
      <c r="G323">
        <f>IF('RFI REGISTER'!$R$28="X",'RFI REGISTER'!C28,"")</f>
        <v/>
      </c>
      <c r="H323">
        <f>IF('RFI REGISTER'!$R$28="X","X","")</f>
        <v/>
      </c>
    </row>
    <row r="324" ht="15" customHeight="1" s="130">
      <c r="A324">
        <f>IF('RFI REGISTER'!$R$29="X","RFI REGISTER","")</f>
        <v/>
      </c>
      <c r="B324">
        <f>IF('RFI REGISTER'!$R$29="X",'RFI REGISTER'!A29,"")</f>
        <v/>
      </c>
      <c r="C324">
        <f>IF('RFI REGISTER'!$R$29="X",'RFI REGISTER'!F29,"")</f>
        <v/>
      </c>
      <c r="D324">
        <f>IF('RFI REGISTER'!$R$29="X",'RFI REGISTER'!D29,"")</f>
        <v/>
      </c>
      <c r="E324">
        <f>IF('RFI REGISTER'!$R$29="X",'RFI REGISTER'!B29,"")</f>
        <v/>
      </c>
      <c r="F324">
        <f>IF('RFI REGISTER'!$R$29="X",'RFI REGISTER'!H29,"")</f>
        <v/>
      </c>
      <c r="G324">
        <f>IF('RFI REGISTER'!$R$29="X",'RFI REGISTER'!C29,"")</f>
        <v/>
      </c>
      <c r="H324">
        <f>IF('RFI REGISTER'!$R$29="X","X","")</f>
        <v/>
      </c>
    </row>
    <row r="325" ht="15" customHeight="1" s="130">
      <c r="A325">
        <f>IF('RFI REGISTER'!$R$30="X","RFI REGISTER","")</f>
        <v/>
      </c>
      <c r="B325">
        <f>IF('RFI REGISTER'!$R$30="X",'RFI REGISTER'!A30,"")</f>
        <v/>
      </c>
      <c r="C325">
        <f>IF('RFI REGISTER'!$R$30="X",'RFI REGISTER'!F30,"")</f>
        <v/>
      </c>
      <c r="D325">
        <f>IF('RFI REGISTER'!$R$30="X",'RFI REGISTER'!D30,"")</f>
        <v/>
      </c>
      <c r="E325">
        <f>IF('RFI REGISTER'!$R$30="X",'RFI REGISTER'!B30,"")</f>
        <v/>
      </c>
      <c r="F325">
        <f>IF('RFI REGISTER'!$R$30="X",'RFI REGISTER'!H30,"")</f>
        <v/>
      </c>
      <c r="G325">
        <f>IF('RFI REGISTER'!$R$30="X",'RFI REGISTER'!C30,"")</f>
        <v/>
      </c>
      <c r="H325">
        <f>IF('RFI REGISTER'!$R$30="X","X","")</f>
        <v/>
      </c>
    </row>
    <row r="326" ht="15" customHeight="1" s="130">
      <c r="A326">
        <f>IF('RFI REGISTER'!$R$31="X","RFI REGISTER","")</f>
        <v/>
      </c>
      <c r="B326">
        <f>IF('RFI REGISTER'!$R$31="X",'RFI REGISTER'!A31,"")</f>
        <v/>
      </c>
      <c r="C326">
        <f>IF('RFI REGISTER'!$R$31="X",'RFI REGISTER'!F31,"")</f>
        <v/>
      </c>
      <c r="D326">
        <f>IF('RFI REGISTER'!$R$31="X",'RFI REGISTER'!D31,"")</f>
        <v/>
      </c>
      <c r="E326">
        <f>IF('RFI REGISTER'!$R$31="X",'RFI REGISTER'!B31,"")</f>
        <v/>
      </c>
      <c r="F326">
        <f>IF('RFI REGISTER'!$R$31="X",'RFI REGISTER'!H31,"")</f>
        <v/>
      </c>
      <c r="G326">
        <f>IF('RFI REGISTER'!$R$31="X",'RFI REGISTER'!C31,"")</f>
        <v/>
      </c>
      <c r="H326">
        <f>IF('RFI REGISTER'!$R$31="X","X","")</f>
        <v/>
      </c>
    </row>
    <row r="327" ht="15" customHeight="1" s="130">
      <c r="A327">
        <f>IF('RFI REGISTER'!$R$32="X","RFI REGISTER","")</f>
        <v/>
      </c>
      <c r="B327">
        <f>IF('RFI REGISTER'!$R$32="X",'RFI REGISTER'!A32,"")</f>
        <v/>
      </c>
      <c r="C327">
        <f>IF('RFI REGISTER'!$R$32="X",'RFI REGISTER'!F32,"")</f>
        <v/>
      </c>
      <c r="D327">
        <f>IF('RFI REGISTER'!$R$32="X",'RFI REGISTER'!D32,"")</f>
        <v/>
      </c>
      <c r="E327">
        <f>IF('RFI REGISTER'!$R$32="X",'RFI REGISTER'!B32,"")</f>
        <v/>
      </c>
      <c r="F327">
        <f>IF('RFI REGISTER'!$R$32="X",'RFI REGISTER'!H32,"")</f>
        <v/>
      </c>
      <c r="G327">
        <f>IF('RFI REGISTER'!$R$32="X",'RFI REGISTER'!C32,"")</f>
        <v/>
      </c>
      <c r="H327">
        <f>IF('RFI REGISTER'!$R$32="X","X","")</f>
        <v/>
      </c>
    </row>
    <row r="328" ht="15" customHeight="1" s="130">
      <c r="A328">
        <f>IF('RFI REGISTER'!$R$33="X","RFI REGISTER","")</f>
        <v/>
      </c>
      <c r="B328">
        <f>IF('RFI REGISTER'!$R$33="X",'RFI REGISTER'!A33,"")</f>
        <v/>
      </c>
      <c r="C328">
        <f>IF('RFI REGISTER'!$R$33="X",'RFI REGISTER'!F33,"")</f>
        <v/>
      </c>
      <c r="D328">
        <f>IF('RFI REGISTER'!$R$33="X",'RFI REGISTER'!D33,"")</f>
        <v/>
      </c>
      <c r="E328">
        <f>IF('RFI REGISTER'!$R$33="X",'RFI REGISTER'!B33,"")</f>
        <v/>
      </c>
      <c r="F328">
        <f>IF('RFI REGISTER'!$R$33="X",'RFI REGISTER'!H33,"")</f>
        <v/>
      </c>
      <c r="G328">
        <f>IF('RFI REGISTER'!$R$33="X",'RFI REGISTER'!C33,"")</f>
        <v/>
      </c>
      <c r="H328">
        <f>IF('RFI REGISTER'!$R$33="X","X","")</f>
        <v/>
      </c>
    </row>
    <row r="329" ht="15" customHeight="1" s="130">
      <c r="A329">
        <f>IF('RFI REGISTER'!$R$34="X","RFI REGISTER","")</f>
        <v/>
      </c>
      <c r="B329">
        <f>IF('RFI REGISTER'!$R$34="X",'RFI REGISTER'!A34,"")</f>
        <v/>
      </c>
      <c r="C329">
        <f>IF('RFI REGISTER'!$R$34="X",'RFI REGISTER'!F34,"")</f>
        <v/>
      </c>
      <c r="D329">
        <f>IF('RFI REGISTER'!$R$34="X",'RFI REGISTER'!D34,"")</f>
        <v/>
      </c>
      <c r="E329">
        <f>IF('RFI REGISTER'!$R$34="X",'RFI REGISTER'!B34,"")</f>
        <v/>
      </c>
      <c r="F329">
        <f>IF('RFI REGISTER'!$R$34="X",'RFI REGISTER'!H34,"")</f>
        <v/>
      </c>
      <c r="G329">
        <f>IF('RFI REGISTER'!$R$34="X",'RFI REGISTER'!C34,"")</f>
        <v/>
      </c>
      <c r="H329">
        <f>IF('RFI REGISTER'!$R$34="X","X","")</f>
        <v/>
      </c>
    </row>
    <row r="330" ht="15" customHeight="1" s="130">
      <c r="A330">
        <f>IF('RFI REGISTER'!$R$35="X","RFI REGISTER","")</f>
        <v/>
      </c>
      <c r="B330">
        <f>IF('RFI REGISTER'!$R$35="X",'RFI REGISTER'!A35,"")</f>
        <v/>
      </c>
      <c r="C330">
        <f>IF('RFI REGISTER'!$R$35="X",'RFI REGISTER'!F35,"")</f>
        <v/>
      </c>
      <c r="D330">
        <f>IF('RFI REGISTER'!$R$35="X",'RFI REGISTER'!D35,"")</f>
        <v/>
      </c>
      <c r="E330">
        <f>IF('RFI REGISTER'!$R$35="X",'RFI REGISTER'!B35,"")</f>
        <v/>
      </c>
      <c r="F330">
        <f>IF('RFI REGISTER'!$R$35="X",'RFI REGISTER'!H35,"")</f>
        <v/>
      </c>
      <c r="G330">
        <f>IF('RFI REGISTER'!$R$35="X",'RFI REGISTER'!C35,"")</f>
        <v/>
      </c>
      <c r="H330">
        <f>IF('RFI REGISTER'!$R$35="X","X","")</f>
        <v/>
      </c>
    </row>
    <row r="331" ht="15" customHeight="1" s="130">
      <c r="A331">
        <f>IF('RFI REGISTER'!$R$36="X","RFI REGISTER","")</f>
        <v/>
      </c>
      <c r="B331">
        <f>IF('RFI REGISTER'!$R$36="X",'RFI REGISTER'!A36,"")</f>
        <v/>
      </c>
      <c r="C331">
        <f>IF('RFI REGISTER'!$R$36="X",'RFI REGISTER'!F36,"")</f>
        <v/>
      </c>
      <c r="D331">
        <f>IF('RFI REGISTER'!$R$36="X",'RFI REGISTER'!D36,"")</f>
        <v/>
      </c>
      <c r="E331">
        <f>IF('RFI REGISTER'!$R$36="X",'RFI REGISTER'!B36,"")</f>
        <v/>
      </c>
      <c r="F331">
        <f>IF('RFI REGISTER'!$R$36="X",'RFI REGISTER'!H36,"")</f>
        <v/>
      </c>
      <c r="G331">
        <f>IF('RFI REGISTER'!$R$36="X",'RFI REGISTER'!C36,"")</f>
        <v/>
      </c>
      <c r="H331">
        <f>IF('RFI REGISTER'!$R$36="X","X","")</f>
        <v/>
      </c>
    </row>
    <row r="332" ht="15" customHeight="1" s="130">
      <c r="A332">
        <f>IF('RFI REGISTER'!$R$37="X","RFI REGISTER","")</f>
        <v/>
      </c>
      <c r="B332">
        <f>IF('RFI REGISTER'!$R$37="X",'RFI REGISTER'!A37,"")</f>
        <v/>
      </c>
      <c r="C332">
        <f>IF('RFI REGISTER'!$R$37="X",'RFI REGISTER'!F37,"")</f>
        <v/>
      </c>
      <c r="D332">
        <f>IF('RFI REGISTER'!$R$37="X",'RFI REGISTER'!D37,"")</f>
        <v/>
      </c>
      <c r="E332">
        <f>IF('RFI REGISTER'!$R$37="X",'RFI REGISTER'!B37,"")</f>
        <v/>
      </c>
      <c r="F332">
        <f>IF('RFI REGISTER'!$R$37="X",'RFI REGISTER'!H37,"")</f>
        <v/>
      </c>
      <c r="G332">
        <f>IF('RFI REGISTER'!$R$37="X",'RFI REGISTER'!C37,"")</f>
        <v/>
      </c>
      <c r="H332">
        <f>IF('RFI REGISTER'!$R$37="X","X","")</f>
        <v/>
      </c>
    </row>
    <row r="333" ht="15" customHeight="1" s="130">
      <c r="A333">
        <f>IF('RFI REGISTER'!$R$38="X","RFI REGISTER","")</f>
        <v/>
      </c>
      <c r="B333">
        <f>IF('RFI REGISTER'!$R$38="X",'RFI REGISTER'!A38,"")</f>
        <v/>
      </c>
      <c r="C333">
        <f>IF('RFI REGISTER'!$R$38="X",'RFI REGISTER'!F38,"")</f>
        <v/>
      </c>
      <c r="D333">
        <f>IF('RFI REGISTER'!$R$38="X",'RFI REGISTER'!D38,"")</f>
        <v/>
      </c>
      <c r="E333">
        <f>IF('RFI REGISTER'!$R$38="X",'RFI REGISTER'!B38,"")</f>
        <v/>
      </c>
      <c r="F333">
        <f>IF('RFI REGISTER'!$R$38="X",'RFI REGISTER'!H38,"")</f>
        <v/>
      </c>
      <c r="G333">
        <f>IF('RFI REGISTER'!$R$38="X",'RFI REGISTER'!C38,"")</f>
        <v/>
      </c>
      <c r="H333">
        <f>IF('RFI REGISTER'!$R$38="X","X","")</f>
        <v/>
      </c>
    </row>
    <row r="334" ht="15" customHeight="1" s="130">
      <c r="A334">
        <f>IF('RFI REGISTER'!$R$39="X","RFI REGISTER","")</f>
        <v/>
      </c>
      <c r="B334">
        <f>IF('RFI REGISTER'!$R$39="X",'RFI REGISTER'!A39,"")</f>
        <v/>
      </c>
      <c r="C334">
        <f>IF('RFI REGISTER'!$R$39="X",'RFI REGISTER'!F39,"")</f>
        <v/>
      </c>
      <c r="D334">
        <f>IF('RFI REGISTER'!$R$39="X",'RFI REGISTER'!D39,"")</f>
        <v/>
      </c>
      <c r="E334">
        <f>IF('RFI REGISTER'!$R$39="X",'RFI REGISTER'!B39,"")</f>
        <v/>
      </c>
      <c r="F334">
        <f>IF('RFI REGISTER'!$R$39="X",'RFI REGISTER'!H39,"")</f>
        <v/>
      </c>
      <c r="G334">
        <f>IF('RFI REGISTER'!$R$39="X",'RFI REGISTER'!C39,"")</f>
        <v/>
      </c>
      <c r="H334">
        <f>IF('RFI REGISTER'!$R$39="X","X","")</f>
        <v/>
      </c>
    </row>
    <row r="335" ht="15" customHeight="1" s="130">
      <c r="A335">
        <f>IF('RFI REGISTER'!$R$40="X","RFI REGISTER","")</f>
        <v/>
      </c>
      <c r="B335">
        <f>IF('RFI REGISTER'!$R$40="X",'RFI REGISTER'!A40,"")</f>
        <v/>
      </c>
      <c r="C335">
        <f>IF('RFI REGISTER'!$R$40="X",'RFI REGISTER'!F40,"")</f>
        <v/>
      </c>
      <c r="D335">
        <f>IF('RFI REGISTER'!$R$40="X",'RFI REGISTER'!D40,"")</f>
        <v/>
      </c>
      <c r="E335">
        <f>IF('RFI REGISTER'!$R$40="X",'RFI REGISTER'!B40,"")</f>
        <v/>
      </c>
      <c r="F335">
        <f>IF('RFI REGISTER'!$R$40="X",'RFI REGISTER'!H40,"")</f>
        <v/>
      </c>
      <c r="G335">
        <f>IF('RFI REGISTER'!$R$40="X",'RFI REGISTER'!C40,"")</f>
        <v/>
      </c>
      <c r="H335">
        <f>IF('RFI REGISTER'!$R$40="X","X","")</f>
        <v/>
      </c>
    </row>
    <row r="336" ht="15" customHeight="1" s="130">
      <c r="A336">
        <f>IF('RFI REGISTER'!$R$41="X","RFI REGISTER","")</f>
        <v/>
      </c>
      <c r="B336">
        <f>IF('RFI REGISTER'!$R$41="X",'RFI REGISTER'!A41,"")</f>
        <v/>
      </c>
      <c r="C336">
        <f>IF('RFI REGISTER'!$R$41="X",'RFI REGISTER'!F41,"")</f>
        <v/>
      </c>
      <c r="D336">
        <f>IF('RFI REGISTER'!$R$41="X",'RFI REGISTER'!D41,"")</f>
        <v/>
      </c>
      <c r="E336">
        <f>IF('RFI REGISTER'!$R$41="X",'RFI REGISTER'!B41,"")</f>
        <v/>
      </c>
      <c r="F336">
        <f>IF('RFI REGISTER'!$R$41="X",'RFI REGISTER'!H41,"")</f>
        <v/>
      </c>
      <c r="G336">
        <f>IF('RFI REGISTER'!$R$41="X",'RFI REGISTER'!C41,"")</f>
        <v/>
      </c>
      <c r="H336">
        <f>IF('RFI REGISTER'!$R$41="X","X","")</f>
        <v/>
      </c>
    </row>
    <row r="337" ht="15" customHeight="1" s="130">
      <c r="A337">
        <f>IF('RFI REGISTER'!$R$42="X","RFI REGISTER","")</f>
        <v/>
      </c>
      <c r="B337">
        <f>IF('RFI REGISTER'!$R$42="X",'RFI REGISTER'!A42,"")</f>
        <v/>
      </c>
      <c r="C337">
        <f>IF('RFI REGISTER'!$R$42="X",'RFI REGISTER'!F42,"")</f>
        <v/>
      </c>
      <c r="D337">
        <f>IF('RFI REGISTER'!$R$42="X",'RFI REGISTER'!D42,"")</f>
        <v/>
      </c>
      <c r="E337">
        <f>IF('RFI REGISTER'!$R$42="X",'RFI REGISTER'!B42,"")</f>
        <v/>
      </c>
      <c r="F337">
        <f>IF('RFI REGISTER'!$R$42="X",'RFI REGISTER'!H42,"")</f>
        <v/>
      </c>
      <c r="G337">
        <f>IF('RFI REGISTER'!$R$42="X",'RFI REGISTER'!C42,"")</f>
        <v/>
      </c>
      <c r="H337">
        <f>IF('RFI REGISTER'!$R$42="X","X","")</f>
        <v/>
      </c>
    </row>
    <row r="338" ht="15" customHeight="1" s="130">
      <c r="A338">
        <f>IF('RFI REGISTER'!$R$43="X","RFI REGISTER","")</f>
        <v/>
      </c>
      <c r="B338">
        <f>IF('RFI REGISTER'!$R$43="X",'RFI REGISTER'!A43,"")</f>
        <v/>
      </c>
      <c r="C338">
        <f>IF('RFI REGISTER'!$R$43="X",'RFI REGISTER'!F43,"")</f>
        <v/>
      </c>
      <c r="D338">
        <f>IF('RFI REGISTER'!$R$43="X",'RFI REGISTER'!D43,"")</f>
        <v/>
      </c>
      <c r="E338">
        <f>IF('RFI REGISTER'!$R$43="X",'RFI REGISTER'!B43,"")</f>
        <v/>
      </c>
      <c r="F338">
        <f>IF('RFI REGISTER'!$R$43="X",'RFI REGISTER'!H43,"")</f>
        <v/>
      </c>
      <c r="G338">
        <f>IF('RFI REGISTER'!$R$43="X",'RFI REGISTER'!C43,"")</f>
        <v/>
      </c>
      <c r="H338">
        <f>IF('RFI REGISTER'!$R$43="X","X","")</f>
        <v/>
      </c>
    </row>
    <row r="339" ht="15" customHeight="1" s="130">
      <c r="A339">
        <f>IF('RFI REGISTER'!$R$44="X","RFI REGISTER","")</f>
        <v/>
      </c>
      <c r="B339">
        <f>IF('RFI REGISTER'!$R$44="X",'RFI REGISTER'!A44,"")</f>
        <v/>
      </c>
      <c r="C339">
        <f>IF('RFI REGISTER'!$R$44="X",'RFI REGISTER'!F44,"")</f>
        <v/>
      </c>
      <c r="D339">
        <f>IF('RFI REGISTER'!$R$44="X",'RFI REGISTER'!D44,"")</f>
        <v/>
      </c>
      <c r="E339">
        <f>IF('RFI REGISTER'!$R$44="X",'RFI REGISTER'!B44,"")</f>
        <v/>
      </c>
      <c r="F339">
        <f>IF('RFI REGISTER'!$R$44="X",'RFI REGISTER'!H44,"")</f>
        <v/>
      </c>
      <c r="G339">
        <f>IF('RFI REGISTER'!$R$44="X",'RFI REGISTER'!C44,"")</f>
        <v/>
      </c>
      <c r="H339">
        <f>IF('RFI REGISTER'!$R$44="X","X","")</f>
        <v/>
      </c>
    </row>
    <row r="340" ht="15" customHeight="1" s="130">
      <c r="A340">
        <f>IF('RFI REGISTER'!$R$45="X","RFI REGISTER","")</f>
        <v/>
      </c>
      <c r="B340">
        <f>IF('RFI REGISTER'!$R$45="X",'RFI REGISTER'!A45,"")</f>
        <v/>
      </c>
      <c r="C340">
        <f>IF('RFI REGISTER'!$R$45="X",'RFI REGISTER'!F45,"")</f>
        <v/>
      </c>
      <c r="D340">
        <f>IF('RFI REGISTER'!$R$45="X",'RFI REGISTER'!D45,"")</f>
        <v/>
      </c>
      <c r="E340">
        <f>IF('RFI REGISTER'!$R$45="X",'RFI REGISTER'!B45,"")</f>
        <v/>
      </c>
      <c r="F340">
        <f>IF('RFI REGISTER'!$R$45="X",'RFI REGISTER'!H45,"")</f>
        <v/>
      </c>
      <c r="G340">
        <f>IF('RFI REGISTER'!$R$45="X",'RFI REGISTER'!C45,"")</f>
        <v/>
      </c>
      <c r="H340">
        <f>IF('RFI REGISTER'!$R$45="X","X","")</f>
        <v/>
      </c>
    </row>
    <row r="341" ht="15" customHeight="1" s="130">
      <c r="A341">
        <f>IF('RFI REGISTER'!$R$46="X","RFI REGISTER","")</f>
        <v/>
      </c>
      <c r="B341">
        <f>IF('RFI REGISTER'!$R$46="X",'RFI REGISTER'!A46,"")</f>
        <v/>
      </c>
      <c r="C341">
        <f>IF('RFI REGISTER'!$R$46="X",'RFI REGISTER'!F46,"")</f>
        <v/>
      </c>
      <c r="D341">
        <f>IF('RFI REGISTER'!$R$46="X",'RFI REGISTER'!D46,"")</f>
        <v/>
      </c>
      <c r="E341">
        <f>IF('RFI REGISTER'!$R$46="X",'RFI REGISTER'!B46,"")</f>
        <v/>
      </c>
      <c r="F341">
        <f>IF('RFI REGISTER'!$R$46="X",'RFI REGISTER'!H46,"")</f>
        <v/>
      </c>
      <c r="G341">
        <f>IF('RFI REGISTER'!$R$46="X",'RFI REGISTER'!C46,"")</f>
        <v/>
      </c>
      <c r="H341">
        <f>IF('RFI REGISTER'!$R$46="X","X","")</f>
        <v/>
      </c>
    </row>
    <row r="342" ht="15" customHeight="1" s="130">
      <c r="A342">
        <f>IF('RFI REGISTER'!$R$47="X","RFI REGISTER","")</f>
        <v/>
      </c>
      <c r="B342">
        <f>IF('RFI REGISTER'!$R$47="X",'RFI REGISTER'!A47,"")</f>
        <v/>
      </c>
      <c r="C342">
        <f>IF('RFI REGISTER'!$R$47="X",'RFI REGISTER'!F47,"")</f>
        <v/>
      </c>
      <c r="D342">
        <f>IF('RFI REGISTER'!$R$47="X",'RFI REGISTER'!D47,"")</f>
        <v/>
      </c>
      <c r="E342">
        <f>IF('RFI REGISTER'!$R$47="X",'RFI REGISTER'!B47,"")</f>
        <v/>
      </c>
      <c r="F342">
        <f>IF('RFI REGISTER'!$R$47="X",'RFI REGISTER'!H47,"")</f>
        <v/>
      </c>
      <c r="G342">
        <f>IF('RFI REGISTER'!$R$47="X",'RFI REGISTER'!C47,"")</f>
        <v/>
      </c>
      <c r="H342">
        <f>IF('RFI REGISTER'!$R$47="X","X","")</f>
        <v/>
      </c>
    </row>
    <row r="343" ht="15" customHeight="1" s="130">
      <c r="A343">
        <f>IF('RFI REGISTER'!$R$48="X","RFI REGISTER","")</f>
        <v/>
      </c>
      <c r="B343">
        <f>IF('RFI REGISTER'!$R$48="X",'RFI REGISTER'!A48,"")</f>
        <v/>
      </c>
      <c r="C343">
        <f>IF('RFI REGISTER'!$R$48="X",'RFI REGISTER'!F48,"")</f>
        <v/>
      </c>
      <c r="D343">
        <f>IF('RFI REGISTER'!$R$48="X",'RFI REGISTER'!D48,"")</f>
        <v/>
      </c>
      <c r="E343">
        <f>IF('RFI REGISTER'!$R$48="X",'RFI REGISTER'!B48,"")</f>
        <v/>
      </c>
      <c r="F343">
        <f>IF('RFI REGISTER'!$R$48="X",'RFI REGISTER'!H48,"")</f>
        <v/>
      </c>
      <c r="G343">
        <f>IF('RFI REGISTER'!$R$48="X",'RFI REGISTER'!C48,"")</f>
        <v/>
      </c>
      <c r="H343">
        <f>IF('RFI REGISTER'!$R$48="X","X","")</f>
        <v/>
      </c>
    </row>
    <row r="344" ht="15" customHeight="1" s="130">
      <c r="A344">
        <f>IF('RFI REGISTER'!$R$49="X","RFI REGISTER","")</f>
        <v/>
      </c>
      <c r="B344">
        <f>IF('RFI REGISTER'!$R$49="X",'RFI REGISTER'!A49,"")</f>
        <v/>
      </c>
      <c r="C344">
        <f>IF('RFI REGISTER'!$R$49="X",'RFI REGISTER'!F49,"")</f>
        <v/>
      </c>
      <c r="D344">
        <f>IF('RFI REGISTER'!$R$49="X",'RFI REGISTER'!D49,"")</f>
        <v/>
      </c>
      <c r="E344">
        <f>IF('RFI REGISTER'!$R$49="X",'RFI REGISTER'!B49,"")</f>
        <v/>
      </c>
      <c r="F344">
        <f>IF('RFI REGISTER'!$R$49="X",'RFI REGISTER'!H49,"")</f>
        <v/>
      </c>
      <c r="G344">
        <f>IF('RFI REGISTER'!$R$49="X",'RFI REGISTER'!C49,"")</f>
        <v/>
      </c>
      <c r="H344">
        <f>IF('RFI REGISTER'!$R$49="X","X","")</f>
        <v/>
      </c>
    </row>
    <row r="345" ht="15" customHeight="1" s="130">
      <c r="A345">
        <f>IF('RFI REGISTER'!$R$50="X","RFI REGISTER","")</f>
        <v/>
      </c>
      <c r="B345">
        <f>IF('RFI REGISTER'!$R$50="X",'RFI REGISTER'!A50,"")</f>
        <v/>
      </c>
      <c r="C345">
        <f>IF('RFI REGISTER'!$R$50="X",'RFI REGISTER'!F50,"")</f>
        <v/>
      </c>
      <c r="D345">
        <f>IF('RFI REGISTER'!$R$50="X",'RFI REGISTER'!D50,"")</f>
        <v/>
      </c>
      <c r="E345">
        <f>IF('RFI REGISTER'!$R$50="X",'RFI REGISTER'!B50,"")</f>
        <v/>
      </c>
      <c r="F345">
        <f>IF('RFI REGISTER'!$R$50="X",'RFI REGISTER'!H50,"")</f>
        <v/>
      </c>
      <c r="G345">
        <f>IF('RFI REGISTER'!$R$50="X",'RFI REGISTER'!C50,"")</f>
        <v/>
      </c>
      <c r="H345">
        <f>IF('RFI REGISTER'!$R$50="X","X","")</f>
        <v/>
      </c>
    </row>
    <row r="346" ht="15" customHeight="1" s="130">
      <c r="A346">
        <f>IF('RFI REGISTER'!$R$51="X","RFI REGISTER","")</f>
        <v/>
      </c>
      <c r="B346">
        <f>IF('RFI REGISTER'!$R$51="X",'RFI REGISTER'!A51,"")</f>
        <v/>
      </c>
      <c r="C346">
        <f>IF('RFI REGISTER'!$R$51="X",'RFI REGISTER'!F51,"")</f>
        <v/>
      </c>
      <c r="D346">
        <f>IF('RFI REGISTER'!$R$51="X",'RFI REGISTER'!D51,"")</f>
        <v/>
      </c>
      <c r="E346">
        <f>IF('RFI REGISTER'!$R$51="X",'RFI REGISTER'!B51,"")</f>
        <v/>
      </c>
      <c r="F346">
        <f>IF('RFI REGISTER'!$R$51="X",'RFI REGISTER'!H51,"")</f>
        <v/>
      </c>
      <c r="G346">
        <f>IF('RFI REGISTER'!$R$51="X",'RFI REGISTER'!C51,"")</f>
        <v/>
      </c>
      <c r="H346">
        <f>IF('RFI REGISTER'!$R$51="X","X","")</f>
        <v/>
      </c>
    </row>
    <row r="347" ht="15" customHeight="1" s="130">
      <c r="A347">
        <f>IF('RFI REGISTER'!$R$52="X","RFI REGISTER","")</f>
        <v/>
      </c>
      <c r="B347">
        <f>IF('RFI REGISTER'!$R$52="X",'RFI REGISTER'!A52,"")</f>
        <v/>
      </c>
      <c r="C347">
        <f>IF('RFI REGISTER'!$R$52="X",'RFI REGISTER'!F52,"")</f>
        <v/>
      </c>
      <c r="D347">
        <f>IF('RFI REGISTER'!$R$52="X",'RFI REGISTER'!D52,"")</f>
        <v/>
      </c>
      <c r="E347">
        <f>IF('RFI REGISTER'!$R$52="X",'RFI REGISTER'!B52,"")</f>
        <v/>
      </c>
      <c r="F347">
        <f>IF('RFI REGISTER'!$R$52="X",'RFI REGISTER'!H52,"")</f>
        <v/>
      </c>
      <c r="G347">
        <f>IF('RFI REGISTER'!$R$52="X",'RFI REGISTER'!C52,"")</f>
        <v/>
      </c>
      <c r="H347">
        <f>IF('RFI REGISTER'!$R$52="X","X","")</f>
        <v/>
      </c>
    </row>
    <row r="348" ht="15" customHeight="1" s="130">
      <c r="A348">
        <f>IF('RFI REGISTER'!$R$53="X","RFI REGISTER","")</f>
        <v/>
      </c>
      <c r="B348">
        <f>IF('RFI REGISTER'!$R$53="X",'RFI REGISTER'!A53,"")</f>
        <v/>
      </c>
      <c r="C348">
        <f>IF('RFI REGISTER'!$R$53="X",'RFI REGISTER'!F53,"")</f>
        <v/>
      </c>
      <c r="D348">
        <f>IF('RFI REGISTER'!$R$53="X",'RFI REGISTER'!D53,"")</f>
        <v/>
      </c>
      <c r="E348">
        <f>IF('RFI REGISTER'!$R$53="X",'RFI REGISTER'!B53,"")</f>
        <v/>
      </c>
      <c r="F348">
        <f>IF('RFI REGISTER'!$R$53="X",'RFI REGISTER'!H53,"")</f>
        <v/>
      </c>
      <c r="G348">
        <f>IF('RFI REGISTER'!$R$53="X",'RFI REGISTER'!C53,"")</f>
        <v/>
      </c>
      <c r="H348">
        <f>IF('RFI REGISTER'!$R$53="X","X","")</f>
        <v/>
      </c>
    </row>
    <row r="349" ht="15" customHeight="1" s="130">
      <c r="A349">
        <f>IF('RFI REGISTER'!$R$54="X","RFI REGISTER","")</f>
        <v/>
      </c>
      <c r="B349">
        <f>IF('RFI REGISTER'!$R$54="X",'RFI REGISTER'!A54,"")</f>
        <v/>
      </c>
      <c r="C349">
        <f>IF('RFI REGISTER'!$R$54="X",'RFI REGISTER'!F54,"")</f>
        <v/>
      </c>
      <c r="D349">
        <f>IF('RFI REGISTER'!$R$54="X",'RFI REGISTER'!D54,"")</f>
        <v/>
      </c>
      <c r="E349">
        <f>IF('RFI REGISTER'!$R$54="X",'RFI REGISTER'!B54,"")</f>
        <v/>
      </c>
      <c r="F349">
        <f>IF('RFI REGISTER'!$R$54="X",'RFI REGISTER'!H54,"")</f>
        <v/>
      </c>
      <c r="G349">
        <f>IF('RFI REGISTER'!$R$54="X",'RFI REGISTER'!C54,"")</f>
        <v/>
      </c>
      <c r="H349">
        <f>IF('RFI REGISTER'!$R$54="X","X","")</f>
        <v/>
      </c>
    </row>
    <row r="350" ht="15" customHeight="1" s="130">
      <c r="A350">
        <f>IF('RFI REGISTER'!$R$55="X","RFI REGISTER","")</f>
        <v/>
      </c>
      <c r="B350">
        <f>IF('RFI REGISTER'!$R$55="X",'RFI REGISTER'!A55,"")</f>
        <v/>
      </c>
      <c r="C350">
        <f>IF('RFI REGISTER'!$R$55="X",'RFI REGISTER'!F55,"")</f>
        <v/>
      </c>
      <c r="D350">
        <f>IF('RFI REGISTER'!$R$55="X",'RFI REGISTER'!D55,"")</f>
        <v/>
      </c>
      <c r="E350">
        <f>IF('RFI REGISTER'!$R$55="X",'RFI REGISTER'!B55,"")</f>
        <v/>
      </c>
      <c r="F350">
        <f>IF('RFI REGISTER'!$R$55="X",'RFI REGISTER'!H55,"")</f>
        <v/>
      </c>
      <c r="G350">
        <f>IF('RFI REGISTER'!$R$55="X",'RFI REGISTER'!C55,"")</f>
        <v/>
      </c>
      <c r="H350">
        <f>IF('RFI REGISTER'!$R$55="X","X","")</f>
        <v/>
      </c>
    </row>
    <row r="351" ht="15" customHeight="1" s="130">
      <c r="A351">
        <f>IF('RFI REGISTER'!$R$56="X","RFI REGISTER","")</f>
        <v/>
      </c>
      <c r="B351">
        <f>IF('RFI REGISTER'!$R$56="X",'RFI REGISTER'!A56,"")</f>
        <v/>
      </c>
      <c r="C351">
        <f>IF('RFI REGISTER'!$R$56="X",'RFI REGISTER'!F56,"")</f>
        <v/>
      </c>
      <c r="D351">
        <f>IF('RFI REGISTER'!$R$56="X",'RFI REGISTER'!D56,"")</f>
        <v/>
      </c>
      <c r="E351">
        <f>IF('RFI REGISTER'!$R$56="X",'RFI REGISTER'!B56,"")</f>
        <v/>
      </c>
      <c r="F351">
        <f>IF('RFI REGISTER'!$R$56="X",'RFI REGISTER'!H56,"")</f>
        <v/>
      </c>
      <c r="G351">
        <f>IF('RFI REGISTER'!$R$56="X",'RFI REGISTER'!C56,"")</f>
        <v/>
      </c>
      <c r="H351">
        <f>IF('RFI REGISTER'!$R$56="X","X","")</f>
        <v/>
      </c>
    </row>
    <row r="352" ht="15" customHeight="1" s="130">
      <c r="A352">
        <f>IF('RFI REGISTER'!$R$57="X","RFI REGISTER","")</f>
        <v/>
      </c>
      <c r="B352">
        <f>IF('RFI REGISTER'!$R$57="X",'RFI REGISTER'!A57,"")</f>
        <v/>
      </c>
      <c r="C352">
        <f>IF('RFI REGISTER'!$R$57="X",'RFI REGISTER'!F57,"")</f>
        <v/>
      </c>
      <c r="D352">
        <f>IF('RFI REGISTER'!$R$57="X",'RFI REGISTER'!D57,"")</f>
        <v/>
      </c>
      <c r="E352">
        <f>IF('RFI REGISTER'!$R$57="X",'RFI REGISTER'!B57,"")</f>
        <v/>
      </c>
      <c r="F352">
        <f>IF('RFI REGISTER'!$R$57="X",'RFI REGISTER'!H57,"")</f>
        <v/>
      </c>
      <c r="G352">
        <f>IF('RFI REGISTER'!$R$57="X",'RFI REGISTER'!C57,"")</f>
        <v/>
      </c>
      <c r="H352">
        <f>IF('RFI REGISTER'!$R$57="X","X","")</f>
        <v/>
      </c>
    </row>
    <row r="353" ht="15" customHeight="1" s="130">
      <c r="A353">
        <f>IF('RFI REGISTER'!$R$58="X","RFI REGISTER","")</f>
        <v/>
      </c>
      <c r="B353">
        <f>IF('RFI REGISTER'!$R$58="X",'RFI REGISTER'!A58,"")</f>
        <v/>
      </c>
      <c r="C353">
        <f>IF('RFI REGISTER'!$R$58="X",'RFI REGISTER'!F58,"")</f>
        <v/>
      </c>
      <c r="D353">
        <f>IF('RFI REGISTER'!$R$58="X",'RFI REGISTER'!D58,"")</f>
        <v/>
      </c>
      <c r="E353">
        <f>IF('RFI REGISTER'!$R$58="X",'RFI REGISTER'!B58,"")</f>
        <v/>
      </c>
      <c r="F353">
        <f>IF('RFI REGISTER'!$R$58="X",'RFI REGISTER'!H58,"")</f>
        <v/>
      </c>
      <c r="G353">
        <f>IF('RFI REGISTER'!$R$58="X",'RFI REGISTER'!C58,"")</f>
        <v/>
      </c>
      <c r="H353">
        <f>IF('RFI REGISTER'!$R$58="X","X","")</f>
        <v/>
      </c>
    </row>
    <row r="354" ht="15" customHeight="1" s="130">
      <c r="A354">
        <f>IF('RFI REGISTER'!$R$59="X","RFI REGISTER","")</f>
        <v/>
      </c>
      <c r="B354">
        <f>IF('RFI REGISTER'!$R$59="X",'RFI REGISTER'!A59,"")</f>
        <v/>
      </c>
      <c r="C354">
        <f>IF('RFI REGISTER'!$R$59="X",'RFI REGISTER'!F59,"")</f>
        <v/>
      </c>
      <c r="D354">
        <f>IF('RFI REGISTER'!$R$59="X",'RFI REGISTER'!D59,"")</f>
        <v/>
      </c>
      <c r="E354">
        <f>IF('RFI REGISTER'!$R$59="X",'RFI REGISTER'!B59,"")</f>
        <v/>
      </c>
      <c r="F354">
        <f>IF('RFI REGISTER'!$R$59="X",'RFI REGISTER'!H59,"")</f>
        <v/>
      </c>
      <c r="G354">
        <f>IF('RFI REGISTER'!$R$59="X",'RFI REGISTER'!C59,"")</f>
        <v/>
      </c>
      <c r="H354">
        <f>IF('RFI REGISTER'!$R$59="X","X","")</f>
        <v/>
      </c>
    </row>
    <row r="355" ht="15" customHeight="1" s="130">
      <c r="A355">
        <f>IF('RFI REGISTER'!$R$60="X","RFI REGISTER","")</f>
        <v/>
      </c>
      <c r="B355">
        <f>IF('RFI REGISTER'!$R$60="X",'RFI REGISTER'!A60,"")</f>
        <v/>
      </c>
      <c r="C355">
        <f>IF('RFI REGISTER'!$R$60="X",'RFI REGISTER'!F60,"")</f>
        <v/>
      </c>
      <c r="D355">
        <f>IF('RFI REGISTER'!$R$60="X",'RFI REGISTER'!D60,"")</f>
        <v/>
      </c>
      <c r="E355">
        <f>IF('RFI REGISTER'!$R$60="X",'RFI REGISTER'!B60,"")</f>
        <v/>
      </c>
      <c r="F355">
        <f>IF('RFI REGISTER'!$R$60="X",'RFI REGISTER'!H60,"")</f>
        <v/>
      </c>
      <c r="G355">
        <f>IF('RFI REGISTER'!$R$60="X",'RFI REGISTER'!C60,"")</f>
        <v/>
      </c>
      <c r="H355">
        <f>IF('RFI REGISTER'!$R$60="X","X","")</f>
        <v/>
      </c>
    </row>
    <row r="356" ht="15" customHeight="1" s="130">
      <c r="A356">
        <f>IF('RFI REGISTER'!$R$61="X","RFI REGISTER","")</f>
        <v/>
      </c>
      <c r="B356">
        <f>IF('RFI REGISTER'!$R$61="X",'RFI REGISTER'!A61,"")</f>
        <v/>
      </c>
      <c r="C356">
        <f>IF('RFI REGISTER'!$R$61="X",'RFI REGISTER'!F61,"")</f>
        <v/>
      </c>
      <c r="D356">
        <f>IF('RFI REGISTER'!$R$61="X",'RFI REGISTER'!D61,"")</f>
        <v/>
      </c>
      <c r="E356">
        <f>IF('RFI REGISTER'!$R$61="X",'RFI REGISTER'!B61,"")</f>
        <v/>
      </c>
      <c r="F356">
        <f>IF('RFI REGISTER'!$R$61="X",'RFI REGISTER'!H61,"")</f>
        <v/>
      </c>
      <c r="G356">
        <f>IF('RFI REGISTER'!$R$61="X",'RFI REGISTER'!C61,"")</f>
        <v/>
      </c>
      <c r="H356">
        <f>IF('RFI REGISTER'!$R$61="X","X","")</f>
        <v/>
      </c>
    </row>
    <row r="357" ht="15" customHeight="1" s="130">
      <c r="A357">
        <f>IF('RFI REGISTER'!$R$62="X","RFI REGISTER","")</f>
        <v/>
      </c>
      <c r="B357">
        <f>IF('RFI REGISTER'!$R$62="X",'RFI REGISTER'!A62,"")</f>
        <v/>
      </c>
      <c r="C357">
        <f>IF('RFI REGISTER'!$R$62="X",'RFI REGISTER'!F62,"")</f>
        <v/>
      </c>
      <c r="D357">
        <f>IF('RFI REGISTER'!$R$62="X",'RFI REGISTER'!D62,"")</f>
        <v/>
      </c>
      <c r="E357">
        <f>IF('RFI REGISTER'!$R$62="X",'RFI REGISTER'!B62,"")</f>
        <v/>
      </c>
      <c r="F357">
        <f>IF('RFI REGISTER'!$R$62="X",'RFI REGISTER'!H62,"")</f>
        <v/>
      </c>
      <c r="G357">
        <f>IF('RFI REGISTER'!$R$62="X",'RFI REGISTER'!C62,"")</f>
        <v/>
      </c>
      <c r="H357">
        <f>IF('RFI REGISTER'!$R$62="X","X","")</f>
        <v/>
      </c>
    </row>
    <row r="358" ht="15" customHeight="1" s="130">
      <c r="A358">
        <f>IF('RFI REGISTER'!$R$63="X","RFI REGISTER","")</f>
        <v/>
      </c>
      <c r="B358">
        <f>IF('RFI REGISTER'!$R$63="X",'RFI REGISTER'!A63,"")</f>
        <v/>
      </c>
      <c r="C358">
        <f>IF('RFI REGISTER'!$R$63="X",'RFI REGISTER'!F63,"")</f>
        <v/>
      </c>
      <c r="D358">
        <f>IF('RFI REGISTER'!$R$63="X",'RFI REGISTER'!D63,"")</f>
        <v/>
      </c>
      <c r="E358">
        <f>IF('RFI REGISTER'!$R$63="X",'RFI REGISTER'!B63,"")</f>
        <v/>
      </c>
      <c r="F358">
        <f>IF('RFI REGISTER'!$R$63="X",'RFI REGISTER'!H63,"")</f>
        <v/>
      </c>
      <c r="G358">
        <f>IF('RFI REGISTER'!$R$63="X",'RFI REGISTER'!C63,"")</f>
        <v/>
      </c>
      <c r="H358">
        <f>IF('RFI REGISTER'!$R$63="X","X","")</f>
        <v/>
      </c>
    </row>
    <row r="359" ht="15" customHeight="1" s="130">
      <c r="A359">
        <f>IF('RFI REGISTER'!$R$64="X","RFI REGISTER","")</f>
        <v/>
      </c>
      <c r="B359">
        <f>IF('RFI REGISTER'!$R$64="X",'RFI REGISTER'!A64,"")</f>
        <v/>
      </c>
      <c r="C359">
        <f>IF('RFI REGISTER'!$R$64="X",'RFI REGISTER'!F64,"")</f>
        <v/>
      </c>
      <c r="D359">
        <f>IF('RFI REGISTER'!$R$64="X",'RFI REGISTER'!D64,"")</f>
        <v/>
      </c>
      <c r="E359">
        <f>IF('RFI REGISTER'!$R$64="X",'RFI REGISTER'!B64,"")</f>
        <v/>
      </c>
      <c r="F359">
        <f>IF('RFI REGISTER'!$R$64="X",'RFI REGISTER'!H64,"")</f>
        <v/>
      </c>
      <c r="G359">
        <f>IF('RFI REGISTER'!$R$64="X",'RFI REGISTER'!C64,"")</f>
        <v/>
      </c>
      <c r="H359">
        <f>IF('RFI REGISTER'!$R$64="X","X","")</f>
        <v/>
      </c>
    </row>
    <row r="360" ht="15" customHeight="1" s="130">
      <c r="A360">
        <f>IF('RFI REGISTER'!$R$65="X","RFI REGISTER","")</f>
        <v/>
      </c>
      <c r="B360">
        <f>IF('RFI REGISTER'!$R$65="X",'RFI REGISTER'!A65,"")</f>
        <v/>
      </c>
      <c r="C360">
        <f>IF('RFI REGISTER'!$R$65="X",'RFI REGISTER'!F65,"")</f>
        <v/>
      </c>
      <c r="D360">
        <f>IF('RFI REGISTER'!$R$65="X",'RFI REGISTER'!D65,"")</f>
        <v/>
      </c>
      <c r="E360">
        <f>IF('RFI REGISTER'!$R$65="X",'RFI REGISTER'!B65,"")</f>
        <v/>
      </c>
      <c r="F360">
        <f>IF('RFI REGISTER'!$R$65="X",'RFI REGISTER'!H65,"")</f>
        <v/>
      </c>
      <c r="G360">
        <f>IF('RFI REGISTER'!$R$65="X",'RFI REGISTER'!C65,"")</f>
        <v/>
      </c>
      <c r="H360">
        <f>IF('RFI REGISTER'!$R$65="X","X","")</f>
        <v/>
      </c>
    </row>
    <row r="361" ht="15" customHeight="1" s="130">
      <c r="A361">
        <f>IF('RFI REGISTER'!$R$66="X","RFI REGISTER","")</f>
        <v/>
      </c>
      <c r="B361">
        <f>IF('RFI REGISTER'!$R$66="X",'RFI REGISTER'!A66,"")</f>
        <v/>
      </c>
      <c r="C361">
        <f>IF('RFI REGISTER'!$R$66="X",'RFI REGISTER'!F66,"")</f>
        <v/>
      </c>
      <c r="D361">
        <f>IF('RFI REGISTER'!$R$66="X",'RFI REGISTER'!D66,"")</f>
        <v/>
      </c>
      <c r="E361">
        <f>IF('RFI REGISTER'!$R$66="X",'RFI REGISTER'!B66,"")</f>
        <v/>
      </c>
      <c r="F361">
        <f>IF('RFI REGISTER'!$R$66="X",'RFI REGISTER'!H66,"")</f>
        <v/>
      </c>
      <c r="G361">
        <f>IF('RFI REGISTER'!$R$66="X",'RFI REGISTER'!C66,"")</f>
        <v/>
      </c>
      <c r="H361">
        <f>IF('RFI REGISTER'!$R$66="X","X","")</f>
        <v/>
      </c>
    </row>
    <row r="362" ht="15" customHeight="1" s="130">
      <c r="A362">
        <f>IF('RFI REGISTER'!$R$67="X","RFI REGISTER","")</f>
        <v/>
      </c>
      <c r="B362">
        <f>IF('RFI REGISTER'!$R$67="X",'RFI REGISTER'!A67,"")</f>
        <v/>
      </c>
      <c r="C362">
        <f>IF('RFI REGISTER'!$R$67="X",'RFI REGISTER'!F67,"")</f>
        <v/>
      </c>
      <c r="D362">
        <f>IF('RFI REGISTER'!$R$67="X",'RFI REGISTER'!D67,"")</f>
        <v/>
      </c>
      <c r="E362">
        <f>IF('RFI REGISTER'!$R$67="X",'RFI REGISTER'!B67,"")</f>
        <v/>
      </c>
      <c r="F362">
        <f>IF('RFI REGISTER'!$R$67="X",'RFI REGISTER'!H67,"")</f>
        <v/>
      </c>
      <c r="G362">
        <f>IF('RFI REGISTER'!$R$67="X",'RFI REGISTER'!C67,"")</f>
        <v/>
      </c>
      <c r="H362">
        <f>IF('RFI REGISTER'!$R$67="X","X","")</f>
        <v/>
      </c>
    </row>
    <row r="363" ht="15" customHeight="1" s="130">
      <c r="A363">
        <f>IF('RFI REGISTER'!$R$68="X","RFI REGISTER","")</f>
        <v/>
      </c>
      <c r="B363">
        <f>IF('RFI REGISTER'!$R$68="X",'RFI REGISTER'!A68,"")</f>
        <v/>
      </c>
      <c r="C363">
        <f>IF('RFI REGISTER'!$R$68="X",'RFI REGISTER'!F68,"")</f>
        <v/>
      </c>
      <c r="D363">
        <f>IF('RFI REGISTER'!$R$68="X",'RFI REGISTER'!D68,"")</f>
        <v/>
      </c>
      <c r="E363">
        <f>IF('RFI REGISTER'!$R$68="X",'RFI REGISTER'!B68,"")</f>
        <v/>
      </c>
      <c r="F363">
        <f>IF('RFI REGISTER'!$R$68="X",'RFI REGISTER'!H68,"")</f>
        <v/>
      </c>
      <c r="G363">
        <f>IF('RFI REGISTER'!$R$68="X",'RFI REGISTER'!C68,"")</f>
        <v/>
      </c>
      <c r="H363">
        <f>IF('RFI REGISTER'!$R$68="X","X","")</f>
        <v/>
      </c>
    </row>
    <row r="364" ht="15" customHeight="1" s="130">
      <c r="A364">
        <f>IF('RFI REGISTER'!$R$69="X","RFI REGISTER","")</f>
        <v/>
      </c>
      <c r="B364">
        <f>IF('RFI REGISTER'!$R$69="X",'RFI REGISTER'!A69,"")</f>
        <v/>
      </c>
      <c r="C364">
        <f>IF('RFI REGISTER'!$R$69="X",'RFI REGISTER'!F69,"")</f>
        <v/>
      </c>
      <c r="D364">
        <f>IF('RFI REGISTER'!$R$69="X",'RFI REGISTER'!D69,"")</f>
        <v/>
      </c>
      <c r="E364">
        <f>IF('RFI REGISTER'!$R$69="X",'RFI REGISTER'!B69,"")</f>
        <v/>
      </c>
      <c r="F364">
        <f>IF('RFI REGISTER'!$R$69="X",'RFI REGISTER'!H69,"")</f>
        <v/>
      </c>
      <c r="G364">
        <f>IF('RFI REGISTER'!$R$69="X",'RFI REGISTER'!C69,"")</f>
        <v/>
      </c>
      <c r="H364">
        <f>IF('RFI REGISTER'!$R$69="X","X","")</f>
        <v/>
      </c>
    </row>
    <row r="365" ht="15" customHeight="1" s="130">
      <c r="A365">
        <f>IF('RFI REGISTER'!$R$70="X","RFI REGISTER","")</f>
        <v/>
      </c>
      <c r="B365">
        <f>IF('RFI REGISTER'!$R$70="X",'RFI REGISTER'!A70,"")</f>
        <v/>
      </c>
      <c r="C365">
        <f>IF('RFI REGISTER'!$R$70="X",'RFI REGISTER'!F70,"")</f>
        <v/>
      </c>
      <c r="D365">
        <f>IF('RFI REGISTER'!$R$70="X",'RFI REGISTER'!D70,"")</f>
        <v/>
      </c>
      <c r="E365">
        <f>IF('RFI REGISTER'!$R$70="X",'RFI REGISTER'!B70,"")</f>
        <v/>
      </c>
      <c r="F365">
        <f>IF('RFI REGISTER'!$R$70="X",'RFI REGISTER'!H70,"")</f>
        <v/>
      </c>
      <c r="G365">
        <f>IF('RFI REGISTER'!$R$70="X",'RFI REGISTER'!C70,"")</f>
        <v/>
      </c>
      <c r="H365">
        <f>IF('RFI REGISTER'!$R$70="X","X","")</f>
        <v/>
      </c>
    </row>
    <row r="366" ht="15" customHeight="1" s="130">
      <c r="A366">
        <f>IF('RFI REGISTER'!$R$71="X","RFI REGISTER","")</f>
        <v/>
      </c>
      <c r="B366">
        <f>IF('RFI REGISTER'!$R$71="X",'RFI REGISTER'!A71,"")</f>
        <v/>
      </c>
      <c r="C366">
        <f>IF('RFI REGISTER'!$R$71="X",'RFI REGISTER'!F71,"")</f>
        <v/>
      </c>
      <c r="D366">
        <f>IF('RFI REGISTER'!$R$71="X",'RFI REGISTER'!D71,"")</f>
        <v/>
      </c>
      <c r="E366">
        <f>IF('RFI REGISTER'!$R$71="X",'RFI REGISTER'!B71,"")</f>
        <v/>
      </c>
      <c r="F366">
        <f>IF('RFI REGISTER'!$R$71="X",'RFI REGISTER'!H71,"")</f>
        <v/>
      </c>
      <c r="G366">
        <f>IF('RFI REGISTER'!$R$71="X",'RFI REGISTER'!C71,"")</f>
        <v/>
      </c>
      <c r="H366">
        <f>IF('RFI REGISTER'!$R$71="X","X","")</f>
        <v/>
      </c>
    </row>
    <row r="367" ht="15" customHeight="1" s="130">
      <c r="A367">
        <f>IF('RFI REGISTER'!$R$72="X","RFI REGISTER","")</f>
        <v/>
      </c>
      <c r="B367">
        <f>IF('RFI REGISTER'!$R$72="X",'RFI REGISTER'!A72,"")</f>
        <v/>
      </c>
      <c r="C367">
        <f>IF('RFI REGISTER'!$R$72="X",'RFI REGISTER'!F72,"")</f>
        <v/>
      </c>
      <c r="D367">
        <f>IF('RFI REGISTER'!$R$72="X",'RFI REGISTER'!D72,"")</f>
        <v/>
      </c>
      <c r="E367">
        <f>IF('RFI REGISTER'!$R$72="X",'RFI REGISTER'!B72,"")</f>
        <v/>
      </c>
      <c r="F367">
        <f>IF('RFI REGISTER'!$R$72="X",'RFI REGISTER'!H72,"")</f>
        <v/>
      </c>
      <c r="G367">
        <f>IF('RFI REGISTER'!$R$72="X",'RFI REGISTER'!C72,"")</f>
        <v/>
      </c>
      <c r="H367">
        <f>IF('RFI REGISTER'!$R$72="X","X","")</f>
        <v/>
      </c>
    </row>
    <row r="368" ht="15" customHeight="1" s="130">
      <c r="A368">
        <f>IF('RFI REGISTER'!$R$73="X","RFI REGISTER","")</f>
        <v/>
      </c>
      <c r="B368">
        <f>IF('RFI REGISTER'!$R$73="X",'RFI REGISTER'!A73,"")</f>
        <v/>
      </c>
      <c r="C368">
        <f>IF('RFI REGISTER'!$R$73="X",'RFI REGISTER'!F73,"")</f>
        <v/>
      </c>
      <c r="D368">
        <f>IF('RFI REGISTER'!$R$73="X",'RFI REGISTER'!D73,"")</f>
        <v/>
      </c>
      <c r="E368">
        <f>IF('RFI REGISTER'!$R$73="X",'RFI REGISTER'!B73,"")</f>
        <v/>
      </c>
      <c r="F368">
        <f>IF('RFI REGISTER'!$R$73="X",'RFI REGISTER'!H73,"")</f>
        <v/>
      </c>
      <c r="G368">
        <f>IF('RFI REGISTER'!$R$73="X",'RFI REGISTER'!C73,"")</f>
        <v/>
      </c>
      <c r="H368">
        <f>IF('RFI REGISTER'!$R$73="X","X","")</f>
        <v/>
      </c>
    </row>
    <row r="369" ht="15" customHeight="1" s="130">
      <c r="A369">
        <f>IF('RFI REGISTER'!$R$74="X","RFI REGISTER","")</f>
        <v/>
      </c>
      <c r="B369">
        <f>IF('RFI REGISTER'!$R$74="X",'RFI REGISTER'!A74,"")</f>
        <v/>
      </c>
      <c r="C369">
        <f>IF('RFI REGISTER'!$R$74="X",'RFI REGISTER'!F74,"")</f>
        <v/>
      </c>
      <c r="D369">
        <f>IF('RFI REGISTER'!$R$74="X",'RFI REGISTER'!D74,"")</f>
        <v/>
      </c>
      <c r="E369">
        <f>IF('RFI REGISTER'!$R$74="X",'RFI REGISTER'!B74,"")</f>
        <v/>
      </c>
      <c r="F369">
        <f>IF('RFI REGISTER'!$R$74="X",'RFI REGISTER'!H74,"")</f>
        <v/>
      </c>
      <c r="G369">
        <f>IF('RFI REGISTER'!$R$74="X",'RFI REGISTER'!C74,"")</f>
        <v/>
      </c>
      <c r="H369">
        <f>IF('RFI REGISTER'!$R$74="X","X","")</f>
        <v/>
      </c>
    </row>
    <row r="370" ht="15" customHeight="1" s="130">
      <c r="A370">
        <f>IF('RFI REGISTER'!$R$75="X","RFI REGISTER","")</f>
        <v/>
      </c>
      <c r="B370">
        <f>IF('RFI REGISTER'!$R$75="X",'RFI REGISTER'!A75,"")</f>
        <v/>
      </c>
      <c r="C370">
        <f>IF('RFI REGISTER'!$R$75="X",'RFI REGISTER'!F75,"")</f>
        <v/>
      </c>
      <c r="D370">
        <f>IF('RFI REGISTER'!$R$75="X",'RFI REGISTER'!D75,"")</f>
        <v/>
      </c>
      <c r="E370">
        <f>IF('RFI REGISTER'!$R$75="X",'RFI REGISTER'!B75,"")</f>
        <v/>
      </c>
      <c r="F370">
        <f>IF('RFI REGISTER'!$R$75="X",'RFI REGISTER'!H75,"")</f>
        <v/>
      </c>
      <c r="G370">
        <f>IF('RFI REGISTER'!$R$75="X",'RFI REGISTER'!C75,"")</f>
        <v/>
      </c>
      <c r="H370">
        <f>IF('RFI REGISTER'!$R$75="X","X","")</f>
        <v/>
      </c>
    </row>
    <row r="371" ht="15" customHeight="1" s="130">
      <c r="A371">
        <f>IF('RFI REGISTER'!$R$76="X","RFI REGISTER","")</f>
        <v/>
      </c>
      <c r="B371">
        <f>IF('RFI REGISTER'!$R$76="X",'RFI REGISTER'!A76,"")</f>
        <v/>
      </c>
      <c r="C371">
        <f>IF('RFI REGISTER'!$R$76="X",'RFI REGISTER'!F76,"")</f>
        <v/>
      </c>
      <c r="D371">
        <f>IF('RFI REGISTER'!$R$76="X",'RFI REGISTER'!D76,"")</f>
        <v/>
      </c>
      <c r="E371">
        <f>IF('RFI REGISTER'!$R$76="X",'RFI REGISTER'!B76,"")</f>
        <v/>
      </c>
      <c r="F371">
        <f>IF('RFI REGISTER'!$R$76="X",'RFI REGISTER'!H76,"")</f>
        <v/>
      </c>
      <c r="G371">
        <f>IF('RFI REGISTER'!$R$76="X",'RFI REGISTER'!C76,"")</f>
        <v/>
      </c>
      <c r="H371">
        <f>IF('RFI REGISTER'!$R$76="X","X","")</f>
        <v/>
      </c>
    </row>
    <row r="372" ht="15" customHeight="1" s="130">
      <c r="A372">
        <f>IF('RFI REGISTER'!$R$77="X","RFI REGISTER","")</f>
        <v/>
      </c>
      <c r="B372">
        <f>IF('RFI REGISTER'!$R$77="X",'RFI REGISTER'!A77,"")</f>
        <v/>
      </c>
      <c r="C372">
        <f>IF('RFI REGISTER'!$R$77="X",'RFI REGISTER'!F77,"")</f>
        <v/>
      </c>
      <c r="D372">
        <f>IF('RFI REGISTER'!$R$77="X",'RFI REGISTER'!D77,"")</f>
        <v/>
      </c>
      <c r="E372">
        <f>IF('RFI REGISTER'!$R$77="X",'RFI REGISTER'!B77,"")</f>
        <v/>
      </c>
      <c r="F372">
        <f>IF('RFI REGISTER'!$R$77="X",'RFI REGISTER'!H77,"")</f>
        <v/>
      </c>
      <c r="G372">
        <f>IF('RFI REGISTER'!$R$77="X",'RFI REGISTER'!C77,"")</f>
        <v/>
      </c>
      <c r="H372">
        <f>IF('RFI REGISTER'!$R$77="X","X","")</f>
        <v/>
      </c>
    </row>
    <row r="373" ht="15" customHeight="1" s="130">
      <c r="A373">
        <f>IF('RFI REGISTER'!$R$78="X","RFI REGISTER","")</f>
        <v/>
      </c>
      <c r="B373">
        <f>IF('RFI REGISTER'!$R$78="X",'RFI REGISTER'!A78,"")</f>
        <v/>
      </c>
      <c r="C373">
        <f>IF('RFI REGISTER'!$R$78="X",'RFI REGISTER'!F78,"")</f>
        <v/>
      </c>
      <c r="D373">
        <f>IF('RFI REGISTER'!$R$78="X",'RFI REGISTER'!D78,"")</f>
        <v/>
      </c>
      <c r="E373">
        <f>IF('RFI REGISTER'!$R$78="X",'RFI REGISTER'!B78,"")</f>
        <v/>
      </c>
      <c r="F373">
        <f>IF('RFI REGISTER'!$R$78="X",'RFI REGISTER'!H78,"")</f>
        <v/>
      </c>
      <c r="G373">
        <f>IF('RFI REGISTER'!$R$78="X",'RFI REGISTER'!C78,"")</f>
        <v/>
      </c>
      <c r="H373">
        <f>IF('RFI REGISTER'!$R$78="X","X","")</f>
        <v/>
      </c>
    </row>
    <row r="374" ht="15" customHeight="1" s="130">
      <c r="A374">
        <f>IF('RFI REGISTER'!$R$79="X","RFI REGISTER","")</f>
        <v/>
      </c>
      <c r="B374">
        <f>IF('RFI REGISTER'!$R$79="X",'RFI REGISTER'!A79,"")</f>
        <v/>
      </c>
      <c r="C374">
        <f>IF('RFI REGISTER'!$R$79="X",'RFI REGISTER'!F79,"")</f>
        <v/>
      </c>
      <c r="D374">
        <f>IF('RFI REGISTER'!$R$79="X",'RFI REGISTER'!D79,"")</f>
        <v/>
      </c>
      <c r="E374">
        <f>IF('RFI REGISTER'!$R$79="X",'RFI REGISTER'!B79,"")</f>
        <v/>
      </c>
      <c r="F374">
        <f>IF('RFI REGISTER'!$R$79="X",'RFI REGISTER'!H79,"")</f>
        <v/>
      </c>
      <c r="G374">
        <f>IF('RFI REGISTER'!$R$79="X",'RFI REGISTER'!C79,"")</f>
        <v/>
      </c>
      <c r="H374">
        <f>IF('RFI REGISTER'!$R$79="X","X","")</f>
        <v/>
      </c>
    </row>
    <row r="375" ht="15" customHeight="1" s="130">
      <c r="A375">
        <f>IF('RFI REGISTER'!$R$80="X","RFI REGISTER","")</f>
        <v/>
      </c>
      <c r="B375">
        <f>IF('RFI REGISTER'!$R$80="X",'RFI REGISTER'!A80,"")</f>
        <v/>
      </c>
      <c r="C375">
        <f>IF('RFI REGISTER'!$R$80="X",'RFI REGISTER'!F80,"")</f>
        <v/>
      </c>
      <c r="D375">
        <f>IF('RFI REGISTER'!$R$80="X",'RFI REGISTER'!D80,"")</f>
        <v/>
      </c>
      <c r="E375">
        <f>IF('RFI REGISTER'!$R$80="X",'RFI REGISTER'!B80,"")</f>
        <v/>
      </c>
      <c r="F375">
        <f>IF('RFI REGISTER'!$R$80="X",'RFI REGISTER'!H80,"")</f>
        <v/>
      </c>
      <c r="G375">
        <f>IF('RFI REGISTER'!$R$80="X",'RFI REGISTER'!C80,"")</f>
        <v/>
      </c>
      <c r="H375">
        <f>IF('RFI REGISTER'!$R$80="X","X","")</f>
        <v/>
      </c>
    </row>
    <row r="376" ht="15" customHeight="1" s="130">
      <c r="A376">
        <f>IF('RFI REGISTER'!$R$81="X","RFI REGISTER","")</f>
        <v/>
      </c>
      <c r="B376">
        <f>IF('RFI REGISTER'!$R$81="X",'RFI REGISTER'!A81,"")</f>
        <v/>
      </c>
      <c r="C376">
        <f>IF('RFI REGISTER'!$R$81="X",'RFI REGISTER'!F81,"")</f>
        <v/>
      </c>
      <c r="D376">
        <f>IF('RFI REGISTER'!$R$81="X",'RFI REGISTER'!D81,"")</f>
        <v/>
      </c>
      <c r="E376">
        <f>IF('RFI REGISTER'!$R$81="X",'RFI REGISTER'!B81,"")</f>
        <v/>
      </c>
      <c r="F376">
        <f>IF('RFI REGISTER'!$R$81="X",'RFI REGISTER'!H81,"")</f>
        <v/>
      </c>
      <c r="G376">
        <f>IF('RFI REGISTER'!$R$81="X",'RFI REGISTER'!C81,"")</f>
        <v/>
      </c>
      <c r="H376">
        <f>IF('RFI REGISTER'!$R$81="X","X","")</f>
        <v/>
      </c>
    </row>
    <row r="377" ht="15" customHeight="1" s="130">
      <c r="A377">
        <f>IF('RFI REGISTER'!$R$82="X","RFI REGISTER","")</f>
        <v/>
      </c>
      <c r="B377">
        <f>IF('RFI REGISTER'!$R$82="X",'RFI REGISTER'!A82,"")</f>
        <v/>
      </c>
      <c r="C377">
        <f>IF('RFI REGISTER'!$R$82="X",'RFI REGISTER'!F82,"")</f>
        <v/>
      </c>
      <c r="D377">
        <f>IF('RFI REGISTER'!$R$82="X",'RFI REGISTER'!D82,"")</f>
        <v/>
      </c>
      <c r="E377">
        <f>IF('RFI REGISTER'!$R$82="X",'RFI REGISTER'!B82,"")</f>
        <v/>
      </c>
      <c r="F377">
        <f>IF('RFI REGISTER'!$R$82="X",'RFI REGISTER'!H82,"")</f>
        <v/>
      </c>
      <c r="G377">
        <f>IF('RFI REGISTER'!$R$82="X",'RFI REGISTER'!C82,"")</f>
        <v/>
      </c>
      <c r="H377">
        <f>IF('RFI REGISTER'!$R$82="X","X","")</f>
        <v/>
      </c>
    </row>
    <row r="378" ht="15" customHeight="1" s="130">
      <c r="A378">
        <f>IF('RFI REGISTER'!$R$83="X","RFI REGISTER","")</f>
        <v/>
      </c>
      <c r="B378">
        <f>IF('RFI REGISTER'!$R$83="X",'RFI REGISTER'!A83,"")</f>
        <v/>
      </c>
      <c r="C378">
        <f>IF('RFI REGISTER'!$R$83="X",'RFI REGISTER'!F83,"")</f>
        <v/>
      </c>
      <c r="D378">
        <f>IF('RFI REGISTER'!$R$83="X",'RFI REGISTER'!D83,"")</f>
        <v/>
      </c>
      <c r="E378">
        <f>IF('RFI REGISTER'!$R$83="X",'RFI REGISTER'!B83,"")</f>
        <v/>
      </c>
      <c r="F378">
        <f>IF('RFI REGISTER'!$R$83="X",'RFI REGISTER'!H83,"")</f>
        <v/>
      </c>
      <c r="G378">
        <f>IF('RFI REGISTER'!$R$83="X",'RFI REGISTER'!C83,"")</f>
        <v/>
      </c>
      <c r="H378">
        <f>IF('RFI REGISTER'!$R$83="X","X","")</f>
        <v/>
      </c>
    </row>
    <row r="379" ht="15" customHeight="1" s="130">
      <c r="A379">
        <f>IF('RFI REGISTER'!$R$84="X","RFI REGISTER","")</f>
        <v/>
      </c>
      <c r="B379">
        <f>IF('RFI REGISTER'!$R$84="X",'RFI REGISTER'!A84,"")</f>
        <v/>
      </c>
      <c r="C379">
        <f>IF('RFI REGISTER'!$R$84="X",'RFI REGISTER'!F84,"")</f>
        <v/>
      </c>
      <c r="D379">
        <f>IF('RFI REGISTER'!$R$84="X",'RFI REGISTER'!D84,"")</f>
        <v/>
      </c>
      <c r="E379">
        <f>IF('RFI REGISTER'!$R$84="X",'RFI REGISTER'!B84,"")</f>
        <v/>
      </c>
      <c r="F379">
        <f>IF('RFI REGISTER'!$R$84="X",'RFI REGISTER'!H84,"")</f>
        <v/>
      </c>
      <c r="G379">
        <f>IF('RFI REGISTER'!$R$84="X",'RFI REGISTER'!C84,"")</f>
        <v/>
      </c>
      <c r="H379">
        <f>IF('RFI REGISTER'!$R$84="X","X","")</f>
        <v/>
      </c>
    </row>
    <row r="380" ht="15" customHeight="1" s="130">
      <c r="A380">
        <f>IF('RFI REGISTER'!$R$85="X","RFI REGISTER","")</f>
        <v/>
      </c>
      <c r="B380">
        <f>IF('RFI REGISTER'!$R$85="X",'RFI REGISTER'!A85,"")</f>
        <v/>
      </c>
      <c r="C380">
        <f>IF('RFI REGISTER'!$R$85="X",'RFI REGISTER'!F85,"")</f>
        <v/>
      </c>
      <c r="D380">
        <f>IF('RFI REGISTER'!$R$85="X",'RFI REGISTER'!D85,"")</f>
        <v/>
      </c>
      <c r="E380">
        <f>IF('RFI REGISTER'!$R$85="X",'RFI REGISTER'!B85,"")</f>
        <v/>
      </c>
      <c r="F380">
        <f>IF('RFI REGISTER'!$R$85="X",'RFI REGISTER'!H85,"")</f>
        <v/>
      </c>
      <c r="G380">
        <f>IF('RFI REGISTER'!$R$85="X",'RFI REGISTER'!C85,"")</f>
        <v/>
      </c>
      <c r="H380">
        <f>IF('RFI REGISTER'!$R$85="X","X","")</f>
        <v/>
      </c>
    </row>
    <row r="381" ht="15" customHeight="1" s="130">
      <c r="A381">
        <f>IF('RFI REGISTER'!$R$86="X","RFI REGISTER","")</f>
        <v/>
      </c>
      <c r="B381">
        <f>IF('RFI REGISTER'!$R$86="X",'RFI REGISTER'!A86,"")</f>
        <v/>
      </c>
      <c r="C381">
        <f>IF('RFI REGISTER'!$R$86="X",'RFI REGISTER'!F86,"")</f>
        <v/>
      </c>
      <c r="D381">
        <f>IF('RFI REGISTER'!$R$86="X",'RFI REGISTER'!D86,"")</f>
        <v/>
      </c>
      <c r="E381">
        <f>IF('RFI REGISTER'!$R$86="X",'RFI REGISTER'!B86,"")</f>
        <v/>
      </c>
      <c r="F381">
        <f>IF('RFI REGISTER'!$R$86="X",'RFI REGISTER'!H86,"")</f>
        <v/>
      </c>
      <c r="G381">
        <f>IF('RFI REGISTER'!$R$86="X",'RFI REGISTER'!C86,"")</f>
        <v/>
      </c>
      <c r="H381">
        <f>IF('RFI REGISTER'!$R$86="X","X","")</f>
        <v/>
      </c>
    </row>
    <row r="382" ht="15" customHeight="1" s="130">
      <c r="A382">
        <f>IF('RFI REGISTER'!$R$87="X","RFI REGISTER","")</f>
        <v/>
      </c>
      <c r="B382">
        <f>IF('RFI REGISTER'!$R$87="X",'RFI REGISTER'!A87,"")</f>
        <v/>
      </c>
      <c r="C382">
        <f>IF('RFI REGISTER'!$R$87="X",'RFI REGISTER'!F87,"")</f>
        <v/>
      </c>
      <c r="D382">
        <f>IF('RFI REGISTER'!$R$87="X",'RFI REGISTER'!D87,"")</f>
        <v/>
      </c>
      <c r="E382">
        <f>IF('RFI REGISTER'!$R$87="X",'RFI REGISTER'!B87,"")</f>
        <v/>
      </c>
      <c r="F382">
        <f>IF('RFI REGISTER'!$R$87="X",'RFI REGISTER'!H87,"")</f>
        <v/>
      </c>
      <c r="G382">
        <f>IF('RFI REGISTER'!$R$87="X",'RFI REGISTER'!C87,"")</f>
        <v/>
      </c>
      <c r="H382">
        <f>IF('RFI REGISTER'!$R$87="X","X","")</f>
        <v/>
      </c>
    </row>
    <row r="383" ht="15" customHeight="1" s="130">
      <c r="A383">
        <f>IF('RFI REGISTER'!$R$88="X","RFI REGISTER","")</f>
        <v/>
      </c>
      <c r="B383">
        <f>IF('RFI REGISTER'!$R$88="X",'RFI REGISTER'!A88,"")</f>
        <v/>
      </c>
      <c r="C383">
        <f>IF('RFI REGISTER'!$R$88="X",'RFI REGISTER'!F88,"")</f>
        <v/>
      </c>
      <c r="D383">
        <f>IF('RFI REGISTER'!$R$88="X",'RFI REGISTER'!D88,"")</f>
        <v/>
      </c>
      <c r="E383">
        <f>IF('RFI REGISTER'!$R$88="X",'RFI REGISTER'!B88,"")</f>
        <v/>
      </c>
      <c r="F383">
        <f>IF('RFI REGISTER'!$R$88="X",'RFI REGISTER'!H88,"")</f>
        <v/>
      </c>
      <c r="G383">
        <f>IF('RFI REGISTER'!$R$88="X",'RFI REGISTER'!C88,"")</f>
        <v/>
      </c>
      <c r="H383">
        <f>IF('RFI REGISTER'!$R$88="X","X","")</f>
        <v/>
      </c>
    </row>
    <row r="384" ht="15" customHeight="1" s="130">
      <c r="A384">
        <f>IF('RFI REGISTER'!$R$89="X","RFI REGISTER","")</f>
        <v/>
      </c>
      <c r="B384">
        <f>IF('RFI REGISTER'!$R$89="X",'RFI REGISTER'!A89,"")</f>
        <v/>
      </c>
      <c r="C384">
        <f>IF('RFI REGISTER'!$R$89="X",'RFI REGISTER'!F89,"")</f>
        <v/>
      </c>
      <c r="D384">
        <f>IF('RFI REGISTER'!$R$89="X",'RFI REGISTER'!D89,"")</f>
        <v/>
      </c>
      <c r="E384">
        <f>IF('RFI REGISTER'!$R$89="X",'RFI REGISTER'!B89,"")</f>
        <v/>
      </c>
      <c r="F384">
        <f>IF('RFI REGISTER'!$R$89="X",'RFI REGISTER'!H89,"")</f>
        <v/>
      </c>
      <c r="G384">
        <f>IF('RFI REGISTER'!$R$89="X",'RFI REGISTER'!C89,"")</f>
        <v/>
      </c>
      <c r="H384">
        <f>IF('RFI REGISTER'!$R$89="X","X","")</f>
        <v/>
      </c>
    </row>
    <row r="385" ht="15" customHeight="1" s="130">
      <c r="A385">
        <f>IF('RFI REGISTER'!$R$90="X","RFI REGISTER","")</f>
        <v/>
      </c>
      <c r="B385">
        <f>IF('RFI REGISTER'!$R$90="X",'RFI REGISTER'!A90,"")</f>
        <v/>
      </c>
      <c r="C385">
        <f>IF('RFI REGISTER'!$R$90="X",'RFI REGISTER'!F90,"")</f>
        <v/>
      </c>
      <c r="D385">
        <f>IF('RFI REGISTER'!$R$90="X",'RFI REGISTER'!D90,"")</f>
        <v/>
      </c>
      <c r="E385">
        <f>IF('RFI REGISTER'!$R$90="X",'RFI REGISTER'!B90,"")</f>
        <v/>
      </c>
      <c r="F385">
        <f>IF('RFI REGISTER'!$R$90="X",'RFI REGISTER'!H90,"")</f>
        <v/>
      </c>
      <c r="G385">
        <f>IF('RFI REGISTER'!$R$90="X",'RFI REGISTER'!C90,"")</f>
        <v/>
      </c>
      <c r="H385">
        <f>IF('RFI REGISTER'!$R$90="X","X","")</f>
        <v/>
      </c>
    </row>
    <row r="386" ht="15" customHeight="1" s="130">
      <c r="A386">
        <f>IF('RFI REGISTER'!$R$91="X","RFI REGISTER","")</f>
        <v/>
      </c>
      <c r="B386">
        <f>IF('RFI REGISTER'!$R$91="X",'RFI REGISTER'!A91,"")</f>
        <v/>
      </c>
      <c r="C386">
        <f>IF('RFI REGISTER'!$R$91="X",'RFI REGISTER'!F91,"")</f>
        <v/>
      </c>
      <c r="D386">
        <f>IF('RFI REGISTER'!$R$91="X",'RFI REGISTER'!D91,"")</f>
        <v/>
      </c>
      <c r="E386">
        <f>IF('RFI REGISTER'!$R$91="X",'RFI REGISTER'!B91,"")</f>
        <v/>
      </c>
      <c r="F386">
        <f>IF('RFI REGISTER'!$R$91="X",'RFI REGISTER'!H91,"")</f>
        <v/>
      </c>
      <c r="G386">
        <f>IF('RFI REGISTER'!$R$91="X",'RFI REGISTER'!C91,"")</f>
        <v/>
      </c>
      <c r="H386">
        <f>IF('RFI REGISTER'!$R$91="X","X","")</f>
        <v/>
      </c>
    </row>
    <row r="387" ht="15" customHeight="1" s="130">
      <c r="A387">
        <f>IF('RFI REGISTER'!$R$92="X","RFI REGISTER","")</f>
        <v/>
      </c>
      <c r="B387">
        <f>IF('RFI REGISTER'!$R$92="X",'RFI REGISTER'!A92,"")</f>
        <v/>
      </c>
      <c r="C387">
        <f>IF('RFI REGISTER'!$R$92="X",'RFI REGISTER'!F92,"")</f>
        <v/>
      </c>
      <c r="D387">
        <f>IF('RFI REGISTER'!$R$92="X",'RFI REGISTER'!D92,"")</f>
        <v/>
      </c>
      <c r="E387">
        <f>IF('RFI REGISTER'!$R$92="X",'RFI REGISTER'!B92,"")</f>
        <v/>
      </c>
      <c r="F387">
        <f>IF('RFI REGISTER'!$R$92="X",'RFI REGISTER'!H92,"")</f>
        <v/>
      </c>
      <c r="G387">
        <f>IF('RFI REGISTER'!$R$92="X",'RFI REGISTER'!C92,"")</f>
        <v/>
      </c>
      <c r="H387">
        <f>IF('RFI REGISTER'!$R$92="X","X","")</f>
        <v/>
      </c>
    </row>
    <row r="388" ht="15" customHeight="1" s="130">
      <c r="A388">
        <f>IF('RFI REGISTER'!$R$93="X","RFI REGISTER","")</f>
        <v/>
      </c>
      <c r="B388">
        <f>IF('RFI REGISTER'!$R$93="X",'RFI REGISTER'!A93,"")</f>
        <v/>
      </c>
      <c r="C388">
        <f>IF('RFI REGISTER'!$R$93="X",'RFI REGISTER'!F93,"")</f>
        <v/>
      </c>
      <c r="D388">
        <f>IF('RFI REGISTER'!$R$93="X",'RFI REGISTER'!D93,"")</f>
        <v/>
      </c>
      <c r="E388">
        <f>IF('RFI REGISTER'!$R$93="X",'RFI REGISTER'!B93,"")</f>
        <v/>
      </c>
      <c r="F388">
        <f>IF('RFI REGISTER'!$R$93="X",'RFI REGISTER'!H93,"")</f>
        <v/>
      </c>
      <c r="G388">
        <f>IF('RFI REGISTER'!$R$93="X",'RFI REGISTER'!C93,"")</f>
        <v/>
      </c>
      <c r="H388">
        <f>IF('RFI REGISTER'!$R$93="X","X","")</f>
        <v/>
      </c>
    </row>
    <row r="389" ht="15" customHeight="1" s="130">
      <c r="A389">
        <f>IF('RFI REGISTER'!$R$94="X","RFI REGISTER","")</f>
        <v/>
      </c>
      <c r="B389">
        <f>IF('RFI REGISTER'!$R$94="X",'RFI REGISTER'!A94,"")</f>
        <v/>
      </c>
      <c r="C389">
        <f>IF('RFI REGISTER'!$R$94="X",'RFI REGISTER'!F94,"")</f>
        <v/>
      </c>
      <c r="D389">
        <f>IF('RFI REGISTER'!$R$94="X",'RFI REGISTER'!D94,"")</f>
        <v/>
      </c>
      <c r="E389">
        <f>IF('RFI REGISTER'!$R$94="X",'RFI REGISTER'!B94,"")</f>
        <v/>
      </c>
      <c r="F389">
        <f>IF('RFI REGISTER'!$R$94="X",'RFI REGISTER'!H94,"")</f>
        <v/>
      </c>
      <c r="G389">
        <f>IF('RFI REGISTER'!$R$94="X",'RFI REGISTER'!C94,"")</f>
        <v/>
      </c>
      <c r="H389">
        <f>IF('RFI REGISTER'!$R$94="X","X","")</f>
        <v/>
      </c>
    </row>
    <row r="390" ht="15" customHeight="1" s="130">
      <c r="A390">
        <f>IF('RFI REGISTER'!$R$95="X","RFI REGISTER","")</f>
        <v/>
      </c>
      <c r="B390">
        <f>IF('RFI REGISTER'!$R$95="X",'RFI REGISTER'!A95,"")</f>
        <v/>
      </c>
      <c r="C390">
        <f>IF('RFI REGISTER'!$R$95="X",'RFI REGISTER'!F95,"")</f>
        <v/>
      </c>
      <c r="D390">
        <f>IF('RFI REGISTER'!$R$95="X",'RFI REGISTER'!D95,"")</f>
        <v/>
      </c>
      <c r="E390">
        <f>IF('RFI REGISTER'!$R$95="X",'RFI REGISTER'!B95,"")</f>
        <v/>
      </c>
      <c r="F390">
        <f>IF('RFI REGISTER'!$R$95="X",'RFI REGISTER'!H95,"")</f>
        <v/>
      </c>
      <c r="G390">
        <f>IF('RFI REGISTER'!$R$95="X",'RFI REGISTER'!C95,"")</f>
        <v/>
      </c>
      <c r="H390">
        <f>IF('RFI REGISTER'!$R$95="X","X","")</f>
        <v/>
      </c>
    </row>
    <row r="391" ht="15" customHeight="1" s="130">
      <c r="A391">
        <f>IF('RFI REGISTER'!$R$96="X","RFI REGISTER","")</f>
        <v/>
      </c>
      <c r="B391">
        <f>IF('RFI REGISTER'!$R$96="X",'RFI REGISTER'!A96,"")</f>
        <v/>
      </c>
      <c r="C391">
        <f>IF('RFI REGISTER'!$R$96="X",'RFI REGISTER'!F96,"")</f>
        <v/>
      </c>
      <c r="D391">
        <f>IF('RFI REGISTER'!$R$96="X",'RFI REGISTER'!D96,"")</f>
        <v/>
      </c>
      <c r="E391">
        <f>IF('RFI REGISTER'!$R$96="X",'RFI REGISTER'!B96,"")</f>
        <v/>
      </c>
      <c r="F391">
        <f>IF('RFI REGISTER'!$R$96="X",'RFI REGISTER'!H96,"")</f>
        <v/>
      </c>
      <c r="G391">
        <f>IF('RFI REGISTER'!$R$96="X",'RFI REGISTER'!C96,"")</f>
        <v/>
      </c>
      <c r="H391">
        <f>IF('RFI REGISTER'!$R$96="X","X","")</f>
        <v/>
      </c>
    </row>
    <row r="392" ht="15" customHeight="1" s="130">
      <c r="A392">
        <f>IF('RFI REGISTER'!$R$97="X","RFI REGISTER","")</f>
        <v/>
      </c>
      <c r="B392">
        <f>IF('RFI REGISTER'!$R$97="X",'RFI REGISTER'!A97,"")</f>
        <v/>
      </c>
      <c r="C392">
        <f>IF('RFI REGISTER'!$R$97="X",'RFI REGISTER'!F97,"")</f>
        <v/>
      </c>
      <c r="D392">
        <f>IF('RFI REGISTER'!$R$97="X",'RFI REGISTER'!D97,"")</f>
        <v/>
      </c>
      <c r="E392">
        <f>IF('RFI REGISTER'!$R$97="X",'RFI REGISTER'!B97,"")</f>
        <v/>
      </c>
      <c r="F392">
        <f>IF('RFI REGISTER'!$R$97="X",'RFI REGISTER'!H97,"")</f>
        <v/>
      </c>
      <c r="G392">
        <f>IF('RFI REGISTER'!$R$97="X",'RFI REGISTER'!C97,"")</f>
        <v/>
      </c>
      <c r="H392">
        <f>IF('RFI REGISTER'!$R$97="X","X","")</f>
        <v/>
      </c>
    </row>
    <row r="393" ht="15" customHeight="1" s="130">
      <c r="A393">
        <f>IF('RFI REGISTER'!$R$98="X","RFI REGISTER","")</f>
        <v/>
      </c>
      <c r="B393">
        <f>IF('RFI REGISTER'!$R$98="X",'RFI REGISTER'!A98,"")</f>
        <v/>
      </c>
      <c r="C393">
        <f>IF('RFI REGISTER'!$R$98="X",'RFI REGISTER'!F98,"")</f>
        <v/>
      </c>
      <c r="D393">
        <f>IF('RFI REGISTER'!$R$98="X",'RFI REGISTER'!D98,"")</f>
        <v/>
      </c>
      <c r="E393">
        <f>IF('RFI REGISTER'!$R$98="X",'RFI REGISTER'!B98,"")</f>
        <v/>
      </c>
      <c r="F393">
        <f>IF('RFI REGISTER'!$R$98="X",'RFI REGISTER'!H98,"")</f>
        <v/>
      </c>
      <c r="G393">
        <f>IF('RFI REGISTER'!$R$98="X",'RFI REGISTER'!C98,"")</f>
        <v/>
      </c>
      <c r="H393">
        <f>IF('RFI REGISTER'!$R$98="X","X","")</f>
        <v/>
      </c>
    </row>
    <row r="394" ht="15" customHeight="1" s="130">
      <c r="A394">
        <f>IF('RFI REGISTER'!$R$99="X","RFI REGISTER","")</f>
        <v/>
      </c>
      <c r="B394">
        <f>IF('RFI REGISTER'!$R$99="X",'RFI REGISTER'!A99,"")</f>
        <v/>
      </c>
      <c r="C394">
        <f>IF('RFI REGISTER'!$R$99="X",'RFI REGISTER'!F99,"")</f>
        <v/>
      </c>
      <c r="D394">
        <f>IF('RFI REGISTER'!$R$99="X",'RFI REGISTER'!D99,"")</f>
        <v/>
      </c>
      <c r="E394">
        <f>IF('RFI REGISTER'!$R$99="X",'RFI REGISTER'!B99,"")</f>
        <v/>
      </c>
      <c r="F394">
        <f>IF('RFI REGISTER'!$R$99="X",'RFI REGISTER'!H99,"")</f>
        <v/>
      </c>
      <c r="G394">
        <f>IF('RFI REGISTER'!$R$99="X",'RFI REGISTER'!C99,"")</f>
        <v/>
      </c>
      <c r="H394">
        <f>IF('RFI REGISTER'!$R$99="X","X","")</f>
        <v/>
      </c>
    </row>
    <row r="395" ht="15" customHeight="1" s="130">
      <c r="A395">
        <f>IF('RFI REGISTER'!$R$100="X","RFI REGISTER","")</f>
        <v/>
      </c>
      <c r="B395">
        <f>IF('RFI REGISTER'!$R$100="X",'RFI REGISTER'!A100,"")</f>
        <v/>
      </c>
      <c r="C395">
        <f>IF('RFI REGISTER'!$R$100="X",'RFI REGISTER'!F100,"")</f>
        <v/>
      </c>
      <c r="D395">
        <f>IF('RFI REGISTER'!$R$100="X",'RFI REGISTER'!D100,"")</f>
        <v/>
      </c>
      <c r="E395">
        <f>IF('RFI REGISTER'!$R$100="X",'RFI REGISTER'!B100,"")</f>
        <v/>
      </c>
      <c r="F395">
        <f>IF('RFI REGISTER'!$R$100="X",'RFI REGISTER'!H100,"")</f>
        <v/>
      </c>
      <c r="G395">
        <f>IF('RFI REGISTER'!$R$100="X",'RFI REGISTER'!C100,"")</f>
        <v/>
      </c>
      <c r="H395">
        <f>IF('RFI REGISTER'!$R$100="X","X","")</f>
        <v/>
      </c>
    </row>
    <row r="396" ht="15" customHeight="1" s="130">
      <c r="A396">
        <f>IF('RFI REGISTER'!$R$101="X","RFI REGISTER","")</f>
        <v/>
      </c>
      <c r="B396">
        <f>IF('RFI REGISTER'!$R$101="X",'RFI REGISTER'!A101,"")</f>
        <v/>
      </c>
      <c r="C396">
        <f>IF('RFI REGISTER'!$R$101="X",'RFI REGISTER'!F101,"")</f>
        <v/>
      </c>
      <c r="D396">
        <f>IF('RFI REGISTER'!$R$101="X",'RFI REGISTER'!D101,"")</f>
        <v/>
      </c>
      <c r="E396">
        <f>IF('RFI REGISTER'!$R$101="X",'RFI REGISTER'!B101,"")</f>
        <v/>
      </c>
      <c r="F396">
        <f>IF('RFI REGISTER'!$R$101="X",'RFI REGISTER'!H101,"")</f>
        <v/>
      </c>
      <c r="G396">
        <f>IF('RFI REGISTER'!$R$101="X",'RFI REGISTER'!C101,"")</f>
        <v/>
      </c>
      <c r="H396">
        <f>IF('RFI REGISTER'!$R$101="X","X","")</f>
        <v/>
      </c>
    </row>
    <row r="397" ht="15" customHeight="1" s="130">
      <c r="A397">
        <f>IF('RFI REGISTER'!$R$102="X","RFI REGISTER","")</f>
        <v/>
      </c>
      <c r="B397">
        <f>IF('RFI REGISTER'!$R$102="X",'RFI REGISTER'!A102,"")</f>
        <v/>
      </c>
      <c r="C397">
        <f>IF('RFI REGISTER'!$R$102="X",'RFI REGISTER'!F102,"")</f>
        <v/>
      </c>
      <c r="D397">
        <f>IF('RFI REGISTER'!$R$102="X",'RFI REGISTER'!D102,"")</f>
        <v/>
      </c>
      <c r="E397">
        <f>IF('RFI REGISTER'!$R$102="X",'RFI REGISTER'!B102,"")</f>
        <v/>
      </c>
      <c r="F397">
        <f>IF('RFI REGISTER'!$R$102="X",'RFI REGISTER'!H102,"")</f>
        <v/>
      </c>
      <c r="G397">
        <f>IF('RFI REGISTER'!$R$102="X",'RFI REGISTER'!C102,"")</f>
        <v/>
      </c>
      <c r="H397">
        <f>IF('RFI REGISTER'!$R$102="X","X","")</f>
        <v/>
      </c>
    </row>
    <row r="398" ht="15" customHeight="1" s="130">
      <c r="A398">
        <f>IF('RFI REGISTER'!$R$103="X","RFI REGISTER","")</f>
        <v/>
      </c>
      <c r="B398">
        <f>IF('RFI REGISTER'!$R$103="X",'RFI REGISTER'!A103,"")</f>
        <v/>
      </c>
      <c r="C398">
        <f>IF('RFI REGISTER'!$R$103="X",'RFI REGISTER'!F103,"")</f>
        <v/>
      </c>
      <c r="D398">
        <f>IF('RFI REGISTER'!$R$103="X",'RFI REGISTER'!D103,"")</f>
        <v/>
      </c>
      <c r="E398">
        <f>IF('RFI REGISTER'!$R$103="X",'RFI REGISTER'!B103,"")</f>
        <v/>
      </c>
      <c r="F398">
        <f>IF('RFI REGISTER'!$R$103="X",'RFI REGISTER'!H103,"")</f>
        <v/>
      </c>
      <c r="G398">
        <f>IF('RFI REGISTER'!$R$103="X",'RFI REGISTER'!C103,"")</f>
        <v/>
      </c>
      <c r="H398">
        <f>IF('RFI REGISTER'!$R$103="X","X","")</f>
        <v/>
      </c>
    </row>
    <row r="399" ht="15" customHeight="1" s="130">
      <c r="A399">
        <f>IF('RFI REGISTER'!$R$104="X","RFI REGISTER","")</f>
        <v/>
      </c>
      <c r="B399">
        <f>IF('RFI REGISTER'!$R$104="X",'RFI REGISTER'!A104,"")</f>
        <v/>
      </c>
      <c r="C399">
        <f>IF('RFI REGISTER'!$R$104="X",'RFI REGISTER'!F104,"")</f>
        <v/>
      </c>
      <c r="D399">
        <f>IF('RFI REGISTER'!$R$104="X",'RFI REGISTER'!D104,"")</f>
        <v/>
      </c>
      <c r="E399">
        <f>IF('RFI REGISTER'!$R$104="X",'RFI REGISTER'!B104,"")</f>
        <v/>
      </c>
      <c r="F399">
        <f>IF('RFI REGISTER'!$R$104="X",'RFI REGISTER'!H104,"")</f>
        <v/>
      </c>
      <c r="G399">
        <f>IF('RFI REGISTER'!$R$104="X",'RFI REGISTER'!C104,"")</f>
        <v/>
      </c>
      <c r="H399">
        <f>IF('RFI REGISTER'!$R$104="X","X","")</f>
        <v/>
      </c>
    </row>
    <row r="400" ht="15" customHeight="1" s="130">
      <c r="A400">
        <f>IF('RFI REGISTER'!$R$105="X","RFI REGISTER","")</f>
        <v/>
      </c>
      <c r="B400">
        <f>IF('RFI REGISTER'!$R$105="X",'RFI REGISTER'!A105,"")</f>
        <v/>
      </c>
      <c r="C400">
        <f>IF('RFI REGISTER'!$R$105="X",'RFI REGISTER'!F105,"")</f>
        <v/>
      </c>
      <c r="D400">
        <f>IF('RFI REGISTER'!$R$105="X",'RFI REGISTER'!D105,"")</f>
        <v/>
      </c>
      <c r="E400">
        <f>IF('RFI REGISTER'!$R$105="X",'RFI REGISTER'!B105,"")</f>
        <v/>
      </c>
      <c r="F400">
        <f>IF('RFI REGISTER'!$R$105="X",'RFI REGISTER'!H105,"")</f>
        <v/>
      </c>
      <c r="G400">
        <f>IF('RFI REGISTER'!$R$105="X",'RFI REGISTER'!C105,"")</f>
        <v/>
      </c>
      <c r="H400">
        <f>IF('RFI REGISTER'!$R$105="X","X","")</f>
        <v/>
      </c>
    </row>
    <row r="401" ht="15" customHeight="1" s="130">
      <c r="A401">
        <f>IF('RFI REGISTER'!$R$106="X","RFI REGISTER","")</f>
        <v/>
      </c>
      <c r="B401">
        <f>IF('RFI REGISTER'!$R$106="X",'RFI REGISTER'!A106,"")</f>
        <v/>
      </c>
      <c r="C401">
        <f>IF('RFI REGISTER'!$R$106="X",'RFI REGISTER'!F106,"")</f>
        <v/>
      </c>
      <c r="D401">
        <f>IF('RFI REGISTER'!$R$106="X",'RFI REGISTER'!D106,"")</f>
        <v/>
      </c>
      <c r="E401">
        <f>IF('RFI REGISTER'!$R$106="X",'RFI REGISTER'!B106,"")</f>
        <v/>
      </c>
      <c r="F401">
        <f>IF('RFI REGISTER'!$R$106="X",'RFI REGISTER'!H106,"")</f>
        <v/>
      </c>
      <c r="G401">
        <f>IF('RFI REGISTER'!$R$106="X",'RFI REGISTER'!C106,"")</f>
        <v/>
      </c>
      <c r="H401">
        <f>IF('RFI REGISTER'!$R$106="X","X","")</f>
        <v/>
      </c>
    </row>
    <row r="402" ht="15" customHeight="1" s="130">
      <c r="A402">
        <f>IF('RFI REGISTER'!$R$107="X","RFI REGISTER","")</f>
        <v/>
      </c>
      <c r="B402">
        <f>IF('RFI REGISTER'!$R$107="X",'RFI REGISTER'!A107,"")</f>
        <v/>
      </c>
      <c r="C402">
        <f>IF('RFI REGISTER'!$R$107="X",'RFI REGISTER'!F107,"")</f>
        <v/>
      </c>
      <c r="D402">
        <f>IF('RFI REGISTER'!$R$107="X",'RFI REGISTER'!D107,"")</f>
        <v/>
      </c>
      <c r="E402">
        <f>IF('RFI REGISTER'!$R$107="X",'RFI REGISTER'!B107,"")</f>
        <v/>
      </c>
      <c r="F402">
        <f>IF('RFI REGISTER'!$R$107="X",'RFI REGISTER'!H107,"")</f>
        <v/>
      </c>
      <c r="G402">
        <f>IF('RFI REGISTER'!$R$107="X",'RFI REGISTER'!C107,"")</f>
        <v/>
      </c>
      <c r="H402">
        <f>IF('RFI REGISTER'!$R$107="X","X","")</f>
        <v/>
      </c>
    </row>
    <row r="403" ht="15" customHeight="1" s="130">
      <c r="A403">
        <f>IF('RFI REGISTER'!$R$108="X","RFI REGISTER","")</f>
        <v/>
      </c>
      <c r="B403">
        <f>IF('RFI REGISTER'!$R$108="X",'RFI REGISTER'!A108,"")</f>
        <v/>
      </c>
      <c r="C403">
        <f>IF('RFI REGISTER'!$R$108="X",'RFI REGISTER'!F108,"")</f>
        <v/>
      </c>
      <c r="D403">
        <f>IF('RFI REGISTER'!$R$108="X",'RFI REGISTER'!D108,"")</f>
        <v/>
      </c>
      <c r="E403">
        <f>IF('RFI REGISTER'!$R$108="X",'RFI REGISTER'!B108,"")</f>
        <v/>
      </c>
      <c r="F403">
        <f>IF('RFI REGISTER'!$R$108="X",'RFI REGISTER'!H108,"")</f>
        <v/>
      </c>
      <c r="G403">
        <f>IF('RFI REGISTER'!$R$108="X",'RFI REGISTER'!C108,"")</f>
        <v/>
      </c>
      <c r="H403">
        <f>IF('RFI REGISTER'!$R$108="X","X","")</f>
        <v/>
      </c>
    </row>
    <row r="404" ht="15" customHeight="1" s="130">
      <c r="A404">
        <f>IF('RFI REGISTER'!$R$109="X","RFI REGISTER","")</f>
        <v/>
      </c>
      <c r="B404">
        <f>IF('RFI REGISTER'!$R$109="X",'RFI REGISTER'!A109,"")</f>
        <v/>
      </c>
      <c r="C404">
        <f>IF('RFI REGISTER'!$R$109="X",'RFI REGISTER'!F109,"")</f>
        <v/>
      </c>
      <c r="D404">
        <f>IF('RFI REGISTER'!$R$109="X",'RFI REGISTER'!D109,"")</f>
        <v/>
      </c>
      <c r="E404">
        <f>IF('RFI REGISTER'!$R$109="X",'RFI REGISTER'!B109,"")</f>
        <v/>
      </c>
      <c r="F404">
        <f>IF('RFI REGISTER'!$R$109="X",'RFI REGISTER'!H109,"")</f>
        <v/>
      </c>
      <c r="G404">
        <f>IF('RFI REGISTER'!$R$109="X",'RFI REGISTER'!C109,"")</f>
        <v/>
      </c>
      <c r="H404">
        <f>IF('RFI REGISTER'!$R$109="X","X","")</f>
        <v/>
      </c>
    </row>
    <row r="405" ht="15" customHeight="1" s="130">
      <c r="A405">
        <f>IF('RFI REGISTER'!$R$110="X","RFI REGISTER","")</f>
        <v/>
      </c>
      <c r="B405">
        <f>IF('RFI REGISTER'!$R$110="X",'RFI REGISTER'!A110,"")</f>
        <v/>
      </c>
      <c r="C405">
        <f>IF('RFI REGISTER'!$R$110="X",'RFI REGISTER'!F110,"")</f>
        <v/>
      </c>
      <c r="D405">
        <f>IF('RFI REGISTER'!$R$110="X",'RFI REGISTER'!D110,"")</f>
        <v/>
      </c>
      <c r="E405">
        <f>IF('RFI REGISTER'!$R$110="X",'RFI REGISTER'!B110,"")</f>
        <v/>
      </c>
      <c r="F405">
        <f>IF('RFI REGISTER'!$R$110="X",'RFI REGISTER'!H110,"")</f>
        <v/>
      </c>
      <c r="G405">
        <f>IF('RFI REGISTER'!$R$110="X",'RFI REGISTER'!C110,"")</f>
        <v/>
      </c>
      <c r="H405">
        <f>IF('RFI REGISTER'!$R$110="X","X","")</f>
        <v/>
      </c>
    </row>
    <row r="406" ht="15" customHeight="1" s="130">
      <c r="A406">
        <f>IF('RFI REGISTER'!$R$111="X","RFI REGISTER","")</f>
        <v/>
      </c>
      <c r="B406">
        <f>IF('RFI REGISTER'!$R$111="X",'RFI REGISTER'!A111,"")</f>
        <v/>
      </c>
      <c r="C406">
        <f>IF('RFI REGISTER'!$R$111="X",'RFI REGISTER'!F111,"")</f>
        <v/>
      </c>
      <c r="D406">
        <f>IF('RFI REGISTER'!$R$111="X",'RFI REGISTER'!D111,"")</f>
        <v/>
      </c>
      <c r="E406">
        <f>IF('RFI REGISTER'!$R$111="X",'RFI REGISTER'!B111,"")</f>
        <v/>
      </c>
      <c r="F406">
        <f>IF('RFI REGISTER'!$R$111="X",'RFI REGISTER'!H111,"")</f>
        <v/>
      </c>
      <c r="G406">
        <f>IF('RFI REGISTER'!$R$111="X",'RFI REGISTER'!C111,"")</f>
        <v/>
      </c>
      <c r="H406">
        <f>IF('RFI REGISTER'!$R$111="X","X","")</f>
        <v/>
      </c>
    </row>
    <row r="407" ht="15" customHeight="1" s="130">
      <c r="A407">
        <f>IF('RFI REGISTER'!$R$112="X","RFI REGISTER","")</f>
        <v/>
      </c>
      <c r="B407">
        <f>IF('RFI REGISTER'!$R$112="X",'RFI REGISTER'!A112,"")</f>
        <v/>
      </c>
      <c r="C407">
        <f>IF('RFI REGISTER'!$R$112="X",'RFI REGISTER'!F112,"")</f>
        <v/>
      </c>
      <c r="D407">
        <f>IF('RFI REGISTER'!$R$112="X",'RFI REGISTER'!D112,"")</f>
        <v/>
      </c>
      <c r="E407">
        <f>IF('RFI REGISTER'!$R$112="X",'RFI REGISTER'!B112,"")</f>
        <v/>
      </c>
      <c r="F407">
        <f>IF('RFI REGISTER'!$R$112="X",'RFI REGISTER'!H112,"")</f>
        <v/>
      </c>
      <c r="G407">
        <f>IF('RFI REGISTER'!$R$112="X",'RFI REGISTER'!C112,"")</f>
        <v/>
      </c>
      <c r="H407">
        <f>IF('RFI REGISTER'!$R$112="X","X","")</f>
        <v/>
      </c>
    </row>
    <row r="408" ht="15" customHeight="1" s="130">
      <c r="A408">
        <f>IF('RFI REGISTER'!$R$113="X","RFI REGISTER","")</f>
        <v/>
      </c>
      <c r="B408">
        <f>IF('RFI REGISTER'!$R$113="X",'RFI REGISTER'!A113,"")</f>
        <v/>
      </c>
      <c r="C408">
        <f>IF('RFI REGISTER'!$R$113="X",'RFI REGISTER'!F113,"")</f>
        <v/>
      </c>
      <c r="D408">
        <f>IF('RFI REGISTER'!$R$113="X",'RFI REGISTER'!D113,"")</f>
        <v/>
      </c>
      <c r="E408">
        <f>IF('RFI REGISTER'!$R$113="X",'RFI REGISTER'!B113,"")</f>
        <v/>
      </c>
      <c r="F408">
        <f>IF('RFI REGISTER'!$R$113="X",'RFI REGISTER'!H113,"")</f>
        <v/>
      </c>
      <c r="G408">
        <f>IF('RFI REGISTER'!$R$113="X",'RFI REGISTER'!C113,"")</f>
        <v/>
      </c>
      <c r="H408">
        <f>IF('RFI REGISTER'!$R$113="X","X","")</f>
        <v/>
      </c>
    </row>
    <row r="409" ht="15" customHeight="1" s="130">
      <c r="A409">
        <f>IF('RFI REGISTER'!$R$114="X","RFI REGISTER","")</f>
        <v/>
      </c>
      <c r="B409">
        <f>IF('RFI REGISTER'!$R$114="X",'RFI REGISTER'!A114,"")</f>
        <v/>
      </c>
      <c r="C409">
        <f>IF('RFI REGISTER'!$R$114="X",'RFI REGISTER'!F114,"")</f>
        <v/>
      </c>
      <c r="D409">
        <f>IF('RFI REGISTER'!$R$114="X",'RFI REGISTER'!D114,"")</f>
        <v/>
      </c>
      <c r="E409">
        <f>IF('RFI REGISTER'!$R$114="X",'RFI REGISTER'!B114,"")</f>
        <v/>
      </c>
      <c r="F409">
        <f>IF('RFI REGISTER'!$R$114="X",'RFI REGISTER'!H114,"")</f>
        <v/>
      </c>
      <c r="G409">
        <f>IF('RFI REGISTER'!$R$114="X",'RFI REGISTER'!C114,"")</f>
        <v/>
      </c>
      <c r="H409">
        <f>IF('RFI REGISTER'!$R$114="X","X","")</f>
        <v/>
      </c>
    </row>
    <row r="410" ht="15" customHeight="1" s="130">
      <c r="A410">
        <f>IF('RFI REGISTER'!$R$115="X","RFI REGISTER","")</f>
        <v/>
      </c>
      <c r="B410">
        <f>IF('RFI REGISTER'!$R$115="X",'RFI REGISTER'!A115,"")</f>
        <v/>
      </c>
      <c r="C410">
        <f>IF('RFI REGISTER'!$R$115="X",'RFI REGISTER'!F115,"")</f>
        <v/>
      </c>
      <c r="D410">
        <f>IF('RFI REGISTER'!$R$115="X",'RFI REGISTER'!D115,"")</f>
        <v/>
      </c>
      <c r="E410">
        <f>IF('RFI REGISTER'!$R$115="X",'RFI REGISTER'!B115,"")</f>
        <v/>
      </c>
      <c r="F410">
        <f>IF('RFI REGISTER'!$R$115="X",'RFI REGISTER'!H115,"")</f>
        <v/>
      </c>
      <c r="G410">
        <f>IF('RFI REGISTER'!$R$115="X",'RFI REGISTER'!C115,"")</f>
        <v/>
      </c>
      <c r="H410">
        <f>IF('RFI REGISTER'!$R$115="X","X","")</f>
        <v/>
      </c>
    </row>
    <row r="411" ht="15" customHeight="1" s="130">
      <c r="A411">
        <f>IF('RFI REGISTER'!$R$116="X","RFI REGISTER","")</f>
        <v/>
      </c>
      <c r="B411">
        <f>IF('RFI REGISTER'!$R$116="X",'RFI REGISTER'!A116,"")</f>
        <v/>
      </c>
      <c r="C411">
        <f>IF('RFI REGISTER'!$R$116="X",'RFI REGISTER'!F116,"")</f>
        <v/>
      </c>
      <c r="D411">
        <f>IF('RFI REGISTER'!$R$116="X",'RFI REGISTER'!D116,"")</f>
        <v/>
      </c>
      <c r="E411">
        <f>IF('RFI REGISTER'!$R$116="X",'RFI REGISTER'!B116,"")</f>
        <v/>
      </c>
      <c r="F411">
        <f>IF('RFI REGISTER'!$R$116="X",'RFI REGISTER'!H116,"")</f>
        <v/>
      </c>
      <c r="G411">
        <f>IF('RFI REGISTER'!$R$116="X",'RFI REGISTER'!C116,"")</f>
        <v/>
      </c>
      <c r="H411">
        <f>IF('RFI REGISTER'!$R$116="X","X","")</f>
        <v/>
      </c>
    </row>
    <row r="412" ht="15" customHeight="1" s="130">
      <c r="A412">
        <f>IF('RFI REGISTER'!$R$117="X","RFI REGISTER","")</f>
        <v/>
      </c>
      <c r="B412">
        <f>IF('RFI REGISTER'!$R$117="X",'RFI REGISTER'!A117,"")</f>
        <v/>
      </c>
      <c r="C412">
        <f>IF('RFI REGISTER'!$R$117="X",'RFI REGISTER'!F117,"")</f>
        <v/>
      </c>
      <c r="D412">
        <f>IF('RFI REGISTER'!$R$117="X",'RFI REGISTER'!D117,"")</f>
        <v/>
      </c>
      <c r="E412">
        <f>IF('RFI REGISTER'!$R$117="X",'RFI REGISTER'!B117,"")</f>
        <v/>
      </c>
      <c r="F412">
        <f>IF('RFI REGISTER'!$R$117="X",'RFI REGISTER'!H117,"")</f>
        <v/>
      </c>
      <c r="G412">
        <f>IF('RFI REGISTER'!$R$117="X",'RFI REGISTER'!C117,"")</f>
        <v/>
      </c>
      <c r="H412">
        <f>IF('RFI REGISTER'!$R$117="X","X","")</f>
        <v/>
      </c>
    </row>
    <row r="413" ht="15" customHeight="1" s="130">
      <c r="A413">
        <f>IF('RFI REGISTER'!$R$118="X","RFI REGISTER","")</f>
        <v/>
      </c>
      <c r="B413">
        <f>IF('RFI REGISTER'!$R$118="X",'RFI REGISTER'!A118,"")</f>
        <v/>
      </c>
      <c r="C413">
        <f>IF('RFI REGISTER'!$R$118="X",'RFI REGISTER'!F118,"")</f>
        <v/>
      </c>
      <c r="D413">
        <f>IF('RFI REGISTER'!$R$118="X",'RFI REGISTER'!D118,"")</f>
        <v/>
      </c>
      <c r="E413">
        <f>IF('RFI REGISTER'!$R$118="X",'RFI REGISTER'!B118,"")</f>
        <v/>
      </c>
      <c r="F413">
        <f>IF('RFI REGISTER'!$R$118="X",'RFI REGISTER'!H118,"")</f>
        <v/>
      </c>
      <c r="G413">
        <f>IF('RFI REGISTER'!$R$118="X",'RFI REGISTER'!C118,"")</f>
        <v/>
      </c>
      <c r="H413">
        <f>IF('RFI REGISTER'!$R$118="X","X","")</f>
        <v/>
      </c>
    </row>
    <row r="414" ht="15" customHeight="1" s="130">
      <c r="A414">
        <f>IF('RFI REGISTER'!$R$119="X","RFI REGISTER","")</f>
        <v/>
      </c>
      <c r="B414">
        <f>IF('RFI REGISTER'!$R$119="X",'RFI REGISTER'!A119,"")</f>
        <v/>
      </c>
      <c r="C414">
        <f>IF('RFI REGISTER'!$R$119="X",'RFI REGISTER'!F119,"")</f>
        <v/>
      </c>
      <c r="D414">
        <f>IF('RFI REGISTER'!$R$119="X",'RFI REGISTER'!D119,"")</f>
        <v/>
      </c>
      <c r="E414">
        <f>IF('RFI REGISTER'!$R$119="X",'RFI REGISTER'!B119,"")</f>
        <v/>
      </c>
      <c r="F414">
        <f>IF('RFI REGISTER'!$R$119="X",'RFI REGISTER'!H119,"")</f>
        <v/>
      </c>
      <c r="G414">
        <f>IF('RFI REGISTER'!$R$119="X",'RFI REGISTER'!C119,"")</f>
        <v/>
      </c>
      <c r="H414">
        <f>IF('RFI REGISTER'!$R$119="X","X","")</f>
        <v/>
      </c>
    </row>
    <row r="415" ht="15" customHeight="1" s="130">
      <c r="A415">
        <f>IF('RFI REGISTER'!$R$120="X","RFI REGISTER","")</f>
        <v/>
      </c>
      <c r="B415">
        <f>IF('RFI REGISTER'!$R$120="X",'RFI REGISTER'!A120,"")</f>
        <v/>
      </c>
      <c r="C415">
        <f>IF('RFI REGISTER'!$R$120="X",'RFI REGISTER'!F120,"")</f>
        <v/>
      </c>
      <c r="D415">
        <f>IF('RFI REGISTER'!$R$120="X",'RFI REGISTER'!D120,"")</f>
        <v/>
      </c>
      <c r="E415">
        <f>IF('RFI REGISTER'!$R$120="X",'RFI REGISTER'!B120,"")</f>
        <v/>
      </c>
      <c r="F415">
        <f>IF('RFI REGISTER'!$R$120="X",'RFI REGISTER'!H120,"")</f>
        <v/>
      </c>
      <c r="G415">
        <f>IF('RFI REGISTER'!$R$120="X",'RFI REGISTER'!C120,"")</f>
        <v/>
      </c>
      <c r="H415">
        <f>IF('RFI REGISTER'!$R$120="X","X","")</f>
        <v/>
      </c>
    </row>
    <row r="416" ht="15" customHeight="1" s="130">
      <c r="A416">
        <f>IF('RFI REGISTER'!$R$121="X","RFI REGISTER","")</f>
        <v/>
      </c>
      <c r="B416">
        <f>IF('RFI REGISTER'!$R$121="X",'RFI REGISTER'!A121,"")</f>
        <v/>
      </c>
      <c r="C416">
        <f>IF('RFI REGISTER'!$R$121="X",'RFI REGISTER'!F121,"")</f>
        <v/>
      </c>
      <c r="D416">
        <f>IF('RFI REGISTER'!$R$121="X",'RFI REGISTER'!D121,"")</f>
        <v/>
      </c>
      <c r="E416">
        <f>IF('RFI REGISTER'!$R$121="X",'RFI REGISTER'!B121,"")</f>
        <v/>
      </c>
      <c r="F416">
        <f>IF('RFI REGISTER'!$R$121="X",'RFI REGISTER'!H121,"")</f>
        <v/>
      </c>
      <c r="G416">
        <f>IF('RFI REGISTER'!$R$121="X",'RFI REGISTER'!C121,"")</f>
        <v/>
      </c>
      <c r="H416">
        <f>IF('RFI REGISTER'!$R$121="X","X","")</f>
        <v/>
      </c>
    </row>
    <row r="417" ht="15" customHeight="1" s="130">
      <c r="A417">
        <f>IF('RFI REGISTER'!$R$122="X","RFI REGISTER","")</f>
        <v/>
      </c>
      <c r="B417">
        <f>IF('RFI REGISTER'!$R$122="X",'RFI REGISTER'!A122,"")</f>
        <v/>
      </c>
      <c r="C417">
        <f>IF('RFI REGISTER'!$R$122="X",'RFI REGISTER'!F122,"")</f>
        <v/>
      </c>
      <c r="D417">
        <f>IF('RFI REGISTER'!$R$122="X",'RFI REGISTER'!D122,"")</f>
        <v/>
      </c>
      <c r="E417">
        <f>IF('RFI REGISTER'!$R$122="X",'RFI REGISTER'!B122,"")</f>
        <v/>
      </c>
      <c r="F417">
        <f>IF('RFI REGISTER'!$R$122="X",'RFI REGISTER'!H122,"")</f>
        <v/>
      </c>
      <c r="G417">
        <f>IF('RFI REGISTER'!$R$122="X",'RFI REGISTER'!C122,"")</f>
        <v/>
      </c>
      <c r="H417">
        <f>IF('RFI REGISTER'!$R$122="X","X","")</f>
        <v/>
      </c>
    </row>
    <row r="418" ht="15" customHeight="1" s="130">
      <c r="A418">
        <f>IF('RFI REGISTER'!$R$123="X","RFI REGISTER","")</f>
        <v/>
      </c>
      <c r="B418">
        <f>IF('RFI REGISTER'!$R$123="X",'RFI REGISTER'!A123,"")</f>
        <v/>
      </c>
      <c r="C418">
        <f>IF('RFI REGISTER'!$R$123="X",'RFI REGISTER'!F123,"")</f>
        <v/>
      </c>
      <c r="D418">
        <f>IF('RFI REGISTER'!$R$123="X",'RFI REGISTER'!D123,"")</f>
        <v/>
      </c>
      <c r="E418">
        <f>IF('RFI REGISTER'!$R$123="X",'RFI REGISTER'!B123,"")</f>
        <v/>
      </c>
      <c r="F418">
        <f>IF('RFI REGISTER'!$R$123="X",'RFI REGISTER'!H123,"")</f>
        <v/>
      </c>
      <c r="G418">
        <f>IF('RFI REGISTER'!$R$123="X",'RFI REGISTER'!C123,"")</f>
        <v/>
      </c>
      <c r="H418">
        <f>IF('RFI REGISTER'!$R$123="X","X","")</f>
        <v/>
      </c>
    </row>
    <row r="419" ht="15" customHeight="1" s="130">
      <c r="A419">
        <f>IF('RFI REGISTER'!$R$124="X","RFI REGISTER","")</f>
        <v/>
      </c>
      <c r="B419">
        <f>IF('RFI REGISTER'!$R$124="X",'RFI REGISTER'!A124,"")</f>
        <v/>
      </c>
      <c r="C419">
        <f>IF('RFI REGISTER'!$R$124="X",'RFI REGISTER'!F124,"")</f>
        <v/>
      </c>
      <c r="D419">
        <f>IF('RFI REGISTER'!$R$124="X",'RFI REGISTER'!D124,"")</f>
        <v/>
      </c>
      <c r="E419">
        <f>IF('RFI REGISTER'!$R$124="X",'RFI REGISTER'!B124,"")</f>
        <v/>
      </c>
      <c r="F419">
        <f>IF('RFI REGISTER'!$R$124="X",'RFI REGISTER'!H124,"")</f>
        <v/>
      </c>
      <c r="G419">
        <f>IF('RFI REGISTER'!$R$124="X",'RFI REGISTER'!C124,"")</f>
        <v/>
      </c>
      <c r="H419">
        <f>IF('RFI REGISTER'!$R$124="X","X","")</f>
        <v/>
      </c>
    </row>
    <row r="420" ht="15" customHeight="1" s="130">
      <c r="A420">
        <f>IF('RFI REGISTER'!$R$125="X","RFI REGISTER","")</f>
        <v/>
      </c>
      <c r="B420">
        <f>IF('RFI REGISTER'!$R$125="X",'RFI REGISTER'!A125,"")</f>
        <v/>
      </c>
      <c r="C420">
        <f>IF('RFI REGISTER'!$R$125="X",'RFI REGISTER'!F125,"")</f>
        <v/>
      </c>
      <c r="D420">
        <f>IF('RFI REGISTER'!$R$125="X",'RFI REGISTER'!D125,"")</f>
        <v/>
      </c>
      <c r="E420">
        <f>IF('RFI REGISTER'!$R$125="X",'RFI REGISTER'!B125,"")</f>
        <v/>
      </c>
      <c r="F420">
        <f>IF('RFI REGISTER'!$R$125="X",'RFI REGISTER'!H125,"")</f>
        <v/>
      </c>
      <c r="G420">
        <f>IF('RFI REGISTER'!$R$125="X",'RFI REGISTER'!C125,"")</f>
        <v/>
      </c>
      <c r="H420">
        <f>IF('RFI REGISTER'!$R$125="X","X","")</f>
        <v/>
      </c>
    </row>
    <row r="421" ht="15" customHeight="1" s="130">
      <c r="A421">
        <f>IF('RFI REGISTER'!$R$126="X","RFI REGISTER","")</f>
        <v/>
      </c>
      <c r="B421">
        <f>IF('RFI REGISTER'!$R$126="X",'RFI REGISTER'!A126,"")</f>
        <v/>
      </c>
      <c r="C421">
        <f>IF('RFI REGISTER'!$R$126="X",'RFI REGISTER'!F126,"")</f>
        <v/>
      </c>
      <c r="D421">
        <f>IF('RFI REGISTER'!$R$126="X",'RFI REGISTER'!D126,"")</f>
        <v/>
      </c>
      <c r="E421">
        <f>IF('RFI REGISTER'!$R$126="X",'RFI REGISTER'!B126,"")</f>
        <v/>
      </c>
      <c r="F421">
        <f>IF('RFI REGISTER'!$R$126="X",'RFI REGISTER'!H126,"")</f>
        <v/>
      </c>
      <c r="G421">
        <f>IF('RFI REGISTER'!$R$126="X",'RFI REGISTER'!C126,"")</f>
        <v/>
      </c>
      <c r="H421">
        <f>IF('RFI REGISTER'!$R$126="X","X","")</f>
        <v/>
      </c>
    </row>
    <row r="422" ht="15" customHeight="1" s="130">
      <c r="A422">
        <f>IF('RFI REGISTER'!$R$127="X","RFI REGISTER","")</f>
        <v/>
      </c>
      <c r="B422">
        <f>IF('RFI REGISTER'!$R$127="X",'RFI REGISTER'!A127,"")</f>
        <v/>
      </c>
      <c r="C422">
        <f>IF('RFI REGISTER'!$R$127="X",'RFI REGISTER'!F127,"")</f>
        <v/>
      </c>
      <c r="D422">
        <f>IF('RFI REGISTER'!$R$127="X",'RFI REGISTER'!D127,"")</f>
        <v/>
      </c>
      <c r="E422">
        <f>IF('RFI REGISTER'!$R$127="X",'RFI REGISTER'!B127,"")</f>
        <v/>
      </c>
      <c r="F422">
        <f>IF('RFI REGISTER'!$R$127="X",'RFI REGISTER'!H127,"")</f>
        <v/>
      </c>
      <c r="G422">
        <f>IF('RFI REGISTER'!$R$127="X",'RFI REGISTER'!C127,"")</f>
        <v/>
      </c>
      <c r="H422">
        <f>IF('RFI REGISTER'!$R$127="X","X","")</f>
        <v/>
      </c>
    </row>
    <row r="423" ht="15" customHeight="1" s="130">
      <c r="A423">
        <f>IF('RFI REGISTER'!$R$128="X","RFI REGISTER","")</f>
        <v/>
      </c>
      <c r="B423">
        <f>IF('RFI REGISTER'!$R$128="X",'RFI REGISTER'!A128,"")</f>
        <v/>
      </c>
      <c r="C423">
        <f>IF('RFI REGISTER'!$R$128="X",'RFI REGISTER'!F128,"")</f>
        <v/>
      </c>
      <c r="D423">
        <f>IF('RFI REGISTER'!$R$128="X",'RFI REGISTER'!D128,"")</f>
        <v/>
      </c>
      <c r="E423">
        <f>IF('RFI REGISTER'!$R$128="X",'RFI REGISTER'!B128,"")</f>
        <v/>
      </c>
      <c r="F423">
        <f>IF('RFI REGISTER'!$R$128="X",'RFI REGISTER'!H128,"")</f>
        <v/>
      </c>
      <c r="G423">
        <f>IF('RFI REGISTER'!$R$128="X",'RFI REGISTER'!C128,"")</f>
        <v/>
      </c>
      <c r="H423">
        <f>IF('RFI REGISTER'!$R$128="X","X","")</f>
        <v/>
      </c>
    </row>
    <row r="424" ht="15" customHeight="1" s="130">
      <c r="A424">
        <f>IF('RFI REGISTER'!$R$129="X","RFI REGISTER","")</f>
        <v/>
      </c>
      <c r="B424">
        <f>IF('RFI REGISTER'!$R$129="X",'RFI REGISTER'!A129,"")</f>
        <v/>
      </c>
      <c r="C424">
        <f>IF('RFI REGISTER'!$R$129="X",'RFI REGISTER'!F129,"")</f>
        <v/>
      </c>
      <c r="D424">
        <f>IF('RFI REGISTER'!$R$129="X",'RFI REGISTER'!D129,"")</f>
        <v/>
      </c>
      <c r="E424">
        <f>IF('RFI REGISTER'!$R$129="X",'RFI REGISTER'!B129,"")</f>
        <v/>
      </c>
      <c r="F424">
        <f>IF('RFI REGISTER'!$R$129="X",'RFI REGISTER'!H129,"")</f>
        <v/>
      </c>
      <c r="G424">
        <f>IF('RFI REGISTER'!$R$129="X",'RFI REGISTER'!C129,"")</f>
        <v/>
      </c>
      <c r="H424">
        <f>IF('RFI REGISTER'!$R$129="X","X","")</f>
        <v/>
      </c>
    </row>
    <row r="425" ht="15" customHeight="1" s="130">
      <c r="A425">
        <f>IF('RFI REGISTER'!$R$130="X","RFI REGISTER","")</f>
        <v/>
      </c>
      <c r="B425">
        <f>IF('RFI REGISTER'!$R$130="X",'RFI REGISTER'!A130,"")</f>
        <v/>
      </c>
      <c r="C425">
        <f>IF('RFI REGISTER'!$R$130="X",'RFI REGISTER'!F130,"")</f>
        <v/>
      </c>
      <c r="D425">
        <f>IF('RFI REGISTER'!$R$130="X",'RFI REGISTER'!D130,"")</f>
        <v/>
      </c>
      <c r="E425">
        <f>IF('RFI REGISTER'!$R$130="X",'RFI REGISTER'!B130,"")</f>
        <v/>
      </c>
      <c r="F425">
        <f>IF('RFI REGISTER'!$R$130="X",'RFI REGISTER'!H130,"")</f>
        <v/>
      </c>
      <c r="G425">
        <f>IF('RFI REGISTER'!$R$130="X",'RFI REGISTER'!C130,"")</f>
        <v/>
      </c>
      <c r="H425">
        <f>IF('RFI REGISTER'!$R$130="X","X","")</f>
        <v/>
      </c>
    </row>
    <row r="426" ht="15" customHeight="1" s="130">
      <c r="A426">
        <f>IF('RFI REGISTER'!$R$131="X","RFI REGISTER","")</f>
        <v/>
      </c>
      <c r="B426">
        <f>IF('RFI REGISTER'!$R$131="X",'RFI REGISTER'!A131,"")</f>
        <v/>
      </c>
      <c r="C426">
        <f>IF('RFI REGISTER'!$R$131="X",'RFI REGISTER'!F131,"")</f>
        <v/>
      </c>
      <c r="D426">
        <f>IF('RFI REGISTER'!$R$131="X",'RFI REGISTER'!D131,"")</f>
        <v/>
      </c>
      <c r="E426">
        <f>IF('RFI REGISTER'!$R$131="X",'RFI REGISTER'!B131,"")</f>
        <v/>
      </c>
      <c r="F426">
        <f>IF('RFI REGISTER'!$R$131="X",'RFI REGISTER'!H131,"")</f>
        <v/>
      </c>
      <c r="G426">
        <f>IF('RFI REGISTER'!$R$131="X",'RFI REGISTER'!C131,"")</f>
        <v/>
      </c>
      <c r="H426">
        <f>IF('RFI REGISTER'!$R$131="X","X","")</f>
        <v/>
      </c>
    </row>
    <row r="427" ht="15" customHeight="1" s="130">
      <c r="A427">
        <f>IF('RFI REGISTER'!$R$132="X","RFI REGISTER","")</f>
        <v/>
      </c>
      <c r="B427">
        <f>IF('RFI REGISTER'!$R$132="X",'RFI REGISTER'!A132,"")</f>
        <v/>
      </c>
      <c r="C427">
        <f>IF('RFI REGISTER'!$R$132="X",'RFI REGISTER'!F132,"")</f>
        <v/>
      </c>
      <c r="D427">
        <f>IF('RFI REGISTER'!$R$132="X",'RFI REGISTER'!D132,"")</f>
        <v/>
      </c>
      <c r="E427">
        <f>IF('RFI REGISTER'!$R$132="X",'RFI REGISTER'!B132,"")</f>
        <v/>
      </c>
      <c r="F427">
        <f>IF('RFI REGISTER'!$R$132="X",'RFI REGISTER'!H132,"")</f>
        <v/>
      </c>
      <c r="G427">
        <f>IF('RFI REGISTER'!$R$132="X",'RFI REGISTER'!C132,"")</f>
        <v/>
      </c>
      <c r="H427">
        <f>IF('RFI REGISTER'!$R$132="X","X","")</f>
        <v/>
      </c>
    </row>
    <row r="428" ht="15" customHeight="1" s="130">
      <c r="A428">
        <f>IF('RFI REGISTER'!$R$133="X","RFI REGISTER","")</f>
        <v/>
      </c>
      <c r="B428">
        <f>IF('RFI REGISTER'!$R$133="X",'RFI REGISTER'!A133,"")</f>
        <v/>
      </c>
      <c r="C428">
        <f>IF('RFI REGISTER'!$R$133="X",'RFI REGISTER'!F133,"")</f>
        <v/>
      </c>
      <c r="D428">
        <f>IF('RFI REGISTER'!$R$133="X",'RFI REGISTER'!D133,"")</f>
        <v/>
      </c>
      <c r="E428">
        <f>IF('RFI REGISTER'!$R$133="X",'RFI REGISTER'!B133,"")</f>
        <v/>
      </c>
      <c r="F428">
        <f>IF('RFI REGISTER'!$R$133="X",'RFI REGISTER'!H133,"")</f>
        <v/>
      </c>
      <c r="G428">
        <f>IF('RFI REGISTER'!$R$133="X",'RFI REGISTER'!C133,"")</f>
        <v/>
      </c>
      <c r="H428">
        <f>IF('RFI REGISTER'!$R$133="X","X","")</f>
        <v/>
      </c>
    </row>
    <row r="429" ht="15" customHeight="1" s="130">
      <c r="A429">
        <f>IF('RFI REGISTER'!$R$134="X","RFI REGISTER","")</f>
        <v/>
      </c>
      <c r="B429">
        <f>IF('RFI REGISTER'!$R$134="X",'RFI REGISTER'!A134,"")</f>
        <v/>
      </c>
      <c r="C429">
        <f>IF('RFI REGISTER'!$R$134="X",'RFI REGISTER'!F134,"")</f>
        <v/>
      </c>
      <c r="D429">
        <f>IF('RFI REGISTER'!$R$134="X",'RFI REGISTER'!D134,"")</f>
        <v/>
      </c>
      <c r="E429">
        <f>IF('RFI REGISTER'!$R$134="X",'RFI REGISTER'!B134,"")</f>
        <v/>
      </c>
      <c r="F429">
        <f>IF('RFI REGISTER'!$R$134="X",'RFI REGISTER'!H134,"")</f>
        <v/>
      </c>
      <c r="G429">
        <f>IF('RFI REGISTER'!$R$134="X",'RFI REGISTER'!C134,"")</f>
        <v/>
      </c>
      <c r="H429">
        <f>IF('RFI REGISTER'!$R$134="X","X","")</f>
        <v/>
      </c>
    </row>
    <row r="430" ht="15" customHeight="1" s="130">
      <c r="A430">
        <f>IF('RFI REGISTER'!$R$135="X","RFI REGISTER","")</f>
        <v/>
      </c>
      <c r="B430">
        <f>IF('RFI REGISTER'!$R$135="X",'RFI REGISTER'!A135,"")</f>
        <v/>
      </c>
      <c r="C430">
        <f>IF('RFI REGISTER'!$R$135="X",'RFI REGISTER'!F135,"")</f>
        <v/>
      </c>
      <c r="D430">
        <f>IF('RFI REGISTER'!$R$135="X",'RFI REGISTER'!D135,"")</f>
        <v/>
      </c>
      <c r="E430">
        <f>IF('RFI REGISTER'!$R$135="X",'RFI REGISTER'!B135,"")</f>
        <v/>
      </c>
      <c r="F430">
        <f>IF('RFI REGISTER'!$R$135="X",'RFI REGISTER'!H135,"")</f>
        <v/>
      </c>
      <c r="G430">
        <f>IF('RFI REGISTER'!$R$135="X",'RFI REGISTER'!C135,"")</f>
        <v/>
      </c>
      <c r="H430">
        <f>IF('RFI REGISTER'!$R$135="X","X","")</f>
        <v/>
      </c>
    </row>
    <row r="431" ht="15" customHeight="1" s="130">
      <c r="A431">
        <f>IF('RFI REGISTER'!$R$136="X","RFI REGISTER","")</f>
        <v/>
      </c>
      <c r="B431">
        <f>IF('RFI REGISTER'!$R$136="X",'RFI REGISTER'!A136,"")</f>
        <v/>
      </c>
      <c r="C431">
        <f>IF('RFI REGISTER'!$R$136="X",'RFI REGISTER'!F136,"")</f>
        <v/>
      </c>
      <c r="D431">
        <f>IF('RFI REGISTER'!$R$136="X",'RFI REGISTER'!D136,"")</f>
        <v/>
      </c>
      <c r="E431">
        <f>IF('RFI REGISTER'!$R$136="X",'RFI REGISTER'!B136,"")</f>
        <v/>
      </c>
      <c r="F431">
        <f>IF('RFI REGISTER'!$R$136="X",'RFI REGISTER'!H136,"")</f>
        <v/>
      </c>
      <c r="G431">
        <f>IF('RFI REGISTER'!$R$136="X",'RFI REGISTER'!C136,"")</f>
        <v/>
      </c>
      <c r="H431">
        <f>IF('RFI REGISTER'!$R$136="X","X","")</f>
        <v/>
      </c>
    </row>
    <row r="432" ht="15" customHeight="1" s="130">
      <c r="A432">
        <f>IF('RFI REGISTER'!$R$137="X","RFI REGISTER","")</f>
        <v/>
      </c>
      <c r="B432">
        <f>IF('RFI REGISTER'!$R$137="X",'RFI REGISTER'!A137,"")</f>
        <v/>
      </c>
      <c r="C432">
        <f>IF('RFI REGISTER'!$R$137="X",'RFI REGISTER'!F137,"")</f>
        <v/>
      </c>
      <c r="D432">
        <f>IF('RFI REGISTER'!$R$137="X",'RFI REGISTER'!D137,"")</f>
        <v/>
      </c>
      <c r="E432">
        <f>IF('RFI REGISTER'!$R$137="X",'RFI REGISTER'!B137,"")</f>
        <v/>
      </c>
      <c r="F432">
        <f>IF('RFI REGISTER'!$R$137="X",'RFI REGISTER'!H137,"")</f>
        <v/>
      </c>
      <c r="G432">
        <f>IF('RFI REGISTER'!$R$137="X",'RFI REGISTER'!C137,"")</f>
        <v/>
      </c>
      <c r="H432">
        <f>IF('RFI REGISTER'!$R$137="X","X","")</f>
        <v/>
      </c>
    </row>
    <row r="433" ht="15" customHeight="1" s="130">
      <c r="A433">
        <f>IF('RFI REGISTER'!$R$138="X","RFI REGISTER","")</f>
        <v/>
      </c>
      <c r="B433">
        <f>IF('RFI REGISTER'!$R$138="X",'RFI REGISTER'!A138,"")</f>
        <v/>
      </c>
      <c r="C433">
        <f>IF('RFI REGISTER'!$R$138="X",'RFI REGISTER'!F138,"")</f>
        <v/>
      </c>
      <c r="D433">
        <f>IF('RFI REGISTER'!$R$138="X",'RFI REGISTER'!D138,"")</f>
        <v/>
      </c>
      <c r="E433">
        <f>IF('RFI REGISTER'!$R$138="X",'RFI REGISTER'!B138,"")</f>
        <v/>
      </c>
      <c r="F433">
        <f>IF('RFI REGISTER'!$R$138="X",'RFI REGISTER'!H138,"")</f>
        <v/>
      </c>
      <c r="G433">
        <f>IF('RFI REGISTER'!$R$138="X",'RFI REGISTER'!C138,"")</f>
        <v/>
      </c>
      <c r="H433">
        <f>IF('RFI REGISTER'!$R$138="X","X","")</f>
        <v/>
      </c>
    </row>
    <row r="434" ht="15" customHeight="1" s="130">
      <c r="A434">
        <f>IF('RFI REGISTER'!$R$139="X","RFI REGISTER","")</f>
        <v/>
      </c>
      <c r="B434">
        <f>IF('RFI REGISTER'!$R$139="X",'RFI REGISTER'!A139,"")</f>
        <v/>
      </c>
      <c r="C434">
        <f>IF('RFI REGISTER'!$R$139="X",'RFI REGISTER'!F139,"")</f>
        <v/>
      </c>
      <c r="D434">
        <f>IF('RFI REGISTER'!$R$139="X",'RFI REGISTER'!D139,"")</f>
        <v/>
      </c>
      <c r="E434">
        <f>IF('RFI REGISTER'!$R$139="X",'RFI REGISTER'!B139,"")</f>
        <v/>
      </c>
      <c r="F434">
        <f>IF('RFI REGISTER'!$R$139="X",'RFI REGISTER'!H139,"")</f>
        <v/>
      </c>
      <c r="G434">
        <f>IF('RFI REGISTER'!$R$139="X",'RFI REGISTER'!C139,"")</f>
        <v/>
      </c>
      <c r="H434">
        <f>IF('RFI REGISTER'!$R$139="X","X","")</f>
        <v/>
      </c>
    </row>
    <row r="435" ht="15" customHeight="1" s="130">
      <c r="A435">
        <f>IF('RFI REGISTER'!$R$140="X","RFI REGISTER","")</f>
        <v/>
      </c>
      <c r="B435">
        <f>IF('RFI REGISTER'!$R$140="X",'RFI REGISTER'!A140,"")</f>
        <v/>
      </c>
      <c r="C435">
        <f>IF('RFI REGISTER'!$R$140="X",'RFI REGISTER'!F140,"")</f>
        <v/>
      </c>
      <c r="D435">
        <f>IF('RFI REGISTER'!$R$140="X",'RFI REGISTER'!D140,"")</f>
        <v/>
      </c>
      <c r="E435">
        <f>IF('RFI REGISTER'!$R$140="X",'RFI REGISTER'!B140,"")</f>
        <v/>
      </c>
      <c r="F435">
        <f>IF('RFI REGISTER'!$R$140="X",'RFI REGISTER'!H140,"")</f>
        <v/>
      </c>
      <c r="G435">
        <f>IF('RFI REGISTER'!$R$140="X",'RFI REGISTER'!C140,"")</f>
        <v/>
      </c>
      <c r="H435">
        <f>IF('RFI REGISTER'!$R$140="X","X","")</f>
        <v/>
      </c>
    </row>
    <row r="436" ht="15" customHeight="1" s="130">
      <c r="A436">
        <f>IF('RFI REGISTER'!$R$141="X","RFI REGISTER","")</f>
        <v/>
      </c>
      <c r="B436">
        <f>IF('RFI REGISTER'!$R$141="X",'RFI REGISTER'!A141,"")</f>
        <v/>
      </c>
      <c r="C436">
        <f>IF('RFI REGISTER'!$R$141="X",'RFI REGISTER'!F141,"")</f>
        <v/>
      </c>
      <c r="D436">
        <f>IF('RFI REGISTER'!$R$141="X",'RFI REGISTER'!D141,"")</f>
        <v/>
      </c>
      <c r="E436">
        <f>IF('RFI REGISTER'!$R$141="X",'RFI REGISTER'!B141,"")</f>
        <v/>
      </c>
      <c r="F436">
        <f>IF('RFI REGISTER'!$R$141="X",'RFI REGISTER'!H141,"")</f>
        <v/>
      </c>
      <c r="G436">
        <f>IF('RFI REGISTER'!$R$141="X",'RFI REGISTER'!C141,"")</f>
        <v/>
      </c>
      <c r="H436">
        <f>IF('RFI REGISTER'!$R$141="X","X","")</f>
        <v/>
      </c>
    </row>
    <row r="437" ht="15" customHeight="1" s="130">
      <c r="A437">
        <f>IF('RFI REGISTER'!$R$142="X","RFI REGISTER","")</f>
        <v/>
      </c>
      <c r="B437">
        <f>IF('RFI REGISTER'!$R$142="X",'RFI REGISTER'!A142,"")</f>
        <v/>
      </c>
      <c r="C437">
        <f>IF('RFI REGISTER'!$R$142="X",'RFI REGISTER'!F142,"")</f>
        <v/>
      </c>
      <c r="D437">
        <f>IF('RFI REGISTER'!$R$142="X",'RFI REGISTER'!D142,"")</f>
        <v/>
      </c>
      <c r="E437">
        <f>IF('RFI REGISTER'!$R$142="X",'RFI REGISTER'!B142,"")</f>
        <v/>
      </c>
      <c r="F437">
        <f>IF('RFI REGISTER'!$R$142="X",'RFI REGISTER'!H142,"")</f>
        <v/>
      </c>
      <c r="G437">
        <f>IF('RFI REGISTER'!$R$142="X",'RFI REGISTER'!C142,"")</f>
        <v/>
      </c>
      <c r="H437">
        <f>IF('RFI REGISTER'!$R$142="X","X","")</f>
        <v/>
      </c>
    </row>
    <row r="438" ht="15" customHeight="1" s="130">
      <c r="A438">
        <f>IF('RFI REGISTER'!$R$143="X","RFI REGISTER","")</f>
        <v/>
      </c>
      <c r="B438">
        <f>IF('RFI REGISTER'!$R$143="X",'RFI REGISTER'!A143,"")</f>
        <v/>
      </c>
      <c r="C438">
        <f>IF('RFI REGISTER'!$R$143="X",'RFI REGISTER'!F143,"")</f>
        <v/>
      </c>
      <c r="D438">
        <f>IF('RFI REGISTER'!$R$143="X",'RFI REGISTER'!D143,"")</f>
        <v/>
      </c>
      <c r="E438">
        <f>IF('RFI REGISTER'!$R$143="X",'RFI REGISTER'!B143,"")</f>
        <v/>
      </c>
      <c r="F438">
        <f>IF('RFI REGISTER'!$R$143="X",'RFI REGISTER'!H143,"")</f>
        <v/>
      </c>
      <c r="G438">
        <f>IF('RFI REGISTER'!$R$143="X",'RFI REGISTER'!C143,"")</f>
        <v/>
      </c>
      <c r="H438">
        <f>IF('RFI REGISTER'!$R$143="X","X","")</f>
        <v/>
      </c>
    </row>
    <row r="439" ht="15" customHeight="1" s="130">
      <c r="A439">
        <f>IF('RFI REGISTER'!$R$144="X","RFI REGISTER","")</f>
        <v/>
      </c>
      <c r="B439">
        <f>IF('RFI REGISTER'!$R$144="X",'RFI REGISTER'!A144,"")</f>
        <v/>
      </c>
      <c r="C439">
        <f>IF('RFI REGISTER'!$R$144="X",'RFI REGISTER'!F144,"")</f>
        <v/>
      </c>
      <c r="D439">
        <f>IF('RFI REGISTER'!$R$144="X",'RFI REGISTER'!D144,"")</f>
        <v/>
      </c>
      <c r="E439">
        <f>IF('RFI REGISTER'!$R$144="X",'RFI REGISTER'!B144,"")</f>
        <v/>
      </c>
      <c r="F439">
        <f>IF('RFI REGISTER'!$R$144="X",'RFI REGISTER'!H144,"")</f>
        <v/>
      </c>
      <c r="G439">
        <f>IF('RFI REGISTER'!$R$144="X",'RFI REGISTER'!C144,"")</f>
        <v/>
      </c>
      <c r="H439">
        <f>IF('RFI REGISTER'!$R$144="X","X","")</f>
        <v/>
      </c>
    </row>
    <row r="440" ht="15" customHeight="1" s="130">
      <c r="A440">
        <f>IF('RFI REGISTER'!$R$145="X","RFI REGISTER","")</f>
        <v/>
      </c>
      <c r="B440">
        <f>IF('RFI REGISTER'!$R$145="X",'RFI REGISTER'!A145,"")</f>
        <v/>
      </c>
      <c r="C440">
        <f>IF('RFI REGISTER'!$R$145="X",'RFI REGISTER'!F145,"")</f>
        <v/>
      </c>
      <c r="D440">
        <f>IF('RFI REGISTER'!$R$145="X",'RFI REGISTER'!D145,"")</f>
        <v/>
      </c>
      <c r="E440">
        <f>IF('RFI REGISTER'!$R$145="X",'RFI REGISTER'!B145,"")</f>
        <v/>
      </c>
      <c r="F440">
        <f>IF('RFI REGISTER'!$R$145="X",'RFI REGISTER'!H145,"")</f>
        <v/>
      </c>
      <c r="G440">
        <f>IF('RFI REGISTER'!$R$145="X",'RFI REGISTER'!C145,"")</f>
        <v/>
      </c>
      <c r="H440">
        <f>IF('RFI REGISTER'!$R$145="X","X","")</f>
        <v/>
      </c>
    </row>
    <row r="441" ht="15" customHeight="1" s="130">
      <c r="A441">
        <f>IF('RFI REGISTER'!$R$146="X","RFI REGISTER","")</f>
        <v/>
      </c>
      <c r="B441">
        <f>IF('RFI REGISTER'!$R$146="X",'RFI REGISTER'!A146,"")</f>
        <v/>
      </c>
      <c r="C441">
        <f>IF('RFI REGISTER'!$R$146="X",'RFI REGISTER'!F146,"")</f>
        <v/>
      </c>
      <c r="D441">
        <f>IF('RFI REGISTER'!$R$146="X",'RFI REGISTER'!D146,"")</f>
        <v/>
      </c>
      <c r="E441">
        <f>IF('RFI REGISTER'!$R$146="X",'RFI REGISTER'!B146,"")</f>
        <v/>
      </c>
      <c r="F441">
        <f>IF('RFI REGISTER'!$R$146="X",'RFI REGISTER'!H146,"")</f>
        <v/>
      </c>
      <c r="G441">
        <f>IF('RFI REGISTER'!$R$146="X",'RFI REGISTER'!C146,"")</f>
        <v/>
      </c>
      <c r="H441">
        <f>IF('RFI REGISTER'!$R$146="X","X","")</f>
        <v/>
      </c>
    </row>
    <row r="442" ht="15" customHeight="1" s="130">
      <c r="A442">
        <f>IF('RFI REGISTER'!$R$147="X","RFI REGISTER","")</f>
        <v/>
      </c>
      <c r="B442">
        <f>IF('RFI REGISTER'!$R$147="X",'RFI REGISTER'!A147,"")</f>
        <v/>
      </c>
      <c r="C442">
        <f>IF('RFI REGISTER'!$R$147="X",'RFI REGISTER'!F147,"")</f>
        <v/>
      </c>
      <c r="D442">
        <f>IF('RFI REGISTER'!$R$147="X",'RFI REGISTER'!D147,"")</f>
        <v/>
      </c>
      <c r="E442">
        <f>IF('RFI REGISTER'!$R$147="X",'RFI REGISTER'!B147,"")</f>
        <v/>
      </c>
      <c r="F442">
        <f>IF('RFI REGISTER'!$R$147="X",'RFI REGISTER'!H147,"")</f>
        <v/>
      </c>
      <c r="G442">
        <f>IF('RFI REGISTER'!$R$147="X",'RFI REGISTER'!C147,"")</f>
        <v/>
      </c>
      <c r="H442">
        <f>IF('RFI REGISTER'!$R$147="X","X","")</f>
        <v/>
      </c>
    </row>
    <row r="443" ht="15" customHeight="1" s="130">
      <c r="A443">
        <f>IF('RFI REGISTER'!$R$148="X","RFI REGISTER","")</f>
        <v/>
      </c>
      <c r="B443">
        <f>IF('RFI REGISTER'!$R$148="X",'RFI REGISTER'!A148,"")</f>
        <v/>
      </c>
      <c r="C443">
        <f>IF('RFI REGISTER'!$R$148="X",'RFI REGISTER'!F148,"")</f>
        <v/>
      </c>
      <c r="D443">
        <f>IF('RFI REGISTER'!$R$148="X",'RFI REGISTER'!D148,"")</f>
        <v/>
      </c>
      <c r="E443">
        <f>IF('RFI REGISTER'!$R$148="X",'RFI REGISTER'!B148,"")</f>
        <v/>
      </c>
      <c r="F443">
        <f>IF('RFI REGISTER'!$R$148="X",'RFI REGISTER'!H148,"")</f>
        <v/>
      </c>
      <c r="G443">
        <f>IF('RFI REGISTER'!$R$148="X",'RFI REGISTER'!C148,"")</f>
        <v/>
      </c>
      <c r="H443">
        <f>IF('RFI REGISTER'!$R$148="X","X","")</f>
        <v/>
      </c>
    </row>
    <row r="444" ht="15" customHeight="1" s="130">
      <c r="A444">
        <f>IF('RFI REGISTER'!$R$149="X","RFI REGISTER","")</f>
        <v/>
      </c>
      <c r="B444">
        <f>IF('RFI REGISTER'!$R$149="X",'RFI REGISTER'!A149,"")</f>
        <v/>
      </c>
      <c r="C444">
        <f>IF('RFI REGISTER'!$R$149="X",'RFI REGISTER'!F149,"")</f>
        <v/>
      </c>
      <c r="D444">
        <f>IF('RFI REGISTER'!$R$149="X",'RFI REGISTER'!D149,"")</f>
        <v/>
      </c>
      <c r="E444">
        <f>IF('RFI REGISTER'!$R$149="X",'RFI REGISTER'!B149,"")</f>
        <v/>
      </c>
      <c r="F444">
        <f>IF('RFI REGISTER'!$R$149="X",'RFI REGISTER'!H149,"")</f>
        <v/>
      </c>
      <c r="G444">
        <f>IF('RFI REGISTER'!$R$149="X",'RFI REGISTER'!C149,"")</f>
        <v/>
      </c>
      <c r="H444">
        <f>IF('RFI REGISTER'!$R$149="X","X","")</f>
        <v/>
      </c>
    </row>
    <row r="445" ht="15" customHeight="1" s="130">
      <c r="A445">
        <f>IF('RFI REGISTER'!$R$150="X","RFI REGISTER","")</f>
        <v/>
      </c>
      <c r="B445">
        <f>IF('RFI REGISTER'!$R$150="X",'RFI REGISTER'!A150,"")</f>
        <v/>
      </c>
      <c r="C445">
        <f>IF('RFI REGISTER'!$R$150="X",'RFI REGISTER'!F150,"")</f>
        <v/>
      </c>
      <c r="D445">
        <f>IF('RFI REGISTER'!$R$150="X",'RFI REGISTER'!D150,"")</f>
        <v/>
      </c>
      <c r="E445">
        <f>IF('RFI REGISTER'!$R$150="X",'RFI REGISTER'!B150,"")</f>
        <v/>
      </c>
      <c r="F445">
        <f>IF('RFI REGISTER'!$R$150="X",'RFI REGISTER'!H150,"")</f>
        <v/>
      </c>
      <c r="G445">
        <f>IF('RFI REGISTER'!$R$150="X",'RFI REGISTER'!C150,"")</f>
        <v/>
      </c>
      <c r="H445">
        <f>IF('RFI REGISTER'!$R$150="X","X","")</f>
        <v/>
      </c>
    </row>
    <row r="446" ht="15" customHeight="1" s="130">
      <c r="A446">
        <f>IF('RFI REGISTER'!$R$151="X","RFI REGISTER","")</f>
        <v/>
      </c>
      <c r="B446">
        <f>IF('RFI REGISTER'!$R$151="X",'RFI REGISTER'!A151,"")</f>
        <v/>
      </c>
      <c r="C446">
        <f>IF('RFI REGISTER'!$R$151="X",'RFI REGISTER'!F151,"")</f>
        <v/>
      </c>
      <c r="D446">
        <f>IF('RFI REGISTER'!$R$151="X",'RFI REGISTER'!D151,"")</f>
        <v/>
      </c>
      <c r="E446">
        <f>IF('RFI REGISTER'!$R$151="X",'RFI REGISTER'!B151,"")</f>
        <v/>
      </c>
      <c r="F446">
        <f>IF('RFI REGISTER'!$R$151="X",'RFI REGISTER'!H151,"")</f>
        <v/>
      </c>
      <c r="G446">
        <f>IF('RFI REGISTER'!$R$151="X",'RFI REGISTER'!C151,"")</f>
        <v/>
      </c>
      <c r="H446">
        <f>IF('RFI REGISTER'!$R$151="X","X","")</f>
        <v/>
      </c>
    </row>
    <row r="447" ht="15" customHeight="1" s="130">
      <c r="A447">
        <f>IF('RFI REGISTER'!$R$152="X","RFI REGISTER","")</f>
        <v/>
      </c>
      <c r="B447">
        <f>IF('RFI REGISTER'!$R$152="X",'RFI REGISTER'!A152,"")</f>
        <v/>
      </c>
      <c r="C447">
        <f>IF('RFI REGISTER'!$R$152="X",'RFI REGISTER'!F152,"")</f>
        <v/>
      </c>
      <c r="D447">
        <f>IF('RFI REGISTER'!$R$152="X",'RFI REGISTER'!D152,"")</f>
        <v/>
      </c>
      <c r="E447">
        <f>IF('RFI REGISTER'!$R$152="X",'RFI REGISTER'!B152,"")</f>
        <v/>
      </c>
      <c r="F447">
        <f>IF('RFI REGISTER'!$R$152="X",'RFI REGISTER'!H152,"")</f>
        <v/>
      </c>
      <c r="G447">
        <f>IF('RFI REGISTER'!$R$152="X",'RFI REGISTER'!C152,"")</f>
        <v/>
      </c>
      <c r="H447">
        <f>IF('RFI REGISTER'!$R$152="X","X","")</f>
        <v/>
      </c>
    </row>
    <row r="448" ht="15" customHeight="1" s="130">
      <c r="A448">
        <f>IF('RFI REGISTER'!$R$153="X","RFI REGISTER","")</f>
        <v/>
      </c>
      <c r="B448">
        <f>IF('RFI REGISTER'!$R$153="X",'RFI REGISTER'!A153,"")</f>
        <v/>
      </c>
      <c r="C448">
        <f>IF('RFI REGISTER'!$R$153="X",'RFI REGISTER'!F153,"")</f>
        <v/>
      </c>
      <c r="D448">
        <f>IF('RFI REGISTER'!$R$153="X",'RFI REGISTER'!D153,"")</f>
        <v/>
      </c>
      <c r="E448">
        <f>IF('RFI REGISTER'!$R$153="X",'RFI REGISTER'!B153,"")</f>
        <v/>
      </c>
      <c r="F448">
        <f>IF('RFI REGISTER'!$R$153="X",'RFI REGISTER'!H153,"")</f>
        <v/>
      </c>
      <c r="G448">
        <f>IF('RFI REGISTER'!$R$153="X",'RFI REGISTER'!C153,"")</f>
        <v/>
      </c>
      <c r="H448">
        <f>IF('RFI REGISTER'!$R$153="X","X","")</f>
        <v/>
      </c>
    </row>
    <row r="449" ht="15" customHeight="1" s="130">
      <c r="A449">
        <f>IF('RFI REGISTER'!$R$154="X","RFI REGISTER","")</f>
        <v/>
      </c>
      <c r="B449">
        <f>IF('RFI REGISTER'!$R$154="X",'RFI REGISTER'!A154,"")</f>
        <v/>
      </c>
      <c r="C449">
        <f>IF('RFI REGISTER'!$R$154="X",'RFI REGISTER'!F154,"")</f>
        <v/>
      </c>
      <c r="D449">
        <f>IF('RFI REGISTER'!$R$154="X",'RFI REGISTER'!D154,"")</f>
        <v/>
      </c>
      <c r="E449">
        <f>IF('RFI REGISTER'!$R$154="X",'RFI REGISTER'!B154,"")</f>
        <v/>
      </c>
      <c r="F449">
        <f>IF('RFI REGISTER'!$R$154="X",'RFI REGISTER'!H154,"")</f>
        <v/>
      </c>
      <c r="G449">
        <f>IF('RFI REGISTER'!$R$154="X",'RFI REGISTER'!C154,"")</f>
        <v/>
      </c>
      <c r="H449">
        <f>IF('RFI REGISTER'!$R$154="X","X","")</f>
        <v/>
      </c>
    </row>
    <row r="450" ht="15" customHeight="1" s="130">
      <c r="A450">
        <f>IF('RFI REGISTER'!$R$155="X","RFI REGISTER","")</f>
        <v/>
      </c>
      <c r="B450">
        <f>IF('RFI REGISTER'!$R$155="X",'RFI REGISTER'!A155,"")</f>
        <v/>
      </c>
      <c r="C450">
        <f>IF('RFI REGISTER'!$R$155="X",'RFI REGISTER'!F155,"")</f>
        <v/>
      </c>
      <c r="D450">
        <f>IF('RFI REGISTER'!$R$155="X",'RFI REGISTER'!D155,"")</f>
        <v/>
      </c>
      <c r="E450">
        <f>IF('RFI REGISTER'!$R$155="X",'RFI REGISTER'!B155,"")</f>
        <v/>
      </c>
      <c r="F450">
        <f>IF('RFI REGISTER'!$R$155="X",'RFI REGISTER'!H155,"")</f>
        <v/>
      </c>
      <c r="G450">
        <f>IF('RFI REGISTER'!$R$155="X",'RFI REGISTER'!C155,"")</f>
        <v/>
      </c>
      <c r="H450">
        <f>IF('RFI REGISTER'!$R$155="X","X","")</f>
        <v/>
      </c>
    </row>
    <row r="451" ht="15" customHeight="1" s="130">
      <c r="A451">
        <f>IF('RFI REGISTER'!$R$156="X","RFI REGISTER","")</f>
        <v/>
      </c>
      <c r="B451">
        <f>IF('RFI REGISTER'!$R$156="X",'RFI REGISTER'!A156,"")</f>
        <v/>
      </c>
      <c r="C451">
        <f>IF('RFI REGISTER'!$R$156="X",'RFI REGISTER'!F156,"")</f>
        <v/>
      </c>
      <c r="D451">
        <f>IF('RFI REGISTER'!$R$156="X",'RFI REGISTER'!D156,"")</f>
        <v/>
      </c>
      <c r="E451">
        <f>IF('RFI REGISTER'!$R$156="X",'RFI REGISTER'!B156,"")</f>
        <v/>
      </c>
      <c r="F451">
        <f>IF('RFI REGISTER'!$R$156="X",'RFI REGISTER'!H156,"")</f>
        <v/>
      </c>
      <c r="G451">
        <f>IF('RFI REGISTER'!$R$156="X",'RFI REGISTER'!C156,"")</f>
        <v/>
      </c>
      <c r="H451">
        <f>IF('RFI REGISTER'!$R$156="X","X","")</f>
        <v/>
      </c>
    </row>
    <row r="452" ht="15" customHeight="1" s="130">
      <c r="A452">
        <f>IF('RFI REGISTER'!$R$157="X","RFI REGISTER","")</f>
        <v/>
      </c>
      <c r="B452">
        <f>IF('RFI REGISTER'!$R$157="X",'RFI REGISTER'!A157,"")</f>
        <v/>
      </c>
      <c r="C452">
        <f>IF('RFI REGISTER'!$R$157="X",'RFI REGISTER'!F157,"")</f>
        <v/>
      </c>
      <c r="D452">
        <f>IF('RFI REGISTER'!$R$157="X",'RFI REGISTER'!D157,"")</f>
        <v/>
      </c>
      <c r="E452">
        <f>IF('RFI REGISTER'!$R$157="X",'RFI REGISTER'!B157,"")</f>
        <v/>
      </c>
      <c r="F452">
        <f>IF('RFI REGISTER'!$R$157="X",'RFI REGISTER'!H157,"")</f>
        <v/>
      </c>
      <c r="G452">
        <f>IF('RFI REGISTER'!$R$157="X",'RFI REGISTER'!C157,"")</f>
        <v/>
      </c>
      <c r="H452">
        <f>IF('RFI REGISTER'!$R$157="X","X","")</f>
        <v/>
      </c>
    </row>
    <row r="453" ht="15" customHeight="1" s="130">
      <c r="A453">
        <f>IF('RFI REGISTER'!$R$158="X","RFI REGISTER","")</f>
        <v/>
      </c>
      <c r="B453">
        <f>IF('RFI REGISTER'!$R$158="X",'RFI REGISTER'!A158,"")</f>
        <v/>
      </c>
      <c r="C453">
        <f>IF('RFI REGISTER'!$R$158="X",'RFI REGISTER'!F158,"")</f>
        <v/>
      </c>
      <c r="D453">
        <f>IF('RFI REGISTER'!$R$158="X",'RFI REGISTER'!D158,"")</f>
        <v/>
      </c>
      <c r="E453">
        <f>IF('RFI REGISTER'!$R$158="X",'RFI REGISTER'!B158,"")</f>
        <v/>
      </c>
      <c r="F453">
        <f>IF('RFI REGISTER'!$R$158="X",'RFI REGISTER'!H158,"")</f>
        <v/>
      </c>
      <c r="G453">
        <f>IF('RFI REGISTER'!$R$158="X",'RFI REGISTER'!C158,"")</f>
        <v/>
      </c>
      <c r="H453">
        <f>IF('RFI REGISTER'!$R$158="X","X","")</f>
        <v/>
      </c>
    </row>
    <row r="454" ht="15" customHeight="1" s="130">
      <c r="A454">
        <f>IF('RFI REGISTER'!$R$159="X","RFI REGISTER","")</f>
        <v/>
      </c>
      <c r="B454">
        <f>IF('RFI REGISTER'!$R$159="X",'RFI REGISTER'!A159,"")</f>
        <v/>
      </c>
      <c r="C454">
        <f>IF('RFI REGISTER'!$R$159="X",'RFI REGISTER'!F159,"")</f>
        <v/>
      </c>
      <c r="D454">
        <f>IF('RFI REGISTER'!$R$159="X",'RFI REGISTER'!D159,"")</f>
        <v/>
      </c>
      <c r="E454">
        <f>IF('RFI REGISTER'!$R$159="X",'RFI REGISTER'!B159,"")</f>
        <v/>
      </c>
      <c r="F454">
        <f>IF('RFI REGISTER'!$R$159="X",'RFI REGISTER'!H159,"")</f>
        <v/>
      </c>
      <c r="G454">
        <f>IF('RFI REGISTER'!$R$159="X",'RFI REGISTER'!C159,"")</f>
        <v/>
      </c>
      <c r="H454">
        <f>IF('RFI REGISTER'!$R$159="X","X","")</f>
        <v/>
      </c>
    </row>
    <row r="455" ht="15" customHeight="1" s="130">
      <c r="A455">
        <f>IF('RFI REGISTER'!$R$160="X","RFI REGISTER","")</f>
        <v/>
      </c>
      <c r="B455">
        <f>IF('RFI REGISTER'!$R$160="X",'RFI REGISTER'!A160,"")</f>
        <v/>
      </c>
      <c r="C455">
        <f>IF('RFI REGISTER'!$R$160="X",'RFI REGISTER'!F160,"")</f>
        <v/>
      </c>
      <c r="D455">
        <f>IF('RFI REGISTER'!$R$160="X",'RFI REGISTER'!D160,"")</f>
        <v/>
      </c>
      <c r="E455">
        <f>IF('RFI REGISTER'!$R$160="X",'RFI REGISTER'!B160,"")</f>
        <v/>
      </c>
      <c r="F455">
        <f>IF('RFI REGISTER'!$R$160="X",'RFI REGISTER'!H160,"")</f>
        <v/>
      </c>
      <c r="G455">
        <f>IF('RFI REGISTER'!$R$160="X",'RFI REGISTER'!C160,"")</f>
        <v/>
      </c>
      <c r="H455">
        <f>IF('RFI REGISTER'!$R$160="X","X","")</f>
        <v/>
      </c>
    </row>
    <row r="456" ht="15" customHeight="1" s="130">
      <c r="A456">
        <f>IF('RFI REGISTER'!$R$161="X","RFI REGISTER","")</f>
        <v/>
      </c>
      <c r="B456">
        <f>IF('RFI REGISTER'!$R$161="X",'RFI REGISTER'!A161,"")</f>
        <v/>
      </c>
      <c r="C456">
        <f>IF('RFI REGISTER'!$R$161="X",'RFI REGISTER'!F161,"")</f>
        <v/>
      </c>
      <c r="D456">
        <f>IF('RFI REGISTER'!$R$161="X",'RFI REGISTER'!D161,"")</f>
        <v/>
      </c>
      <c r="E456">
        <f>IF('RFI REGISTER'!$R$161="X",'RFI REGISTER'!B161,"")</f>
        <v/>
      </c>
      <c r="F456">
        <f>IF('RFI REGISTER'!$R$161="X",'RFI REGISTER'!H161,"")</f>
        <v/>
      </c>
      <c r="G456">
        <f>IF('RFI REGISTER'!$R$161="X",'RFI REGISTER'!C161,"")</f>
        <v/>
      </c>
      <c r="H456">
        <f>IF('RFI REGISTER'!$R$161="X","X","")</f>
        <v/>
      </c>
    </row>
    <row r="457" ht="15" customHeight="1" s="130">
      <c r="A457">
        <f>IF('RFI REGISTER'!$R$162="X","RFI REGISTER","")</f>
        <v/>
      </c>
      <c r="B457">
        <f>IF('RFI REGISTER'!$R$162="X",'RFI REGISTER'!A162,"")</f>
        <v/>
      </c>
      <c r="C457">
        <f>IF('RFI REGISTER'!$R$162="X",'RFI REGISTER'!F162,"")</f>
        <v/>
      </c>
      <c r="D457">
        <f>IF('RFI REGISTER'!$R$162="X",'RFI REGISTER'!D162,"")</f>
        <v/>
      </c>
      <c r="E457">
        <f>IF('RFI REGISTER'!$R$162="X",'RFI REGISTER'!B162,"")</f>
        <v/>
      </c>
      <c r="F457">
        <f>IF('RFI REGISTER'!$R$162="X",'RFI REGISTER'!H162,"")</f>
        <v/>
      </c>
      <c r="G457">
        <f>IF('RFI REGISTER'!$R$162="X",'RFI REGISTER'!C162,"")</f>
        <v/>
      </c>
      <c r="H457">
        <f>IF('RFI REGISTER'!$R$162="X","X","")</f>
        <v/>
      </c>
    </row>
    <row r="458" ht="15" customHeight="1" s="130">
      <c r="A458">
        <f>IF('RFI REGISTER'!$R$163="X","RFI REGISTER","")</f>
        <v/>
      </c>
      <c r="B458">
        <f>IF('RFI REGISTER'!$R$163="X",'RFI REGISTER'!A163,"")</f>
        <v/>
      </c>
      <c r="C458">
        <f>IF('RFI REGISTER'!$R$163="X",'RFI REGISTER'!F163,"")</f>
        <v/>
      </c>
      <c r="D458">
        <f>IF('RFI REGISTER'!$R$163="X",'RFI REGISTER'!D163,"")</f>
        <v/>
      </c>
      <c r="E458">
        <f>IF('RFI REGISTER'!$R$163="X",'RFI REGISTER'!B163,"")</f>
        <v/>
      </c>
      <c r="F458">
        <f>IF('RFI REGISTER'!$R$163="X",'RFI REGISTER'!H163,"")</f>
        <v/>
      </c>
      <c r="G458">
        <f>IF('RFI REGISTER'!$R$163="X",'RFI REGISTER'!C163,"")</f>
        <v/>
      </c>
      <c r="H458">
        <f>IF('RFI REGISTER'!$R$163="X","X","")</f>
        <v/>
      </c>
    </row>
    <row r="459" ht="15" customHeight="1" s="130">
      <c r="A459">
        <f>IF('RFI REGISTER'!$R$164="X","RFI REGISTER","")</f>
        <v/>
      </c>
      <c r="B459">
        <f>IF('RFI REGISTER'!$R$164="X",'RFI REGISTER'!A164,"")</f>
        <v/>
      </c>
      <c r="C459">
        <f>IF('RFI REGISTER'!$R$164="X",'RFI REGISTER'!F164,"")</f>
        <v/>
      </c>
      <c r="D459">
        <f>IF('RFI REGISTER'!$R$164="X",'RFI REGISTER'!D164,"")</f>
        <v/>
      </c>
      <c r="E459">
        <f>IF('RFI REGISTER'!$R$164="X",'RFI REGISTER'!B164,"")</f>
        <v/>
      </c>
      <c r="F459">
        <f>IF('RFI REGISTER'!$R$164="X",'RFI REGISTER'!H164,"")</f>
        <v/>
      </c>
      <c r="G459">
        <f>IF('RFI REGISTER'!$R$164="X",'RFI REGISTER'!C164,"")</f>
        <v/>
      </c>
      <c r="H459">
        <f>IF('RFI REGISTER'!$R$164="X","X","")</f>
        <v/>
      </c>
    </row>
    <row r="460" ht="15" customHeight="1" s="130">
      <c r="A460">
        <f>IF('RFI REGISTER'!$R$165="X","RFI REGISTER","")</f>
        <v/>
      </c>
      <c r="B460">
        <f>IF('RFI REGISTER'!$R$165="X",'RFI REGISTER'!A165,"")</f>
        <v/>
      </c>
      <c r="C460">
        <f>IF('RFI REGISTER'!$R$165="X",'RFI REGISTER'!F165,"")</f>
        <v/>
      </c>
      <c r="D460">
        <f>IF('RFI REGISTER'!$R$165="X",'RFI REGISTER'!D165,"")</f>
        <v/>
      </c>
      <c r="E460">
        <f>IF('RFI REGISTER'!$R$165="X",'RFI REGISTER'!B165,"")</f>
        <v/>
      </c>
      <c r="F460">
        <f>IF('RFI REGISTER'!$R$165="X",'RFI REGISTER'!H165,"")</f>
        <v/>
      </c>
      <c r="G460">
        <f>IF('RFI REGISTER'!$R$165="X",'RFI REGISTER'!C165,"")</f>
        <v/>
      </c>
      <c r="H460">
        <f>IF('RFI REGISTER'!$R$165="X","X","")</f>
        <v/>
      </c>
    </row>
    <row r="461" ht="15" customHeight="1" s="130">
      <c r="A461">
        <f>IF('RFI REGISTER'!$R$166="X","RFI REGISTER","")</f>
        <v/>
      </c>
      <c r="B461">
        <f>IF('RFI REGISTER'!$R$166="X",'RFI REGISTER'!A166,"")</f>
        <v/>
      </c>
      <c r="C461">
        <f>IF('RFI REGISTER'!$R$166="X",'RFI REGISTER'!F166,"")</f>
        <v/>
      </c>
      <c r="D461">
        <f>IF('RFI REGISTER'!$R$166="X",'RFI REGISTER'!D166,"")</f>
        <v/>
      </c>
      <c r="E461">
        <f>IF('RFI REGISTER'!$R$166="X",'RFI REGISTER'!B166,"")</f>
        <v/>
      </c>
      <c r="F461">
        <f>IF('RFI REGISTER'!$R$166="X",'RFI REGISTER'!H166,"")</f>
        <v/>
      </c>
      <c r="G461">
        <f>IF('RFI REGISTER'!$R$166="X",'RFI REGISTER'!C166,"")</f>
        <v/>
      </c>
      <c r="H461">
        <f>IF('RFI REGISTER'!$R$166="X","X","")</f>
        <v/>
      </c>
    </row>
    <row r="462" ht="15" customHeight="1" s="130">
      <c r="A462">
        <f>IF('RFI REGISTER'!$R$167="X","RFI REGISTER","")</f>
        <v/>
      </c>
      <c r="B462">
        <f>IF('RFI REGISTER'!$R$167="X",'RFI REGISTER'!A167,"")</f>
        <v/>
      </c>
      <c r="C462">
        <f>IF('RFI REGISTER'!$R$167="X",'RFI REGISTER'!F167,"")</f>
        <v/>
      </c>
      <c r="D462">
        <f>IF('RFI REGISTER'!$R$167="X",'RFI REGISTER'!D167,"")</f>
        <v/>
      </c>
      <c r="E462">
        <f>IF('RFI REGISTER'!$R$167="X",'RFI REGISTER'!B167,"")</f>
        <v/>
      </c>
      <c r="F462">
        <f>IF('RFI REGISTER'!$R$167="X",'RFI REGISTER'!H167,"")</f>
        <v/>
      </c>
      <c r="G462">
        <f>IF('RFI REGISTER'!$R$167="X",'RFI REGISTER'!C167,"")</f>
        <v/>
      </c>
      <c r="H462">
        <f>IF('RFI REGISTER'!$R$167="X","X","")</f>
        <v/>
      </c>
    </row>
    <row r="463" ht="15" customHeight="1" s="130">
      <c r="A463">
        <f>IF('RFI REGISTER'!$R$168="X","RFI REGISTER","")</f>
        <v/>
      </c>
      <c r="B463">
        <f>IF('RFI REGISTER'!$R$168="X",'RFI REGISTER'!A168,"")</f>
        <v/>
      </c>
      <c r="C463">
        <f>IF('RFI REGISTER'!$R$168="X",'RFI REGISTER'!F168,"")</f>
        <v/>
      </c>
      <c r="D463">
        <f>IF('RFI REGISTER'!$R$168="X",'RFI REGISTER'!D168,"")</f>
        <v/>
      </c>
      <c r="E463">
        <f>IF('RFI REGISTER'!$R$168="X",'RFI REGISTER'!B168,"")</f>
        <v/>
      </c>
      <c r="F463">
        <f>IF('RFI REGISTER'!$R$168="X",'RFI REGISTER'!H168,"")</f>
        <v/>
      </c>
      <c r="G463">
        <f>IF('RFI REGISTER'!$R$168="X",'RFI REGISTER'!C168,"")</f>
        <v/>
      </c>
      <c r="H463">
        <f>IF('RFI REGISTER'!$R$168="X","X","")</f>
        <v/>
      </c>
    </row>
    <row r="464" ht="15" customHeight="1" s="130">
      <c r="A464">
        <f>IF('RFI REGISTER'!$R$169="X","RFI REGISTER","")</f>
        <v/>
      </c>
      <c r="B464">
        <f>IF('RFI REGISTER'!$R$169="X",'RFI REGISTER'!A169,"")</f>
        <v/>
      </c>
      <c r="C464">
        <f>IF('RFI REGISTER'!$R$169="X",'RFI REGISTER'!F169,"")</f>
        <v/>
      </c>
      <c r="D464">
        <f>IF('RFI REGISTER'!$R$169="X",'RFI REGISTER'!D169,"")</f>
        <v/>
      </c>
      <c r="E464">
        <f>IF('RFI REGISTER'!$R$169="X",'RFI REGISTER'!B169,"")</f>
        <v/>
      </c>
      <c r="F464">
        <f>IF('RFI REGISTER'!$R$169="X",'RFI REGISTER'!H169,"")</f>
        <v/>
      </c>
      <c r="G464">
        <f>IF('RFI REGISTER'!$R$169="X",'RFI REGISTER'!C169,"")</f>
        <v/>
      </c>
      <c r="H464">
        <f>IF('RFI REGISTER'!$R$169="X","X","")</f>
        <v/>
      </c>
    </row>
    <row r="465" ht="15" customHeight="1" s="130">
      <c r="A465">
        <f>IF('RFI REGISTER'!$R$170="X","RFI REGISTER","")</f>
        <v/>
      </c>
      <c r="B465">
        <f>IF('RFI REGISTER'!$R$170="X",'RFI REGISTER'!A170,"")</f>
        <v/>
      </c>
      <c r="C465">
        <f>IF('RFI REGISTER'!$R$170="X",'RFI REGISTER'!F170,"")</f>
        <v/>
      </c>
      <c r="D465">
        <f>IF('RFI REGISTER'!$R$170="X",'RFI REGISTER'!D170,"")</f>
        <v/>
      </c>
      <c r="E465">
        <f>IF('RFI REGISTER'!$R$170="X",'RFI REGISTER'!B170,"")</f>
        <v/>
      </c>
      <c r="F465">
        <f>IF('RFI REGISTER'!$R$170="X",'RFI REGISTER'!H170,"")</f>
        <v/>
      </c>
      <c r="G465">
        <f>IF('RFI REGISTER'!$R$170="X",'RFI REGISTER'!C170,"")</f>
        <v/>
      </c>
      <c r="H465">
        <f>IF('RFI REGISTER'!$R$170="X","X","")</f>
        <v/>
      </c>
    </row>
    <row r="466" ht="15" customHeight="1" s="130">
      <c r="A466">
        <f>IF('RFI REGISTER'!$R$171="X","RFI REGISTER","")</f>
        <v/>
      </c>
      <c r="B466">
        <f>IF('RFI REGISTER'!$R$171="X",'RFI REGISTER'!A171,"")</f>
        <v/>
      </c>
      <c r="C466">
        <f>IF('RFI REGISTER'!$R$171="X",'RFI REGISTER'!F171,"")</f>
        <v/>
      </c>
      <c r="D466">
        <f>IF('RFI REGISTER'!$R$171="X",'RFI REGISTER'!D171,"")</f>
        <v/>
      </c>
      <c r="E466">
        <f>IF('RFI REGISTER'!$R$171="X",'RFI REGISTER'!B171,"")</f>
        <v/>
      </c>
      <c r="F466">
        <f>IF('RFI REGISTER'!$R$171="X",'RFI REGISTER'!H171,"")</f>
        <v/>
      </c>
      <c r="G466">
        <f>IF('RFI REGISTER'!$R$171="X",'RFI REGISTER'!C171,"")</f>
        <v/>
      </c>
      <c r="H466">
        <f>IF('RFI REGISTER'!$R$171="X","X","")</f>
        <v/>
      </c>
    </row>
    <row r="467" ht="15" customHeight="1" s="130">
      <c r="A467">
        <f>IF('RFI REGISTER'!$R$172="X","RFI REGISTER","")</f>
        <v/>
      </c>
      <c r="B467">
        <f>IF('RFI REGISTER'!$R$172="X",'RFI REGISTER'!A172,"")</f>
        <v/>
      </c>
      <c r="C467">
        <f>IF('RFI REGISTER'!$R$172="X",'RFI REGISTER'!F172,"")</f>
        <v/>
      </c>
      <c r="D467">
        <f>IF('RFI REGISTER'!$R$172="X",'RFI REGISTER'!D172,"")</f>
        <v/>
      </c>
      <c r="E467">
        <f>IF('RFI REGISTER'!$R$172="X",'RFI REGISTER'!B172,"")</f>
        <v/>
      </c>
      <c r="F467">
        <f>IF('RFI REGISTER'!$R$172="X",'RFI REGISTER'!H172,"")</f>
        <v/>
      </c>
      <c r="G467">
        <f>IF('RFI REGISTER'!$R$172="X",'RFI REGISTER'!C172,"")</f>
        <v/>
      </c>
      <c r="H467">
        <f>IF('RFI REGISTER'!$R$172="X","X","")</f>
        <v/>
      </c>
    </row>
    <row r="468" ht="15" customHeight="1" s="130">
      <c r="A468">
        <f>IF('RFI REGISTER'!$R$173="X","RFI REGISTER","")</f>
        <v/>
      </c>
      <c r="B468">
        <f>IF('RFI REGISTER'!$R$173="X",'RFI REGISTER'!A173,"")</f>
        <v/>
      </c>
      <c r="C468">
        <f>IF('RFI REGISTER'!$R$173="X",'RFI REGISTER'!F173,"")</f>
        <v/>
      </c>
      <c r="D468">
        <f>IF('RFI REGISTER'!$R$173="X",'RFI REGISTER'!D173,"")</f>
        <v/>
      </c>
      <c r="E468">
        <f>IF('RFI REGISTER'!$R$173="X",'RFI REGISTER'!B173,"")</f>
        <v/>
      </c>
      <c r="F468">
        <f>IF('RFI REGISTER'!$R$173="X",'RFI REGISTER'!H173,"")</f>
        <v/>
      </c>
      <c r="G468">
        <f>IF('RFI REGISTER'!$R$173="X",'RFI REGISTER'!C173,"")</f>
        <v/>
      </c>
      <c r="H468">
        <f>IF('RFI REGISTER'!$R$173="X","X","")</f>
        <v/>
      </c>
    </row>
    <row r="469" ht="15" customHeight="1" s="130">
      <c r="A469">
        <f>IF('RFI REGISTER'!$R$174="X","RFI REGISTER","")</f>
        <v/>
      </c>
      <c r="B469">
        <f>IF('RFI REGISTER'!$R$174="X",'RFI REGISTER'!A174,"")</f>
        <v/>
      </c>
      <c r="C469">
        <f>IF('RFI REGISTER'!$R$174="X",'RFI REGISTER'!F174,"")</f>
        <v/>
      </c>
      <c r="D469">
        <f>IF('RFI REGISTER'!$R$174="X",'RFI REGISTER'!D174,"")</f>
        <v/>
      </c>
      <c r="E469">
        <f>IF('RFI REGISTER'!$R$174="X",'RFI REGISTER'!B174,"")</f>
        <v/>
      </c>
      <c r="F469">
        <f>IF('RFI REGISTER'!$R$174="X",'RFI REGISTER'!H174,"")</f>
        <v/>
      </c>
      <c r="G469">
        <f>IF('RFI REGISTER'!$R$174="X",'RFI REGISTER'!C174,"")</f>
        <v/>
      </c>
      <c r="H469">
        <f>IF('RFI REGISTER'!$R$174="X","X","")</f>
        <v/>
      </c>
    </row>
    <row r="470" ht="15" customHeight="1" s="130">
      <c r="A470">
        <f>IF('RFI REGISTER'!$R$175="X","RFI REGISTER","")</f>
        <v/>
      </c>
      <c r="B470">
        <f>IF('RFI REGISTER'!$R$175="X",'RFI REGISTER'!A175,"")</f>
        <v/>
      </c>
      <c r="C470">
        <f>IF('RFI REGISTER'!$R$175="X",'RFI REGISTER'!F175,"")</f>
        <v/>
      </c>
      <c r="D470">
        <f>IF('RFI REGISTER'!$R$175="X",'RFI REGISTER'!D175,"")</f>
        <v/>
      </c>
      <c r="E470">
        <f>IF('RFI REGISTER'!$R$175="X",'RFI REGISTER'!B175,"")</f>
        <v/>
      </c>
      <c r="F470">
        <f>IF('RFI REGISTER'!$R$175="X",'RFI REGISTER'!H175,"")</f>
        <v/>
      </c>
      <c r="G470">
        <f>IF('RFI REGISTER'!$R$175="X",'RFI REGISTER'!C175,"")</f>
        <v/>
      </c>
      <c r="H470">
        <f>IF('RFI REGISTER'!$R$175="X","X","")</f>
        <v/>
      </c>
    </row>
    <row r="471" ht="15" customHeight="1" s="130">
      <c r="A471">
        <f>IF('RFI REGISTER'!$R$176="X","RFI REGISTER","")</f>
        <v/>
      </c>
      <c r="B471">
        <f>IF('RFI REGISTER'!$R$176="X",'RFI REGISTER'!A176,"")</f>
        <v/>
      </c>
      <c r="C471">
        <f>IF('RFI REGISTER'!$R$176="X",'RFI REGISTER'!F176,"")</f>
        <v/>
      </c>
      <c r="D471">
        <f>IF('RFI REGISTER'!$R$176="X",'RFI REGISTER'!D176,"")</f>
        <v/>
      </c>
      <c r="E471">
        <f>IF('RFI REGISTER'!$R$176="X",'RFI REGISTER'!B176,"")</f>
        <v/>
      </c>
      <c r="F471">
        <f>IF('RFI REGISTER'!$R$176="X",'RFI REGISTER'!H176,"")</f>
        <v/>
      </c>
      <c r="G471">
        <f>IF('RFI REGISTER'!$R$176="X",'RFI REGISTER'!C176,"")</f>
        <v/>
      </c>
      <c r="H471">
        <f>IF('RFI REGISTER'!$R$176="X","X","")</f>
        <v/>
      </c>
    </row>
    <row r="472" ht="15" customHeight="1" s="130">
      <c r="A472">
        <f>IF('RFI REGISTER'!$R$177="X","RFI REGISTER","")</f>
        <v/>
      </c>
      <c r="B472">
        <f>IF('RFI REGISTER'!$R$177="X",'RFI REGISTER'!A177,"")</f>
        <v/>
      </c>
      <c r="C472">
        <f>IF('RFI REGISTER'!$R$177="X",'RFI REGISTER'!F177,"")</f>
        <v/>
      </c>
      <c r="D472">
        <f>IF('RFI REGISTER'!$R$177="X",'RFI REGISTER'!D177,"")</f>
        <v/>
      </c>
      <c r="E472">
        <f>IF('RFI REGISTER'!$R$177="X",'RFI REGISTER'!B177,"")</f>
        <v/>
      </c>
      <c r="F472">
        <f>IF('RFI REGISTER'!$R$177="X",'RFI REGISTER'!H177,"")</f>
        <v/>
      </c>
      <c r="G472">
        <f>IF('RFI REGISTER'!$R$177="X",'RFI REGISTER'!C177,"")</f>
        <v/>
      </c>
      <c r="H472">
        <f>IF('RFI REGISTER'!$R$177="X","X","")</f>
        <v/>
      </c>
    </row>
    <row r="473" ht="15" customHeight="1" s="130">
      <c r="A473">
        <f>IF('RFI REGISTER'!$R$178="X","RFI REGISTER","")</f>
        <v/>
      </c>
      <c r="B473">
        <f>IF('RFI REGISTER'!$R$178="X",'RFI REGISTER'!A178,"")</f>
        <v/>
      </c>
      <c r="C473">
        <f>IF('RFI REGISTER'!$R$178="X",'RFI REGISTER'!F178,"")</f>
        <v/>
      </c>
      <c r="D473">
        <f>IF('RFI REGISTER'!$R$178="X",'RFI REGISTER'!D178,"")</f>
        <v/>
      </c>
      <c r="E473">
        <f>IF('RFI REGISTER'!$R$178="X",'RFI REGISTER'!B178,"")</f>
        <v/>
      </c>
      <c r="F473">
        <f>IF('RFI REGISTER'!$R$178="X",'RFI REGISTER'!H178,"")</f>
        <v/>
      </c>
      <c r="G473">
        <f>IF('RFI REGISTER'!$R$178="X",'RFI REGISTER'!C178,"")</f>
        <v/>
      </c>
      <c r="H473">
        <f>IF('RFI REGISTER'!$R$178="X","X","")</f>
        <v/>
      </c>
    </row>
    <row r="474" ht="15" customHeight="1" s="130">
      <c r="A474">
        <f>IF('RFI REGISTER'!$R$179="X","RFI REGISTER","")</f>
        <v/>
      </c>
      <c r="B474">
        <f>IF('RFI REGISTER'!$R$179="X",'RFI REGISTER'!A179,"")</f>
        <v/>
      </c>
      <c r="C474">
        <f>IF('RFI REGISTER'!$R$179="X",'RFI REGISTER'!F179,"")</f>
        <v/>
      </c>
      <c r="D474">
        <f>IF('RFI REGISTER'!$R$179="X",'RFI REGISTER'!D179,"")</f>
        <v/>
      </c>
      <c r="E474">
        <f>IF('RFI REGISTER'!$R$179="X",'RFI REGISTER'!B179,"")</f>
        <v/>
      </c>
      <c r="F474">
        <f>IF('RFI REGISTER'!$R$179="X",'RFI REGISTER'!H179,"")</f>
        <v/>
      </c>
      <c r="G474">
        <f>IF('RFI REGISTER'!$R$179="X",'RFI REGISTER'!C179,"")</f>
        <v/>
      </c>
      <c r="H474">
        <f>IF('RFI REGISTER'!$R$179="X","X","")</f>
        <v/>
      </c>
    </row>
    <row r="475" ht="15" customHeight="1" s="130">
      <c r="A475">
        <f>IF('RFI REGISTER'!$R$180="X","RFI REGISTER","")</f>
        <v/>
      </c>
      <c r="B475">
        <f>IF('RFI REGISTER'!$R$180="X",'RFI REGISTER'!A180,"")</f>
        <v/>
      </c>
      <c r="C475">
        <f>IF('RFI REGISTER'!$R$180="X",'RFI REGISTER'!F180,"")</f>
        <v/>
      </c>
      <c r="D475">
        <f>IF('RFI REGISTER'!$R$180="X",'RFI REGISTER'!D180,"")</f>
        <v/>
      </c>
      <c r="E475">
        <f>IF('RFI REGISTER'!$R$180="X",'RFI REGISTER'!B180,"")</f>
        <v/>
      </c>
      <c r="F475">
        <f>IF('RFI REGISTER'!$R$180="X",'RFI REGISTER'!H180,"")</f>
        <v/>
      </c>
      <c r="G475">
        <f>IF('RFI REGISTER'!$R$180="X",'RFI REGISTER'!C180,"")</f>
        <v/>
      </c>
      <c r="H475">
        <f>IF('RFI REGISTER'!$R$180="X","X","")</f>
        <v/>
      </c>
    </row>
    <row r="476" ht="15" customHeight="1" s="130">
      <c r="A476">
        <f>IF('RFI REGISTER'!$R$181="X","RFI REGISTER","")</f>
        <v/>
      </c>
      <c r="B476">
        <f>IF('RFI REGISTER'!$R$181="X",'RFI REGISTER'!A181,"")</f>
        <v/>
      </c>
      <c r="C476">
        <f>IF('RFI REGISTER'!$R$181="X",'RFI REGISTER'!F181,"")</f>
        <v/>
      </c>
      <c r="D476">
        <f>IF('RFI REGISTER'!$R$181="X",'RFI REGISTER'!D181,"")</f>
        <v/>
      </c>
      <c r="E476">
        <f>IF('RFI REGISTER'!$R$181="X",'RFI REGISTER'!B181,"")</f>
        <v/>
      </c>
      <c r="F476">
        <f>IF('RFI REGISTER'!$R$181="X",'RFI REGISTER'!H181,"")</f>
        <v/>
      </c>
      <c r="G476">
        <f>IF('RFI REGISTER'!$R$181="X",'RFI REGISTER'!C181,"")</f>
        <v/>
      </c>
      <c r="H476">
        <f>IF('RFI REGISTER'!$R$181="X","X","")</f>
        <v/>
      </c>
    </row>
    <row r="477" ht="15" customHeight="1" s="130">
      <c r="A477">
        <f>IF('RFI REGISTER'!$R$182="X","RFI REGISTER","")</f>
        <v/>
      </c>
      <c r="B477">
        <f>IF('RFI REGISTER'!$R$182="X",'RFI REGISTER'!A182,"")</f>
        <v/>
      </c>
      <c r="C477">
        <f>IF('RFI REGISTER'!$R$182="X",'RFI REGISTER'!F182,"")</f>
        <v/>
      </c>
      <c r="D477">
        <f>IF('RFI REGISTER'!$R$182="X",'RFI REGISTER'!D182,"")</f>
        <v/>
      </c>
      <c r="E477">
        <f>IF('RFI REGISTER'!$R$182="X",'RFI REGISTER'!B182,"")</f>
        <v/>
      </c>
      <c r="F477">
        <f>IF('RFI REGISTER'!$R$182="X",'RFI REGISTER'!H182,"")</f>
        <v/>
      </c>
      <c r="G477">
        <f>IF('RFI REGISTER'!$R$182="X",'RFI REGISTER'!C182,"")</f>
        <v/>
      </c>
      <c r="H477">
        <f>IF('RFI REGISTER'!$R$182="X","X","")</f>
        <v/>
      </c>
    </row>
    <row r="478" ht="15" customHeight="1" s="130">
      <c r="A478">
        <f>IF('RFI REGISTER'!$R$183="X","RFI REGISTER","")</f>
        <v/>
      </c>
      <c r="B478">
        <f>IF('RFI REGISTER'!$R$183="X",'RFI REGISTER'!A183,"")</f>
        <v/>
      </c>
      <c r="C478">
        <f>IF('RFI REGISTER'!$R$183="X",'RFI REGISTER'!F183,"")</f>
        <v/>
      </c>
      <c r="D478">
        <f>IF('RFI REGISTER'!$R$183="X",'RFI REGISTER'!D183,"")</f>
        <v/>
      </c>
      <c r="E478">
        <f>IF('RFI REGISTER'!$R$183="X",'RFI REGISTER'!B183,"")</f>
        <v/>
      </c>
      <c r="F478">
        <f>IF('RFI REGISTER'!$R$183="X",'RFI REGISTER'!H183,"")</f>
        <v/>
      </c>
      <c r="G478">
        <f>IF('RFI REGISTER'!$R$183="X",'RFI REGISTER'!C183,"")</f>
        <v/>
      </c>
      <c r="H478">
        <f>IF('RFI REGISTER'!$R$183="X","X","")</f>
        <v/>
      </c>
    </row>
    <row r="479" ht="15" customHeight="1" s="130">
      <c r="A479">
        <f>IF('RFI REGISTER'!$R$184="X","RFI REGISTER","")</f>
        <v/>
      </c>
      <c r="B479">
        <f>IF('RFI REGISTER'!$R$184="X",'RFI REGISTER'!A184,"")</f>
        <v/>
      </c>
      <c r="C479">
        <f>IF('RFI REGISTER'!$R$184="X",'RFI REGISTER'!F184,"")</f>
        <v/>
      </c>
      <c r="D479">
        <f>IF('RFI REGISTER'!$R$184="X",'RFI REGISTER'!D184,"")</f>
        <v/>
      </c>
      <c r="E479">
        <f>IF('RFI REGISTER'!$R$184="X",'RFI REGISTER'!B184,"")</f>
        <v/>
      </c>
      <c r="F479">
        <f>IF('RFI REGISTER'!$R$184="X",'RFI REGISTER'!H184,"")</f>
        <v/>
      </c>
      <c r="G479">
        <f>IF('RFI REGISTER'!$R$184="X",'RFI REGISTER'!C184,"")</f>
        <v/>
      </c>
      <c r="H479">
        <f>IF('RFI REGISTER'!$R$184="X","X","")</f>
        <v/>
      </c>
    </row>
    <row r="480" ht="15" customHeight="1" s="130">
      <c r="A480">
        <f>IF('RFI REGISTER'!$R$185="X","RFI REGISTER","")</f>
        <v/>
      </c>
      <c r="B480">
        <f>IF('RFI REGISTER'!$R$185="X",'RFI REGISTER'!A185,"")</f>
        <v/>
      </c>
      <c r="C480">
        <f>IF('RFI REGISTER'!$R$185="X",'RFI REGISTER'!F185,"")</f>
        <v/>
      </c>
      <c r="D480">
        <f>IF('RFI REGISTER'!$R$185="X",'RFI REGISTER'!D185,"")</f>
        <v/>
      </c>
      <c r="E480">
        <f>IF('RFI REGISTER'!$R$185="X",'RFI REGISTER'!B185,"")</f>
        <v/>
      </c>
      <c r="F480">
        <f>IF('RFI REGISTER'!$R$185="X",'RFI REGISTER'!H185,"")</f>
        <v/>
      </c>
      <c r="G480">
        <f>IF('RFI REGISTER'!$R$185="X",'RFI REGISTER'!C185,"")</f>
        <v/>
      </c>
      <c r="H480">
        <f>IF('RFI REGISTER'!$R$185="X","X","")</f>
        <v/>
      </c>
    </row>
    <row r="481" ht="15" customHeight="1" s="130">
      <c r="A481">
        <f>IF('RFI REGISTER'!$R$186="X","RFI REGISTER","")</f>
        <v/>
      </c>
      <c r="B481">
        <f>IF('RFI REGISTER'!$R$186="X",'RFI REGISTER'!A186,"")</f>
        <v/>
      </c>
      <c r="C481">
        <f>IF('RFI REGISTER'!$R$186="X",'RFI REGISTER'!F186,"")</f>
        <v/>
      </c>
      <c r="D481">
        <f>IF('RFI REGISTER'!$R$186="X",'RFI REGISTER'!D186,"")</f>
        <v/>
      </c>
      <c r="E481">
        <f>IF('RFI REGISTER'!$R$186="X",'RFI REGISTER'!B186,"")</f>
        <v/>
      </c>
      <c r="F481">
        <f>IF('RFI REGISTER'!$R$186="X",'RFI REGISTER'!H186,"")</f>
        <v/>
      </c>
      <c r="G481">
        <f>IF('RFI REGISTER'!$R$186="X",'RFI REGISTER'!C186,"")</f>
        <v/>
      </c>
      <c r="H481">
        <f>IF('RFI REGISTER'!$R$186="X","X","")</f>
        <v/>
      </c>
    </row>
    <row r="482" ht="15" customHeight="1" s="130">
      <c r="A482">
        <f>IF('RFI REGISTER'!$R$187="X","RFI REGISTER","")</f>
        <v/>
      </c>
      <c r="B482">
        <f>IF('RFI REGISTER'!$R$187="X",'RFI REGISTER'!A187,"")</f>
        <v/>
      </c>
      <c r="C482">
        <f>IF('RFI REGISTER'!$R$187="X",'RFI REGISTER'!F187,"")</f>
        <v/>
      </c>
      <c r="D482">
        <f>IF('RFI REGISTER'!$R$187="X",'RFI REGISTER'!D187,"")</f>
        <v/>
      </c>
      <c r="E482">
        <f>IF('RFI REGISTER'!$R$187="X",'RFI REGISTER'!B187,"")</f>
        <v/>
      </c>
      <c r="F482">
        <f>IF('RFI REGISTER'!$R$187="X",'RFI REGISTER'!H187,"")</f>
        <v/>
      </c>
      <c r="G482">
        <f>IF('RFI REGISTER'!$R$187="X",'RFI REGISTER'!C187,"")</f>
        <v/>
      </c>
      <c r="H482">
        <f>IF('RFI REGISTER'!$R$187="X","X","")</f>
        <v/>
      </c>
    </row>
    <row r="483" ht="15" customHeight="1" s="130">
      <c r="A483">
        <f>IF('RFI REGISTER'!$R$188="X","RFI REGISTER","")</f>
        <v/>
      </c>
      <c r="B483">
        <f>IF('RFI REGISTER'!$R$188="X",'RFI REGISTER'!A188,"")</f>
        <v/>
      </c>
      <c r="C483">
        <f>IF('RFI REGISTER'!$R$188="X",'RFI REGISTER'!F188,"")</f>
        <v/>
      </c>
      <c r="D483">
        <f>IF('RFI REGISTER'!$R$188="X",'RFI REGISTER'!D188,"")</f>
        <v/>
      </c>
      <c r="E483">
        <f>IF('RFI REGISTER'!$R$188="X",'RFI REGISTER'!B188,"")</f>
        <v/>
      </c>
      <c r="F483">
        <f>IF('RFI REGISTER'!$R$188="X",'RFI REGISTER'!H188,"")</f>
        <v/>
      </c>
      <c r="G483">
        <f>IF('RFI REGISTER'!$R$188="X",'RFI REGISTER'!C188,"")</f>
        <v/>
      </c>
      <c r="H483">
        <f>IF('RFI REGISTER'!$R$188="X","X","")</f>
        <v/>
      </c>
    </row>
    <row r="484" ht="15" customHeight="1" s="130">
      <c r="A484">
        <f>IF('RFI REGISTER'!$R$189="X","RFI REGISTER","")</f>
        <v/>
      </c>
      <c r="B484">
        <f>IF('RFI REGISTER'!$R$189="X",'RFI REGISTER'!A189,"")</f>
        <v/>
      </c>
      <c r="C484">
        <f>IF('RFI REGISTER'!$R$189="X",'RFI REGISTER'!F189,"")</f>
        <v/>
      </c>
      <c r="D484">
        <f>IF('RFI REGISTER'!$R$189="X",'RFI REGISTER'!D189,"")</f>
        <v/>
      </c>
      <c r="E484">
        <f>IF('RFI REGISTER'!$R$189="X",'RFI REGISTER'!B189,"")</f>
        <v/>
      </c>
      <c r="F484">
        <f>IF('RFI REGISTER'!$R$189="X",'RFI REGISTER'!H189,"")</f>
        <v/>
      </c>
      <c r="G484">
        <f>IF('RFI REGISTER'!$R$189="X",'RFI REGISTER'!C189,"")</f>
        <v/>
      </c>
      <c r="H484">
        <f>IF('RFI REGISTER'!$R$189="X","X","")</f>
        <v/>
      </c>
    </row>
    <row r="485" ht="15" customHeight="1" s="130">
      <c r="A485">
        <f>IF('RFI REGISTER'!$R$190="X","RFI REGISTER","")</f>
        <v/>
      </c>
      <c r="B485">
        <f>IF('RFI REGISTER'!$R$190="X",'RFI REGISTER'!A190,"")</f>
        <v/>
      </c>
      <c r="C485">
        <f>IF('RFI REGISTER'!$R$190="X",'RFI REGISTER'!F190,"")</f>
        <v/>
      </c>
      <c r="D485">
        <f>IF('RFI REGISTER'!$R$190="X",'RFI REGISTER'!D190,"")</f>
        <v/>
      </c>
      <c r="E485">
        <f>IF('RFI REGISTER'!$R$190="X",'RFI REGISTER'!B190,"")</f>
        <v/>
      </c>
      <c r="F485">
        <f>IF('RFI REGISTER'!$R$190="X",'RFI REGISTER'!H190,"")</f>
        <v/>
      </c>
      <c r="G485">
        <f>IF('RFI REGISTER'!$R$190="X",'RFI REGISTER'!C190,"")</f>
        <v/>
      </c>
      <c r="H485">
        <f>IF('RFI REGISTER'!$R$190="X","X","")</f>
        <v/>
      </c>
    </row>
    <row r="486" ht="15" customHeight="1" s="130">
      <c r="A486">
        <f>IF('RFI REGISTER'!$R$191="X","RFI REGISTER","")</f>
        <v/>
      </c>
      <c r="B486">
        <f>IF('RFI REGISTER'!$R$191="X",'RFI REGISTER'!A191,"")</f>
        <v/>
      </c>
      <c r="C486">
        <f>IF('RFI REGISTER'!$R$191="X",'RFI REGISTER'!F191,"")</f>
        <v/>
      </c>
      <c r="D486">
        <f>IF('RFI REGISTER'!$R$191="X",'RFI REGISTER'!D191,"")</f>
        <v/>
      </c>
      <c r="E486">
        <f>IF('RFI REGISTER'!$R$191="X",'RFI REGISTER'!B191,"")</f>
        <v/>
      </c>
      <c r="F486">
        <f>IF('RFI REGISTER'!$R$191="X",'RFI REGISTER'!H191,"")</f>
        <v/>
      </c>
      <c r="G486">
        <f>IF('RFI REGISTER'!$R$191="X",'RFI REGISTER'!C191,"")</f>
        <v/>
      </c>
      <c r="H486">
        <f>IF('RFI REGISTER'!$R$191="X","X","")</f>
        <v/>
      </c>
    </row>
    <row r="487" ht="15" customHeight="1" s="130">
      <c r="A487">
        <f>IF('RFI REGISTER'!$R$192="X","RFI REGISTER","")</f>
        <v/>
      </c>
      <c r="B487">
        <f>IF('RFI REGISTER'!$R$192="X",'RFI REGISTER'!A192,"")</f>
        <v/>
      </c>
      <c r="C487">
        <f>IF('RFI REGISTER'!$R$192="X",'RFI REGISTER'!F192,"")</f>
        <v/>
      </c>
      <c r="D487">
        <f>IF('RFI REGISTER'!$R$192="X",'RFI REGISTER'!D192,"")</f>
        <v/>
      </c>
      <c r="E487">
        <f>IF('RFI REGISTER'!$R$192="X",'RFI REGISTER'!B192,"")</f>
        <v/>
      </c>
      <c r="F487">
        <f>IF('RFI REGISTER'!$R$192="X",'RFI REGISTER'!H192,"")</f>
        <v/>
      </c>
      <c r="G487">
        <f>IF('RFI REGISTER'!$R$192="X",'RFI REGISTER'!C192,"")</f>
        <v/>
      </c>
      <c r="H487">
        <f>IF('RFI REGISTER'!$R$192="X","X","")</f>
        <v/>
      </c>
    </row>
    <row r="488" ht="15" customHeight="1" s="130">
      <c r="A488">
        <f>IF('RFI REGISTER'!$R$193="X","RFI REGISTER","")</f>
        <v/>
      </c>
      <c r="B488">
        <f>IF('RFI REGISTER'!$R$193="X",'RFI REGISTER'!A193,"")</f>
        <v/>
      </c>
      <c r="C488">
        <f>IF('RFI REGISTER'!$R$193="X",'RFI REGISTER'!F193,"")</f>
        <v/>
      </c>
      <c r="D488">
        <f>IF('RFI REGISTER'!$R$193="X",'RFI REGISTER'!D193,"")</f>
        <v/>
      </c>
      <c r="E488">
        <f>IF('RFI REGISTER'!$R$193="X",'RFI REGISTER'!B193,"")</f>
        <v/>
      </c>
      <c r="F488">
        <f>IF('RFI REGISTER'!$R$193="X",'RFI REGISTER'!H193,"")</f>
        <v/>
      </c>
      <c r="G488">
        <f>IF('RFI REGISTER'!$R$193="X",'RFI REGISTER'!C193,"")</f>
        <v/>
      </c>
      <c r="H488">
        <f>IF('RFI REGISTER'!$R$193="X","X","")</f>
        <v/>
      </c>
    </row>
    <row r="489" ht="15" customHeight="1" s="130">
      <c r="A489">
        <f>IF('RFI REGISTER'!$R$194="X","RFI REGISTER","")</f>
        <v/>
      </c>
      <c r="B489">
        <f>IF('RFI REGISTER'!$R$194="X",'RFI REGISTER'!A194,"")</f>
        <v/>
      </c>
      <c r="C489">
        <f>IF('RFI REGISTER'!$R$194="X",'RFI REGISTER'!F194,"")</f>
        <v/>
      </c>
      <c r="D489">
        <f>IF('RFI REGISTER'!$R$194="X",'RFI REGISTER'!D194,"")</f>
        <v/>
      </c>
      <c r="E489">
        <f>IF('RFI REGISTER'!$R$194="X",'RFI REGISTER'!B194,"")</f>
        <v/>
      </c>
      <c r="F489">
        <f>IF('RFI REGISTER'!$R$194="X",'RFI REGISTER'!H194,"")</f>
        <v/>
      </c>
      <c r="G489">
        <f>IF('RFI REGISTER'!$R$194="X",'RFI REGISTER'!C194,"")</f>
        <v/>
      </c>
      <c r="H489">
        <f>IF('RFI REGISTER'!$R$194="X","X","")</f>
        <v/>
      </c>
    </row>
    <row r="490" ht="15" customHeight="1" s="130">
      <c r="A490">
        <f>IF('RFI REGISTER'!$R$195="X","RFI REGISTER","")</f>
        <v/>
      </c>
      <c r="B490">
        <f>IF('RFI REGISTER'!$R$195="X",'RFI REGISTER'!A195,"")</f>
        <v/>
      </c>
      <c r="C490">
        <f>IF('RFI REGISTER'!$R$195="X",'RFI REGISTER'!F195,"")</f>
        <v/>
      </c>
      <c r="D490">
        <f>IF('RFI REGISTER'!$R$195="X",'RFI REGISTER'!D195,"")</f>
        <v/>
      </c>
      <c r="E490">
        <f>IF('RFI REGISTER'!$R$195="X",'RFI REGISTER'!B195,"")</f>
        <v/>
      </c>
      <c r="F490">
        <f>IF('RFI REGISTER'!$R$195="X",'RFI REGISTER'!H195,"")</f>
        <v/>
      </c>
      <c r="G490">
        <f>IF('RFI REGISTER'!$R$195="X",'RFI REGISTER'!C195,"")</f>
        <v/>
      </c>
      <c r="H490">
        <f>IF('RFI REGISTER'!$R$195="X","X","")</f>
        <v/>
      </c>
    </row>
    <row r="491" ht="15" customHeight="1" s="130">
      <c r="A491">
        <f>IF('RFI REGISTER'!$R$196="X","RFI REGISTER","")</f>
        <v/>
      </c>
      <c r="B491">
        <f>IF('RFI REGISTER'!$R$196="X",'RFI REGISTER'!A196,"")</f>
        <v/>
      </c>
      <c r="C491">
        <f>IF('RFI REGISTER'!$R$196="X",'RFI REGISTER'!F196,"")</f>
        <v/>
      </c>
      <c r="D491">
        <f>IF('RFI REGISTER'!$R$196="X",'RFI REGISTER'!D196,"")</f>
        <v/>
      </c>
      <c r="E491">
        <f>IF('RFI REGISTER'!$R$196="X",'RFI REGISTER'!B196,"")</f>
        <v/>
      </c>
      <c r="F491">
        <f>IF('RFI REGISTER'!$R$196="X",'RFI REGISTER'!H196,"")</f>
        <v/>
      </c>
      <c r="G491">
        <f>IF('RFI REGISTER'!$R$196="X",'RFI REGISTER'!C196,"")</f>
        <v/>
      </c>
      <c r="H491">
        <f>IF('RFI REGISTER'!$R$196="X","X","")</f>
        <v/>
      </c>
    </row>
    <row r="492" ht="15" customHeight="1" s="130">
      <c r="A492">
        <f>IF('RFI REGISTER'!$R$197="X","RFI REGISTER","")</f>
        <v/>
      </c>
      <c r="B492">
        <f>IF('RFI REGISTER'!$R$197="X",'RFI REGISTER'!A197,"")</f>
        <v/>
      </c>
      <c r="C492">
        <f>IF('RFI REGISTER'!$R$197="X",'RFI REGISTER'!F197,"")</f>
        <v/>
      </c>
      <c r="D492">
        <f>IF('RFI REGISTER'!$R$197="X",'RFI REGISTER'!D197,"")</f>
        <v/>
      </c>
      <c r="E492">
        <f>IF('RFI REGISTER'!$R$197="X",'RFI REGISTER'!B197,"")</f>
        <v/>
      </c>
      <c r="F492">
        <f>IF('RFI REGISTER'!$R$197="X",'RFI REGISTER'!H197,"")</f>
        <v/>
      </c>
      <c r="G492">
        <f>IF('RFI REGISTER'!$R$197="X",'RFI REGISTER'!C197,"")</f>
        <v/>
      </c>
      <c r="H492">
        <f>IF('RFI REGISTER'!$R$197="X","X","")</f>
        <v/>
      </c>
    </row>
    <row r="493" ht="15" customHeight="1" s="130">
      <c r="A493">
        <f>IF('RFI REGISTER'!$R$198="X","RFI REGISTER","")</f>
        <v/>
      </c>
      <c r="B493">
        <f>IF('RFI REGISTER'!$R$198="X",'RFI REGISTER'!A198,"")</f>
        <v/>
      </c>
      <c r="C493">
        <f>IF('RFI REGISTER'!$R$198="X",'RFI REGISTER'!F198,"")</f>
        <v/>
      </c>
      <c r="D493">
        <f>IF('RFI REGISTER'!$R$198="X",'RFI REGISTER'!D198,"")</f>
        <v/>
      </c>
      <c r="E493">
        <f>IF('RFI REGISTER'!$R$198="X",'RFI REGISTER'!B198,"")</f>
        <v/>
      </c>
      <c r="F493">
        <f>IF('RFI REGISTER'!$R$198="X",'RFI REGISTER'!H198,"")</f>
        <v/>
      </c>
      <c r="G493">
        <f>IF('RFI REGISTER'!$R$198="X",'RFI REGISTER'!C198,"")</f>
        <v/>
      </c>
      <c r="H493">
        <f>IF('RFI REGISTER'!$R$198="X","X","")</f>
        <v/>
      </c>
    </row>
    <row r="494" ht="15" customHeight="1" s="130">
      <c r="A494">
        <f>IF('RFI REGISTER'!$R$199="X","RFI REGISTER","")</f>
        <v/>
      </c>
      <c r="B494">
        <f>IF('RFI REGISTER'!$R$199="X",'RFI REGISTER'!A199,"")</f>
        <v/>
      </c>
      <c r="C494">
        <f>IF('RFI REGISTER'!$R$199="X",'RFI REGISTER'!F199,"")</f>
        <v/>
      </c>
      <c r="D494">
        <f>IF('RFI REGISTER'!$R$199="X",'RFI REGISTER'!D199,"")</f>
        <v/>
      </c>
      <c r="E494">
        <f>IF('RFI REGISTER'!$R$199="X",'RFI REGISTER'!B199,"")</f>
        <v/>
      </c>
      <c r="F494">
        <f>IF('RFI REGISTER'!$R$199="X",'RFI REGISTER'!H199,"")</f>
        <v/>
      </c>
      <c r="G494">
        <f>IF('RFI REGISTER'!$R$199="X",'RFI REGISTER'!C199,"")</f>
        <v/>
      </c>
      <c r="H494">
        <f>IF('RFI REGISTER'!$R$199="X","X","")</f>
        <v/>
      </c>
    </row>
    <row r="495" ht="15" customHeight="1" s="130">
      <c r="A495">
        <f>IF('RFI REGISTER'!$R$200="X","RFI REGISTER","")</f>
        <v/>
      </c>
      <c r="B495">
        <f>IF('RFI REGISTER'!$R$200="X",'RFI REGISTER'!A200,"")</f>
        <v/>
      </c>
      <c r="C495">
        <f>IF('RFI REGISTER'!$R$200="X",'RFI REGISTER'!F200,"")</f>
        <v/>
      </c>
      <c r="D495">
        <f>IF('RFI REGISTER'!$R$200="X",'RFI REGISTER'!D200,"")</f>
        <v/>
      </c>
      <c r="E495">
        <f>IF('RFI REGISTER'!$R$200="X",'RFI REGISTER'!B200,"")</f>
        <v/>
      </c>
      <c r="F495">
        <f>IF('RFI REGISTER'!$R$200="X",'RFI REGISTER'!H200,"")</f>
        <v/>
      </c>
      <c r="G495">
        <f>IF('RFI REGISTER'!$R$200="X",'RFI REGISTER'!C200,"")</f>
        <v/>
      </c>
      <c r="H495">
        <f>IF('RFI REGISTER'!$R$200="X","X","")</f>
        <v/>
      </c>
    </row>
    <row r="496" ht="15" customHeight="1" s="130">
      <c r="A496">
        <f>IF('RFI REGISTER'!$R$201="X","RFI REGISTER","")</f>
        <v/>
      </c>
      <c r="B496">
        <f>IF('RFI REGISTER'!$R$201="X",'RFI REGISTER'!A201,"")</f>
        <v/>
      </c>
      <c r="C496">
        <f>IF('RFI REGISTER'!$R$201="X",'RFI REGISTER'!F201,"")</f>
        <v/>
      </c>
      <c r="D496">
        <f>IF('RFI REGISTER'!$R$201="X",'RFI REGISTER'!D201,"")</f>
        <v/>
      </c>
      <c r="E496">
        <f>IF('RFI REGISTER'!$R$201="X",'RFI REGISTER'!B201,"")</f>
        <v/>
      </c>
      <c r="F496">
        <f>IF('RFI REGISTER'!$R$201="X",'RFI REGISTER'!H201,"")</f>
        <v/>
      </c>
      <c r="G496">
        <f>IF('RFI REGISTER'!$R$201="X",'RFI REGISTER'!C201,"")</f>
        <v/>
      </c>
      <c r="H496">
        <f>IF('RFI REGISTER'!$R$201="X","X","")</f>
        <v/>
      </c>
    </row>
    <row r="497" ht="15" customHeight="1" s="130">
      <c r="A497">
        <f>IF('RFI REGISTER'!$R$202="X","RFI REGISTER","")</f>
        <v/>
      </c>
      <c r="B497">
        <f>IF('RFI REGISTER'!$R$202="X",'RFI REGISTER'!A202,"")</f>
        <v/>
      </c>
      <c r="C497">
        <f>IF('RFI REGISTER'!$R$202="X",'RFI REGISTER'!F202,"")</f>
        <v/>
      </c>
      <c r="D497">
        <f>IF('RFI REGISTER'!$R$202="X",'RFI REGISTER'!D202,"")</f>
        <v/>
      </c>
      <c r="E497">
        <f>IF('RFI REGISTER'!$R$202="X",'RFI REGISTER'!B202,"")</f>
        <v/>
      </c>
      <c r="F497">
        <f>IF('RFI REGISTER'!$R$202="X",'RFI REGISTER'!H202,"")</f>
        <v/>
      </c>
      <c r="G497">
        <f>IF('RFI REGISTER'!$R$202="X",'RFI REGISTER'!C202,"")</f>
        <v/>
      </c>
      <c r="H497">
        <f>IF('RFI REGISTER'!$R$202="X","X","")</f>
        <v/>
      </c>
    </row>
    <row r="498" ht="15" customHeight="1" s="130">
      <c r="A498">
        <f>IF('RFI REGISTER'!$R$203="X","RFI REGISTER","")</f>
        <v/>
      </c>
      <c r="B498">
        <f>IF('RFI REGISTER'!$R$203="X",'RFI REGISTER'!A203,"")</f>
        <v/>
      </c>
      <c r="C498">
        <f>IF('RFI REGISTER'!$R$203="X",'RFI REGISTER'!F203,"")</f>
        <v/>
      </c>
      <c r="D498">
        <f>IF('RFI REGISTER'!$R$203="X",'RFI REGISTER'!D203,"")</f>
        <v/>
      </c>
      <c r="E498">
        <f>IF('RFI REGISTER'!$R$203="X",'RFI REGISTER'!B203,"")</f>
        <v/>
      </c>
      <c r="F498">
        <f>IF('RFI REGISTER'!$R$203="X",'RFI REGISTER'!H203,"")</f>
        <v/>
      </c>
      <c r="G498">
        <f>IF('RFI REGISTER'!$R$203="X",'RFI REGISTER'!C203,"")</f>
        <v/>
      </c>
      <c r="H498">
        <f>IF('RFI REGISTER'!$R$203="X","X","")</f>
        <v/>
      </c>
    </row>
    <row r="499" ht="15" customHeight="1" s="130">
      <c r="A499">
        <f>IF('RFI REGISTER'!$R$204="X","RFI REGISTER","")</f>
        <v/>
      </c>
      <c r="B499">
        <f>IF('RFI REGISTER'!$R$204="X",'RFI REGISTER'!A204,"")</f>
        <v/>
      </c>
      <c r="C499">
        <f>IF('RFI REGISTER'!$R$204="X",'RFI REGISTER'!F204,"")</f>
        <v/>
      </c>
      <c r="D499">
        <f>IF('RFI REGISTER'!$R$204="X",'RFI REGISTER'!D204,"")</f>
        <v/>
      </c>
      <c r="E499">
        <f>IF('RFI REGISTER'!$R$204="X",'RFI REGISTER'!B204,"")</f>
        <v/>
      </c>
      <c r="F499">
        <f>IF('RFI REGISTER'!$R$204="X",'RFI REGISTER'!H204,"")</f>
        <v/>
      </c>
      <c r="G499">
        <f>IF('RFI REGISTER'!$R$204="X",'RFI REGISTER'!C204,"")</f>
        <v/>
      </c>
      <c r="H499">
        <f>IF('RFI REGISTER'!$R$204="X","X","")</f>
        <v/>
      </c>
    </row>
    <row r="500" ht="15" customHeight="1" s="130">
      <c r="A500">
        <f>IF('RFI REGISTER'!$R$205="X","RFI REGISTER","")</f>
        <v/>
      </c>
      <c r="B500">
        <f>IF('RFI REGISTER'!$R$205="X",'RFI REGISTER'!A205,"")</f>
        <v/>
      </c>
      <c r="C500">
        <f>IF('RFI REGISTER'!$R$205="X",'RFI REGISTER'!F205,"")</f>
        <v/>
      </c>
      <c r="D500">
        <f>IF('RFI REGISTER'!$R$205="X",'RFI REGISTER'!D205,"")</f>
        <v/>
      </c>
      <c r="E500">
        <f>IF('RFI REGISTER'!$R$205="X",'RFI REGISTER'!B205,"")</f>
        <v/>
      </c>
      <c r="F500">
        <f>IF('RFI REGISTER'!$R$205="X",'RFI REGISTER'!H205,"")</f>
        <v/>
      </c>
      <c r="G500">
        <f>IF('RFI REGISTER'!$R$205="X",'RFI REGISTER'!C205,"")</f>
        <v/>
      </c>
      <c r="H500">
        <f>IF('RFI REGISTER'!$R$205="X","X","")</f>
        <v/>
      </c>
    </row>
    <row r="501" ht="15" customHeight="1" s="130">
      <c r="A501">
        <f>IF('RFI REGISTER'!$R$206="X","RFI REGISTER","")</f>
        <v/>
      </c>
      <c r="B501">
        <f>IF('RFI REGISTER'!$R$206="X",'RFI REGISTER'!A206,"")</f>
        <v/>
      </c>
      <c r="C501">
        <f>IF('RFI REGISTER'!$R$206="X",'RFI REGISTER'!F206,"")</f>
        <v/>
      </c>
      <c r="D501">
        <f>IF('RFI REGISTER'!$R$206="X",'RFI REGISTER'!D206,"")</f>
        <v/>
      </c>
      <c r="E501">
        <f>IF('RFI REGISTER'!$R$206="X",'RFI REGISTER'!B206,"")</f>
        <v/>
      </c>
      <c r="F501">
        <f>IF('RFI REGISTER'!$R$206="X",'RFI REGISTER'!H206,"")</f>
        <v/>
      </c>
      <c r="G501">
        <f>IF('RFI REGISTER'!$R$206="X",'RFI REGISTER'!C206,"")</f>
        <v/>
      </c>
      <c r="H501">
        <f>IF('RFI REGISTER'!$R$206="X","X","")</f>
        <v/>
      </c>
    </row>
    <row r="502" ht="15" customHeight="1" s="130">
      <c r="A502">
        <f>IF('RFI REGISTER'!$R$207="X","RFI REGISTER","")</f>
        <v/>
      </c>
      <c r="B502">
        <f>IF('RFI REGISTER'!$R$207="X",'RFI REGISTER'!A207,"")</f>
        <v/>
      </c>
      <c r="C502">
        <f>IF('RFI REGISTER'!$R$207="X",'RFI REGISTER'!F207,"")</f>
        <v/>
      </c>
      <c r="D502">
        <f>IF('RFI REGISTER'!$R$207="X",'RFI REGISTER'!D207,"")</f>
        <v/>
      </c>
      <c r="E502">
        <f>IF('RFI REGISTER'!$R$207="X",'RFI REGISTER'!B207,"")</f>
        <v/>
      </c>
      <c r="F502">
        <f>IF('RFI REGISTER'!$R$207="X",'RFI REGISTER'!H207,"")</f>
        <v/>
      </c>
      <c r="G502">
        <f>IF('RFI REGISTER'!$R$207="X",'RFI REGISTER'!C207,"")</f>
        <v/>
      </c>
      <c r="H502">
        <f>IF('RFI REGISTER'!$R$207="X","X","")</f>
        <v/>
      </c>
    </row>
    <row r="503" ht="15" customHeight="1" s="130">
      <c r="A503">
        <f>IF('RFI REGISTER'!$R$208="X","RFI REGISTER","")</f>
        <v/>
      </c>
      <c r="B503">
        <f>IF('RFI REGISTER'!$R$208="X",'RFI REGISTER'!A208,"")</f>
        <v/>
      </c>
      <c r="C503">
        <f>IF('RFI REGISTER'!$R$208="X",'RFI REGISTER'!F208,"")</f>
        <v/>
      </c>
      <c r="D503">
        <f>IF('RFI REGISTER'!$R$208="X",'RFI REGISTER'!D208,"")</f>
        <v/>
      </c>
      <c r="E503">
        <f>IF('RFI REGISTER'!$R$208="X",'RFI REGISTER'!B208,"")</f>
        <v/>
      </c>
      <c r="F503">
        <f>IF('RFI REGISTER'!$R$208="X",'RFI REGISTER'!H208,"")</f>
        <v/>
      </c>
      <c r="G503">
        <f>IF('RFI REGISTER'!$R$208="X",'RFI REGISTER'!C208,"")</f>
        <v/>
      </c>
      <c r="H503">
        <f>IF('RFI REGISTER'!$R$208="X","X","")</f>
        <v/>
      </c>
    </row>
    <row r="504" ht="15" customHeight="1" s="130">
      <c r="A504">
        <f>IF('RFI REGISTER'!$R$209="X","RFI REGISTER","")</f>
        <v/>
      </c>
      <c r="B504">
        <f>IF('RFI REGISTER'!$R$209="X",'RFI REGISTER'!A209,"")</f>
        <v/>
      </c>
      <c r="C504">
        <f>IF('RFI REGISTER'!$R$209="X",'RFI REGISTER'!F209,"")</f>
        <v/>
      </c>
      <c r="D504">
        <f>IF('RFI REGISTER'!$R$209="X",'RFI REGISTER'!D209,"")</f>
        <v/>
      </c>
      <c r="E504">
        <f>IF('RFI REGISTER'!$R$209="X",'RFI REGISTER'!B209,"")</f>
        <v/>
      </c>
      <c r="F504">
        <f>IF('RFI REGISTER'!$R$209="X",'RFI REGISTER'!H209,"")</f>
        <v/>
      </c>
      <c r="G504">
        <f>IF('RFI REGISTER'!$R$209="X",'RFI REGISTER'!C209,"")</f>
        <v/>
      </c>
      <c r="H504">
        <f>IF('RFI REGISTER'!$R$209="X","X","")</f>
        <v/>
      </c>
    </row>
    <row r="505" ht="15" customHeight="1" s="130">
      <c r="A505">
        <f>IF('RFI REGISTER'!$R$210="X","RFI REGISTER","")</f>
        <v/>
      </c>
      <c r="B505">
        <f>IF('RFI REGISTER'!$R$210="X",'RFI REGISTER'!A210,"")</f>
        <v/>
      </c>
      <c r="C505">
        <f>IF('RFI REGISTER'!$R$210="X",'RFI REGISTER'!F210,"")</f>
        <v/>
      </c>
      <c r="D505">
        <f>IF('RFI REGISTER'!$R$210="X",'RFI REGISTER'!D210,"")</f>
        <v/>
      </c>
      <c r="E505">
        <f>IF('RFI REGISTER'!$R$210="X",'RFI REGISTER'!B210,"")</f>
        <v/>
      </c>
      <c r="F505">
        <f>IF('RFI REGISTER'!$R$210="X",'RFI REGISTER'!H210,"")</f>
        <v/>
      </c>
      <c r="G505">
        <f>IF('RFI REGISTER'!$R$210="X",'RFI REGISTER'!C210,"")</f>
        <v/>
      </c>
      <c r="H505">
        <f>IF('RFI REGISTER'!$R$210="X","X","")</f>
        <v/>
      </c>
    </row>
    <row r="506" ht="15" customHeight="1" s="130">
      <c r="A506">
        <f>IF('RFI REGISTER'!$R$211="X","RFI REGISTER","")</f>
        <v/>
      </c>
      <c r="B506">
        <f>IF('RFI REGISTER'!$R$211="X",'RFI REGISTER'!A211,"")</f>
        <v/>
      </c>
      <c r="C506">
        <f>IF('RFI REGISTER'!$R$211="X",'RFI REGISTER'!F211,"")</f>
        <v/>
      </c>
      <c r="D506">
        <f>IF('RFI REGISTER'!$R$211="X",'RFI REGISTER'!D211,"")</f>
        <v/>
      </c>
      <c r="E506">
        <f>IF('RFI REGISTER'!$R$211="X",'RFI REGISTER'!B211,"")</f>
        <v/>
      </c>
      <c r="F506">
        <f>IF('RFI REGISTER'!$R$211="X",'RFI REGISTER'!H211,"")</f>
        <v/>
      </c>
      <c r="G506">
        <f>IF('RFI REGISTER'!$R$211="X",'RFI REGISTER'!C211,"")</f>
        <v/>
      </c>
      <c r="H506">
        <f>IF('RFI REGISTER'!$R$211="X","X","")</f>
        <v/>
      </c>
    </row>
    <row r="507" ht="15" customHeight="1" s="130">
      <c r="A507">
        <f>IF('RFI REGISTER'!$R$212="X","RFI REGISTER","")</f>
        <v/>
      </c>
      <c r="B507">
        <f>IF('RFI REGISTER'!$R$212="X",'RFI REGISTER'!A212,"")</f>
        <v/>
      </c>
      <c r="C507">
        <f>IF('RFI REGISTER'!$R$212="X",'RFI REGISTER'!F212,"")</f>
        <v/>
      </c>
      <c r="D507">
        <f>IF('RFI REGISTER'!$R$212="X",'RFI REGISTER'!D212,"")</f>
        <v/>
      </c>
      <c r="E507">
        <f>IF('RFI REGISTER'!$R$212="X",'RFI REGISTER'!B212,"")</f>
        <v/>
      </c>
      <c r="F507">
        <f>IF('RFI REGISTER'!$R$212="X",'RFI REGISTER'!H212,"")</f>
        <v/>
      </c>
      <c r="G507">
        <f>IF('RFI REGISTER'!$R$212="X",'RFI REGISTER'!C212,"")</f>
        <v/>
      </c>
      <c r="H507">
        <f>IF('RFI REGISTER'!$R$212="X","X","")</f>
        <v/>
      </c>
    </row>
    <row r="508" ht="15" customHeight="1" s="130">
      <c r="A508">
        <f>IF('RFI REGISTER'!$R$213="X","RFI REGISTER","")</f>
        <v/>
      </c>
      <c r="B508">
        <f>IF('RFI REGISTER'!$R$213="X",'RFI REGISTER'!A213,"")</f>
        <v/>
      </c>
      <c r="C508">
        <f>IF('RFI REGISTER'!$R$213="X",'RFI REGISTER'!F213,"")</f>
        <v/>
      </c>
      <c r="D508">
        <f>IF('RFI REGISTER'!$R$213="X",'RFI REGISTER'!D213,"")</f>
        <v/>
      </c>
      <c r="E508">
        <f>IF('RFI REGISTER'!$R$213="X",'RFI REGISTER'!B213,"")</f>
        <v/>
      </c>
      <c r="F508">
        <f>IF('RFI REGISTER'!$R$213="X",'RFI REGISTER'!H213,"")</f>
        <v/>
      </c>
      <c r="G508">
        <f>IF('RFI REGISTER'!$R$213="X",'RFI REGISTER'!C213,"")</f>
        <v/>
      </c>
      <c r="H508">
        <f>IF('RFI REGISTER'!$R$213="X","X","")</f>
        <v/>
      </c>
    </row>
    <row r="509" ht="15" customHeight="1" s="130">
      <c r="A509">
        <f>IF('RFI REGISTER'!$R$214="X","RFI REGISTER","")</f>
        <v/>
      </c>
      <c r="B509">
        <f>IF('RFI REGISTER'!$R$214="X",'RFI REGISTER'!A214,"")</f>
        <v/>
      </c>
      <c r="C509">
        <f>IF('RFI REGISTER'!$R$214="X",'RFI REGISTER'!F214,"")</f>
        <v/>
      </c>
      <c r="D509">
        <f>IF('RFI REGISTER'!$R$214="X",'RFI REGISTER'!D214,"")</f>
        <v/>
      </c>
      <c r="E509">
        <f>IF('RFI REGISTER'!$R$214="X",'RFI REGISTER'!B214,"")</f>
        <v/>
      </c>
      <c r="F509">
        <f>IF('RFI REGISTER'!$R$214="X",'RFI REGISTER'!H214,"")</f>
        <v/>
      </c>
      <c r="G509">
        <f>IF('RFI REGISTER'!$R$214="X",'RFI REGISTER'!C214,"")</f>
        <v/>
      </c>
      <c r="H509">
        <f>IF('RFI REGISTER'!$R$214="X","X","")</f>
        <v/>
      </c>
    </row>
    <row r="510" ht="15" customHeight="1" s="130">
      <c r="A510">
        <f>IF('RFI REGISTER'!$R$215="X","RFI REGISTER","")</f>
        <v/>
      </c>
      <c r="B510">
        <f>IF('RFI REGISTER'!$R$215="X",'RFI REGISTER'!A215,"")</f>
        <v/>
      </c>
      <c r="C510">
        <f>IF('RFI REGISTER'!$R$215="X",'RFI REGISTER'!F215,"")</f>
        <v/>
      </c>
      <c r="D510">
        <f>IF('RFI REGISTER'!$R$215="X",'RFI REGISTER'!D215,"")</f>
        <v/>
      </c>
      <c r="E510">
        <f>IF('RFI REGISTER'!$R$215="X",'RFI REGISTER'!B215,"")</f>
        <v/>
      </c>
      <c r="F510">
        <f>IF('RFI REGISTER'!$R$215="X",'RFI REGISTER'!H215,"")</f>
        <v/>
      </c>
      <c r="G510">
        <f>IF('RFI REGISTER'!$R$215="X",'RFI REGISTER'!C215,"")</f>
        <v/>
      </c>
      <c r="H510">
        <f>IF('RFI REGISTER'!$R$215="X","X","")</f>
        <v/>
      </c>
    </row>
    <row r="511" ht="15" customHeight="1" s="130">
      <c r="A511">
        <f>IF('RFI REGISTER'!$R$216="X","RFI REGISTER","")</f>
        <v/>
      </c>
      <c r="B511">
        <f>IF('RFI REGISTER'!$R$216="X",'RFI REGISTER'!A216,"")</f>
        <v/>
      </c>
      <c r="C511">
        <f>IF('RFI REGISTER'!$R$216="X",'RFI REGISTER'!F216,"")</f>
        <v/>
      </c>
      <c r="D511">
        <f>IF('RFI REGISTER'!$R$216="X",'RFI REGISTER'!D216,"")</f>
        <v/>
      </c>
      <c r="E511">
        <f>IF('RFI REGISTER'!$R$216="X",'RFI REGISTER'!B216,"")</f>
        <v/>
      </c>
      <c r="F511">
        <f>IF('RFI REGISTER'!$R$216="X",'RFI REGISTER'!H216,"")</f>
        <v/>
      </c>
      <c r="G511">
        <f>IF('RFI REGISTER'!$R$216="X",'RFI REGISTER'!C216,"")</f>
        <v/>
      </c>
      <c r="H511">
        <f>IF('RFI REGISTER'!$R$216="X","X","")</f>
        <v/>
      </c>
    </row>
    <row r="512" ht="15" customHeight="1" s="130">
      <c r="A512">
        <f>IF('RFI REGISTER'!$R$217="X","RFI REGISTER","")</f>
        <v/>
      </c>
      <c r="B512">
        <f>IF('RFI REGISTER'!$R$217="X",'RFI REGISTER'!A217,"")</f>
        <v/>
      </c>
      <c r="C512">
        <f>IF('RFI REGISTER'!$R$217="X",'RFI REGISTER'!F217,"")</f>
        <v/>
      </c>
      <c r="D512">
        <f>IF('RFI REGISTER'!$R$217="X",'RFI REGISTER'!D217,"")</f>
        <v/>
      </c>
      <c r="E512">
        <f>IF('RFI REGISTER'!$R$217="X",'RFI REGISTER'!B217,"")</f>
        <v/>
      </c>
      <c r="F512">
        <f>IF('RFI REGISTER'!$R$217="X",'RFI REGISTER'!H217,"")</f>
        <v/>
      </c>
      <c r="G512">
        <f>IF('RFI REGISTER'!$R$217="X",'RFI REGISTER'!C217,"")</f>
        <v/>
      </c>
      <c r="H512">
        <f>IF('RFI REGISTER'!$R$217="X","X","")</f>
        <v/>
      </c>
    </row>
    <row r="513" ht="15" customHeight="1" s="130">
      <c r="A513">
        <f>IF('RFI REGISTER'!$R$218="X","RFI REGISTER","")</f>
        <v/>
      </c>
      <c r="B513">
        <f>IF('RFI REGISTER'!$R$218="X",'RFI REGISTER'!A218,"")</f>
        <v/>
      </c>
      <c r="C513">
        <f>IF('RFI REGISTER'!$R$218="X",'RFI REGISTER'!F218,"")</f>
        <v/>
      </c>
      <c r="D513">
        <f>IF('RFI REGISTER'!$R$218="X",'RFI REGISTER'!D218,"")</f>
        <v/>
      </c>
      <c r="E513">
        <f>IF('RFI REGISTER'!$R$218="X",'RFI REGISTER'!B218,"")</f>
        <v/>
      </c>
      <c r="F513">
        <f>IF('RFI REGISTER'!$R$218="X",'RFI REGISTER'!H218,"")</f>
        <v/>
      </c>
      <c r="G513">
        <f>IF('RFI REGISTER'!$R$218="X",'RFI REGISTER'!C218,"")</f>
        <v/>
      </c>
      <c r="H513">
        <f>IF('RFI REGISTER'!$R$218="X","X","")</f>
        <v/>
      </c>
    </row>
    <row r="514" ht="15" customHeight="1" s="130">
      <c r="A514">
        <f>IF('RFI REGISTER'!$R$219="X","RFI REGISTER","")</f>
        <v/>
      </c>
      <c r="B514">
        <f>IF('RFI REGISTER'!$R$219="X",'RFI REGISTER'!A219,"")</f>
        <v/>
      </c>
      <c r="C514">
        <f>IF('RFI REGISTER'!$R$219="X",'RFI REGISTER'!F219,"")</f>
        <v/>
      </c>
      <c r="D514">
        <f>IF('RFI REGISTER'!$R$219="X",'RFI REGISTER'!D219,"")</f>
        <v/>
      </c>
      <c r="E514">
        <f>IF('RFI REGISTER'!$R$219="X",'RFI REGISTER'!B219,"")</f>
        <v/>
      </c>
      <c r="F514">
        <f>IF('RFI REGISTER'!$R$219="X",'RFI REGISTER'!H219,"")</f>
        <v/>
      </c>
      <c r="G514">
        <f>IF('RFI REGISTER'!$R$219="X",'RFI REGISTER'!C219,"")</f>
        <v/>
      </c>
      <c r="H514">
        <f>IF('RFI REGISTER'!$R$219="X","X","")</f>
        <v/>
      </c>
    </row>
    <row r="515" ht="15" customHeight="1" s="130">
      <c r="A515">
        <f>IF('RFI REGISTER'!$R$220="X","RFI REGISTER","")</f>
        <v/>
      </c>
      <c r="B515">
        <f>IF('RFI REGISTER'!$R$220="X",'RFI REGISTER'!A220,"")</f>
        <v/>
      </c>
      <c r="C515">
        <f>IF('RFI REGISTER'!$R$220="X",'RFI REGISTER'!F220,"")</f>
        <v/>
      </c>
      <c r="D515">
        <f>IF('RFI REGISTER'!$R$220="X",'RFI REGISTER'!D220,"")</f>
        <v/>
      </c>
      <c r="E515">
        <f>IF('RFI REGISTER'!$R$220="X",'RFI REGISTER'!B220,"")</f>
        <v/>
      </c>
      <c r="F515">
        <f>IF('RFI REGISTER'!$R$220="X",'RFI REGISTER'!H220,"")</f>
        <v/>
      </c>
      <c r="G515">
        <f>IF('RFI REGISTER'!$R$220="X",'RFI REGISTER'!C220,"")</f>
        <v/>
      </c>
      <c r="H515">
        <f>IF('RFI REGISTER'!$R$220="X","X","")</f>
        <v/>
      </c>
    </row>
    <row r="516" ht="15" customHeight="1" s="130">
      <c r="A516">
        <f>IF('RFI REGISTER'!$R$221="X","RFI REGISTER","")</f>
        <v/>
      </c>
      <c r="B516">
        <f>IF('RFI REGISTER'!$R$221="X",'RFI REGISTER'!A221,"")</f>
        <v/>
      </c>
      <c r="C516">
        <f>IF('RFI REGISTER'!$R$221="X",'RFI REGISTER'!F221,"")</f>
        <v/>
      </c>
      <c r="D516">
        <f>IF('RFI REGISTER'!$R$221="X",'RFI REGISTER'!D221,"")</f>
        <v/>
      </c>
      <c r="E516">
        <f>IF('RFI REGISTER'!$R$221="X",'RFI REGISTER'!B221,"")</f>
        <v/>
      </c>
      <c r="F516">
        <f>IF('RFI REGISTER'!$R$221="X",'RFI REGISTER'!H221,"")</f>
        <v/>
      </c>
      <c r="G516">
        <f>IF('RFI REGISTER'!$R$221="X",'RFI REGISTER'!C221,"")</f>
        <v/>
      </c>
      <c r="H516">
        <f>IF('RFI REGISTER'!$R$221="X","X","")</f>
        <v/>
      </c>
    </row>
    <row r="517" ht="15" customHeight="1" s="130">
      <c r="A517">
        <f>IF('RFI REGISTER'!$R$222="X","RFI REGISTER","")</f>
        <v/>
      </c>
      <c r="B517">
        <f>IF('RFI REGISTER'!$R$222="X",'RFI REGISTER'!A222,"")</f>
        <v/>
      </c>
      <c r="C517">
        <f>IF('RFI REGISTER'!$R$222="X",'RFI REGISTER'!F222,"")</f>
        <v/>
      </c>
      <c r="D517">
        <f>IF('RFI REGISTER'!$R$222="X",'RFI REGISTER'!D222,"")</f>
        <v/>
      </c>
      <c r="E517">
        <f>IF('RFI REGISTER'!$R$222="X",'RFI REGISTER'!B222,"")</f>
        <v/>
      </c>
      <c r="F517">
        <f>IF('RFI REGISTER'!$R$222="X",'RFI REGISTER'!H222,"")</f>
        <v/>
      </c>
      <c r="G517">
        <f>IF('RFI REGISTER'!$R$222="X",'RFI REGISTER'!C222,"")</f>
        <v/>
      </c>
      <c r="H517">
        <f>IF('RFI REGISTER'!$R$222="X","X","")</f>
        <v/>
      </c>
    </row>
    <row r="518" ht="15" customHeight="1" s="130">
      <c r="A518">
        <f>IF('RFI REGISTER'!$R$223="X","RFI REGISTER","")</f>
        <v/>
      </c>
      <c r="B518">
        <f>IF('RFI REGISTER'!$R$223="X",'RFI REGISTER'!A223,"")</f>
        <v/>
      </c>
      <c r="C518">
        <f>IF('RFI REGISTER'!$R$223="X",'RFI REGISTER'!F223,"")</f>
        <v/>
      </c>
      <c r="D518">
        <f>IF('RFI REGISTER'!$R$223="X",'RFI REGISTER'!D223,"")</f>
        <v/>
      </c>
      <c r="E518">
        <f>IF('RFI REGISTER'!$R$223="X",'RFI REGISTER'!B223,"")</f>
        <v/>
      </c>
      <c r="F518">
        <f>IF('RFI REGISTER'!$R$223="X",'RFI REGISTER'!H223,"")</f>
        <v/>
      </c>
      <c r="G518">
        <f>IF('RFI REGISTER'!$R$223="X",'RFI REGISTER'!C223,"")</f>
        <v/>
      </c>
      <c r="H518">
        <f>IF('RFI REGISTER'!$R$223="X","X","")</f>
        <v/>
      </c>
    </row>
    <row r="519" ht="15" customHeight="1" s="130">
      <c r="A519">
        <f>IF('RFI REGISTER'!$R$224="X","RFI REGISTER","")</f>
        <v/>
      </c>
      <c r="B519">
        <f>IF('RFI REGISTER'!$R$224="X",'RFI REGISTER'!A224,"")</f>
        <v/>
      </c>
      <c r="C519">
        <f>IF('RFI REGISTER'!$R$224="X",'RFI REGISTER'!F224,"")</f>
        <v/>
      </c>
      <c r="D519">
        <f>IF('RFI REGISTER'!$R$224="X",'RFI REGISTER'!D224,"")</f>
        <v/>
      </c>
      <c r="E519">
        <f>IF('RFI REGISTER'!$R$224="X",'RFI REGISTER'!B224,"")</f>
        <v/>
      </c>
      <c r="F519">
        <f>IF('RFI REGISTER'!$R$224="X",'RFI REGISTER'!H224,"")</f>
        <v/>
      </c>
      <c r="G519">
        <f>IF('RFI REGISTER'!$R$224="X",'RFI REGISTER'!C224,"")</f>
        <v/>
      </c>
      <c r="H519">
        <f>IF('RFI REGISTER'!$R$224="X","X","")</f>
        <v/>
      </c>
    </row>
    <row r="520" ht="15" customHeight="1" s="130">
      <c r="A520">
        <f>IF('RFI REGISTER'!$R$225="X","RFI REGISTER","")</f>
        <v/>
      </c>
      <c r="B520">
        <f>IF('RFI REGISTER'!$R$225="X",'RFI REGISTER'!A225,"")</f>
        <v/>
      </c>
      <c r="C520">
        <f>IF('RFI REGISTER'!$R$225="X",'RFI REGISTER'!F225,"")</f>
        <v/>
      </c>
      <c r="D520">
        <f>IF('RFI REGISTER'!$R$225="X",'RFI REGISTER'!D225,"")</f>
        <v/>
      </c>
      <c r="E520">
        <f>IF('RFI REGISTER'!$R$225="X",'RFI REGISTER'!B225,"")</f>
        <v/>
      </c>
      <c r="F520">
        <f>IF('RFI REGISTER'!$R$225="X",'RFI REGISTER'!H225,"")</f>
        <v/>
      </c>
      <c r="G520">
        <f>IF('RFI REGISTER'!$R$225="X",'RFI REGISTER'!C225,"")</f>
        <v/>
      </c>
      <c r="H520">
        <f>IF('RFI REGISTER'!$R$225="X","X","")</f>
        <v/>
      </c>
    </row>
    <row r="521" ht="15" customHeight="1" s="130">
      <c r="A521">
        <f>IF('RFI REGISTER'!$R$226="X","RFI REGISTER","")</f>
        <v/>
      </c>
      <c r="B521">
        <f>IF('RFI REGISTER'!$R$226="X",'RFI REGISTER'!A226,"")</f>
        <v/>
      </c>
      <c r="C521">
        <f>IF('RFI REGISTER'!$R$226="X",'RFI REGISTER'!F226,"")</f>
        <v/>
      </c>
      <c r="D521">
        <f>IF('RFI REGISTER'!$R$226="X",'RFI REGISTER'!D226,"")</f>
        <v/>
      </c>
      <c r="E521">
        <f>IF('RFI REGISTER'!$R$226="X",'RFI REGISTER'!B226,"")</f>
        <v/>
      </c>
      <c r="F521">
        <f>IF('RFI REGISTER'!$R$226="X",'RFI REGISTER'!H226,"")</f>
        <v/>
      </c>
      <c r="G521">
        <f>IF('RFI REGISTER'!$R$226="X",'RFI REGISTER'!C226,"")</f>
        <v/>
      </c>
      <c r="H521">
        <f>IF('RFI REGISTER'!$R$226="X","X","")</f>
        <v/>
      </c>
    </row>
    <row r="522" ht="15" customHeight="1" s="130">
      <c r="A522">
        <f>IF('RFI REGISTER'!$R$227="X","RFI REGISTER","")</f>
        <v/>
      </c>
      <c r="B522">
        <f>IF('RFI REGISTER'!$R$227="X",'RFI REGISTER'!A227,"")</f>
        <v/>
      </c>
      <c r="C522">
        <f>IF('RFI REGISTER'!$R$227="X",'RFI REGISTER'!F227,"")</f>
        <v/>
      </c>
      <c r="D522">
        <f>IF('RFI REGISTER'!$R$227="X",'RFI REGISTER'!D227,"")</f>
        <v/>
      </c>
      <c r="E522">
        <f>IF('RFI REGISTER'!$R$227="X",'RFI REGISTER'!B227,"")</f>
        <v/>
      </c>
      <c r="F522">
        <f>IF('RFI REGISTER'!$R$227="X",'RFI REGISTER'!H227,"")</f>
        <v/>
      </c>
      <c r="G522">
        <f>IF('RFI REGISTER'!$R$227="X",'RFI REGISTER'!C227,"")</f>
        <v/>
      </c>
      <c r="H522">
        <f>IF('RFI REGISTER'!$R$227="X","X","")</f>
        <v/>
      </c>
    </row>
    <row r="523" ht="15" customHeight="1" s="130">
      <c r="A523">
        <f>IF('RFI REGISTER'!$R$228="X","RFI REGISTER","")</f>
        <v/>
      </c>
      <c r="B523">
        <f>IF('RFI REGISTER'!$R$228="X",'RFI REGISTER'!A228,"")</f>
        <v/>
      </c>
      <c r="C523">
        <f>IF('RFI REGISTER'!$R$228="X",'RFI REGISTER'!F228,"")</f>
        <v/>
      </c>
      <c r="D523">
        <f>IF('RFI REGISTER'!$R$228="X",'RFI REGISTER'!D228,"")</f>
        <v/>
      </c>
      <c r="E523">
        <f>IF('RFI REGISTER'!$R$228="X",'RFI REGISTER'!B228,"")</f>
        <v/>
      </c>
      <c r="F523">
        <f>IF('RFI REGISTER'!$R$228="X",'RFI REGISTER'!H228,"")</f>
        <v/>
      </c>
      <c r="G523">
        <f>IF('RFI REGISTER'!$R$228="X",'RFI REGISTER'!C228,"")</f>
        <v/>
      </c>
      <c r="H523">
        <f>IF('RFI REGISTER'!$R$228="X","X","")</f>
        <v/>
      </c>
    </row>
    <row r="524" ht="15" customHeight="1" s="130">
      <c r="A524">
        <f>IF('RFI REGISTER'!$R$229="X","RFI REGISTER","")</f>
        <v/>
      </c>
      <c r="B524">
        <f>IF('RFI REGISTER'!$R$229="X",'RFI REGISTER'!A229,"")</f>
        <v/>
      </c>
      <c r="C524">
        <f>IF('RFI REGISTER'!$R$229="X",'RFI REGISTER'!F229,"")</f>
        <v/>
      </c>
      <c r="D524">
        <f>IF('RFI REGISTER'!$R$229="X",'RFI REGISTER'!D229,"")</f>
        <v/>
      </c>
      <c r="E524">
        <f>IF('RFI REGISTER'!$R$229="X",'RFI REGISTER'!B229,"")</f>
        <v/>
      </c>
      <c r="F524">
        <f>IF('RFI REGISTER'!$R$229="X",'RFI REGISTER'!H229,"")</f>
        <v/>
      </c>
      <c r="G524">
        <f>IF('RFI REGISTER'!$R$229="X",'RFI REGISTER'!C229,"")</f>
        <v/>
      </c>
      <c r="H524">
        <f>IF('RFI REGISTER'!$R$229="X","X","")</f>
        <v/>
      </c>
    </row>
    <row r="525" ht="15" customHeight="1" s="130">
      <c r="A525">
        <f>IF('RFI REGISTER'!$R$230="X","RFI REGISTER","")</f>
        <v/>
      </c>
      <c r="B525">
        <f>IF('RFI REGISTER'!$R$230="X",'RFI REGISTER'!A230,"")</f>
        <v/>
      </c>
      <c r="C525">
        <f>IF('RFI REGISTER'!$R$230="X",'RFI REGISTER'!F230,"")</f>
        <v/>
      </c>
      <c r="D525">
        <f>IF('RFI REGISTER'!$R$230="X",'RFI REGISTER'!D230,"")</f>
        <v/>
      </c>
      <c r="E525">
        <f>IF('RFI REGISTER'!$R$230="X",'RFI REGISTER'!B230,"")</f>
        <v/>
      </c>
      <c r="F525">
        <f>IF('RFI REGISTER'!$R$230="X",'RFI REGISTER'!H230,"")</f>
        <v/>
      </c>
      <c r="G525">
        <f>IF('RFI REGISTER'!$R$230="X",'RFI REGISTER'!C230,"")</f>
        <v/>
      </c>
      <c r="H525">
        <f>IF('RFI REGISTER'!$R$230="X","X","")</f>
        <v/>
      </c>
    </row>
    <row r="526" ht="15" customHeight="1" s="130">
      <c r="A526">
        <f>IF('RFI REGISTER'!$R$231="X","RFI REGISTER","")</f>
        <v/>
      </c>
      <c r="B526">
        <f>IF('RFI REGISTER'!$R$231="X",'RFI REGISTER'!A231,"")</f>
        <v/>
      </c>
      <c r="C526">
        <f>IF('RFI REGISTER'!$R$231="X",'RFI REGISTER'!F231,"")</f>
        <v/>
      </c>
      <c r="D526">
        <f>IF('RFI REGISTER'!$R$231="X",'RFI REGISTER'!D231,"")</f>
        <v/>
      </c>
      <c r="E526">
        <f>IF('RFI REGISTER'!$R$231="X",'RFI REGISTER'!B231,"")</f>
        <v/>
      </c>
      <c r="F526">
        <f>IF('RFI REGISTER'!$R$231="X",'RFI REGISTER'!H231,"")</f>
        <v/>
      </c>
      <c r="G526">
        <f>IF('RFI REGISTER'!$R$231="X",'RFI REGISTER'!C231,"")</f>
        <v/>
      </c>
      <c r="H526">
        <f>IF('RFI REGISTER'!$R$231="X","X","")</f>
        <v/>
      </c>
    </row>
    <row r="527" ht="15" customHeight="1" s="130">
      <c r="A527">
        <f>IF('RFI REGISTER'!$R$232="X","RFI REGISTER","")</f>
        <v/>
      </c>
      <c r="B527">
        <f>IF('RFI REGISTER'!$R$232="X",'RFI REGISTER'!A232,"")</f>
        <v/>
      </c>
      <c r="C527">
        <f>IF('RFI REGISTER'!$R$232="X",'RFI REGISTER'!F232,"")</f>
        <v/>
      </c>
      <c r="D527">
        <f>IF('RFI REGISTER'!$R$232="X",'RFI REGISTER'!D232,"")</f>
        <v/>
      </c>
      <c r="E527">
        <f>IF('RFI REGISTER'!$R$232="X",'RFI REGISTER'!B232,"")</f>
        <v/>
      </c>
      <c r="F527">
        <f>IF('RFI REGISTER'!$R$232="X",'RFI REGISTER'!H232,"")</f>
        <v/>
      </c>
      <c r="G527">
        <f>IF('RFI REGISTER'!$R$232="X",'RFI REGISTER'!C232,"")</f>
        <v/>
      </c>
      <c r="H527">
        <f>IF('RFI REGISTER'!$R$232="X","X","")</f>
        <v/>
      </c>
    </row>
    <row r="528" ht="15" customHeight="1" s="130">
      <c r="A528">
        <f>IF('RFI REGISTER'!$R$233="X","RFI REGISTER","")</f>
        <v/>
      </c>
      <c r="B528">
        <f>IF('RFI REGISTER'!$R$233="X",'RFI REGISTER'!A233,"")</f>
        <v/>
      </c>
      <c r="C528">
        <f>IF('RFI REGISTER'!$R$233="X",'RFI REGISTER'!F233,"")</f>
        <v/>
      </c>
      <c r="D528">
        <f>IF('RFI REGISTER'!$R$233="X",'RFI REGISTER'!D233,"")</f>
        <v/>
      </c>
      <c r="E528">
        <f>IF('RFI REGISTER'!$R$233="X",'RFI REGISTER'!B233,"")</f>
        <v/>
      </c>
      <c r="F528">
        <f>IF('RFI REGISTER'!$R$233="X",'RFI REGISTER'!H233,"")</f>
        <v/>
      </c>
      <c r="G528">
        <f>IF('RFI REGISTER'!$R$233="X",'RFI REGISTER'!C233,"")</f>
        <v/>
      </c>
      <c r="H528">
        <f>IF('RFI REGISTER'!$R$233="X","X","")</f>
        <v/>
      </c>
    </row>
    <row r="529" ht="15" customHeight="1" s="130">
      <c r="A529">
        <f>IF('RFI REGISTER'!$R$234="X","RFI REGISTER","")</f>
        <v/>
      </c>
      <c r="B529">
        <f>IF('RFI REGISTER'!$R$234="X",'RFI REGISTER'!A234,"")</f>
        <v/>
      </c>
      <c r="C529">
        <f>IF('RFI REGISTER'!$R$234="X",'RFI REGISTER'!F234,"")</f>
        <v/>
      </c>
      <c r="D529">
        <f>IF('RFI REGISTER'!$R$234="X",'RFI REGISTER'!D234,"")</f>
        <v/>
      </c>
      <c r="E529">
        <f>IF('RFI REGISTER'!$R$234="X",'RFI REGISTER'!B234,"")</f>
        <v/>
      </c>
      <c r="F529">
        <f>IF('RFI REGISTER'!$R$234="X",'RFI REGISTER'!H234,"")</f>
        <v/>
      </c>
      <c r="G529">
        <f>IF('RFI REGISTER'!$R$234="X",'RFI REGISTER'!C234,"")</f>
        <v/>
      </c>
      <c r="H529">
        <f>IF('RFI REGISTER'!$R$234="X","X","")</f>
        <v/>
      </c>
    </row>
    <row r="530" ht="15" customHeight="1" s="130">
      <c r="A530">
        <f>IF('RFI REGISTER'!$R$235="X","RFI REGISTER","")</f>
        <v/>
      </c>
      <c r="B530">
        <f>IF('RFI REGISTER'!$R$235="X",'RFI REGISTER'!A235,"")</f>
        <v/>
      </c>
      <c r="C530">
        <f>IF('RFI REGISTER'!$R$235="X",'RFI REGISTER'!F235,"")</f>
        <v/>
      </c>
      <c r="D530">
        <f>IF('RFI REGISTER'!$R$235="X",'RFI REGISTER'!D235,"")</f>
        <v/>
      </c>
      <c r="E530">
        <f>IF('RFI REGISTER'!$R$235="X",'RFI REGISTER'!B235,"")</f>
        <v/>
      </c>
      <c r="F530">
        <f>IF('RFI REGISTER'!$R$235="X",'RFI REGISTER'!H235,"")</f>
        <v/>
      </c>
      <c r="G530">
        <f>IF('RFI REGISTER'!$R$235="X",'RFI REGISTER'!C235,"")</f>
        <v/>
      </c>
      <c r="H530">
        <f>IF('RFI REGISTER'!$R$235="X","X","")</f>
        <v/>
      </c>
    </row>
    <row r="531" ht="15" customHeight="1" s="130">
      <c r="A531">
        <f>IF('RFI REGISTER'!$R$236="X","RFI REGISTER","")</f>
        <v/>
      </c>
      <c r="B531">
        <f>IF('RFI REGISTER'!$R$236="X",'RFI REGISTER'!A236,"")</f>
        <v/>
      </c>
      <c r="C531">
        <f>IF('RFI REGISTER'!$R$236="X",'RFI REGISTER'!F236,"")</f>
        <v/>
      </c>
      <c r="D531">
        <f>IF('RFI REGISTER'!$R$236="X",'RFI REGISTER'!D236,"")</f>
        <v/>
      </c>
      <c r="E531">
        <f>IF('RFI REGISTER'!$R$236="X",'RFI REGISTER'!B236,"")</f>
        <v/>
      </c>
      <c r="F531">
        <f>IF('RFI REGISTER'!$R$236="X",'RFI REGISTER'!H236,"")</f>
        <v/>
      </c>
      <c r="G531">
        <f>IF('RFI REGISTER'!$R$236="X",'RFI REGISTER'!C236,"")</f>
        <v/>
      </c>
      <c r="H531">
        <f>IF('RFI REGISTER'!$R$236="X","X","")</f>
        <v/>
      </c>
    </row>
    <row r="532" ht="15" customHeight="1" s="130">
      <c r="A532">
        <f>IF('RFI REGISTER'!$R$237="X","RFI REGISTER","")</f>
        <v/>
      </c>
      <c r="B532">
        <f>IF('RFI REGISTER'!$R$237="X",'RFI REGISTER'!A237,"")</f>
        <v/>
      </c>
      <c r="C532">
        <f>IF('RFI REGISTER'!$R$237="X",'RFI REGISTER'!F237,"")</f>
        <v/>
      </c>
      <c r="D532">
        <f>IF('RFI REGISTER'!$R$237="X",'RFI REGISTER'!D237,"")</f>
        <v/>
      </c>
      <c r="E532">
        <f>IF('RFI REGISTER'!$R$237="X",'RFI REGISTER'!B237,"")</f>
        <v/>
      </c>
      <c r="F532">
        <f>IF('RFI REGISTER'!$R$237="X",'RFI REGISTER'!H237,"")</f>
        <v/>
      </c>
      <c r="G532">
        <f>IF('RFI REGISTER'!$R$237="X",'RFI REGISTER'!C237,"")</f>
        <v/>
      </c>
      <c r="H532">
        <f>IF('RFI REGISTER'!$R$237="X","X","")</f>
        <v/>
      </c>
    </row>
    <row r="533" ht="15" customHeight="1" s="130">
      <c r="A533">
        <f>IF('RFI REGISTER'!$R$238="X","RFI REGISTER","")</f>
        <v/>
      </c>
      <c r="B533">
        <f>IF('RFI REGISTER'!$R$238="X",'RFI REGISTER'!A238,"")</f>
        <v/>
      </c>
      <c r="C533">
        <f>IF('RFI REGISTER'!$R$238="X",'RFI REGISTER'!F238,"")</f>
        <v/>
      </c>
      <c r="D533">
        <f>IF('RFI REGISTER'!$R$238="X",'RFI REGISTER'!D238,"")</f>
        <v/>
      </c>
      <c r="E533">
        <f>IF('RFI REGISTER'!$R$238="X",'RFI REGISTER'!B238,"")</f>
        <v/>
      </c>
      <c r="F533">
        <f>IF('RFI REGISTER'!$R$238="X",'RFI REGISTER'!H238,"")</f>
        <v/>
      </c>
      <c r="G533">
        <f>IF('RFI REGISTER'!$R$238="X",'RFI REGISTER'!C238,"")</f>
        <v/>
      </c>
      <c r="H533">
        <f>IF('RFI REGISTER'!$R$238="X","X","")</f>
        <v/>
      </c>
    </row>
    <row r="534" ht="15" customHeight="1" s="130">
      <c r="A534">
        <f>IF('RFI REGISTER'!$R$239="X","RFI REGISTER","")</f>
        <v/>
      </c>
      <c r="B534">
        <f>IF('RFI REGISTER'!$R$239="X",'RFI REGISTER'!A239,"")</f>
        <v/>
      </c>
      <c r="C534">
        <f>IF('RFI REGISTER'!$R$239="X",'RFI REGISTER'!F239,"")</f>
        <v/>
      </c>
      <c r="D534">
        <f>IF('RFI REGISTER'!$R$239="X",'RFI REGISTER'!D239,"")</f>
        <v/>
      </c>
      <c r="E534">
        <f>IF('RFI REGISTER'!$R$239="X",'RFI REGISTER'!B239,"")</f>
        <v/>
      </c>
      <c r="F534">
        <f>IF('RFI REGISTER'!$R$239="X",'RFI REGISTER'!H239,"")</f>
        <v/>
      </c>
      <c r="G534">
        <f>IF('RFI REGISTER'!$R$239="X",'RFI REGISTER'!C239,"")</f>
        <v/>
      </c>
      <c r="H534">
        <f>IF('RFI REGISTER'!$R$239="X","X","")</f>
        <v/>
      </c>
    </row>
    <row r="535" ht="15" customHeight="1" s="130">
      <c r="A535">
        <f>IF('RFI REGISTER'!$R$240="X","RFI REGISTER","")</f>
        <v/>
      </c>
      <c r="B535">
        <f>IF('RFI REGISTER'!$R$240="X",'RFI REGISTER'!A240,"")</f>
        <v/>
      </c>
      <c r="C535">
        <f>IF('RFI REGISTER'!$R$240="X",'RFI REGISTER'!F240,"")</f>
        <v/>
      </c>
      <c r="D535">
        <f>IF('RFI REGISTER'!$R$240="X",'RFI REGISTER'!D240,"")</f>
        <v/>
      </c>
      <c r="E535">
        <f>IF('RFI REGISTER'!$R$240="X",'RFI REGISTER'!B240,"")</f>
        <v/>
      </c>
      <c r="F535">
        <f>IF('RFI REGISTER'!$R$240="X",'RFI REGISTER'!H240,"")</f>
        <v/>
      </c>
      <c r="G535">
        <f>IF('RFI REGISTER'!$R$240="X",'RFI REGISTER'!C240,"")</f>
        <v/>
      </c>
      <c r="H535">
        <f>IF('RFI REGISTER'!$R$240="X","X","")</f>
        <v/>
      </c>
    </row>
    <row r="536" ht="15" customHeight="1" s="130">
      <c r="A536">
        <f>IF('RFI REGISTER'!$R$241="X","RFI REGISTER","")</f>
        <v/>
      </c>
      <c r="B536">
        <f>IF('RFI REGISTER'!$R$241="X",'RFI REGISTER'!A241,"")</f>
        <v/>
      </c>
      <c r="C536">
        <f>IF('RFI REGISTER'!$R$241="X",'RFI REGISTER'!F241,"")</f>
        <v/>
      </c>
      <c r="D536">
        <f>IF('RFI REGISTER'!$R$241="X",'RFI REGISTER'!D241,"")</f>
        <v/>
      </c>
      <c r="E536">
        <f>IF('RFI REGISTER'!$R$241="X",'RFI REGISTER'!B241,"")</f>
        <v/>
      </c>
      <c r="F536">
        <f>IF('RFI REGISTER'!$R$241="X",'RFI REGISTER'!H241,"")</f>
        <v/>
      </c>
      <c r="G536">
        <f>IF('RFI REGISTER'!$R$241="X",'RFI REGISTER'!C241,"")</f>
        <v/>
      </c>
      <c r="H536">
        <f>IF('RFI REGISTER'!$R$241="X","X","")</f>
        <v/>
      </c>
    </row>
    <row r="537" ht="15" customHeight="1" s="130">
      <c r="A537">
        <f>IF('RFI REGISTER'!$R$242="X","RFI REGISTER","")</f>
        <v/>
      </c>
      <c r="B537">
        <f>IF('RFI REGISTER'!$R$242="X",'RFI REGISTER'!A242,"")</f>
        <v/>
      </c>
      <c r="C537">
        <f>IF('RFI REGISTER'!$R$242="X",'RFI REGISTER'!F242,"")</f>
        <v/>
      </c>
      <c r="D537">
        <f>IF('RFI REGISTER'!$R$242="X",'RFI REGISTER'!D242,"")</f>
        <v/>
      </c>
      <c r="E537">
        <f>IF('RFI REGISTER'!$R$242="X",'RFI REGISTER'!B242,"")</f>
        <v/>
      </c>
      <c r="F537">
        <f>IF('RFI REGISTER'!$R$242="X",'RFI REGISTER'!H242,"")</f>
        <v/>
      </c>
      <c r="G537">
        <f>IF('RFI REGISTER'!$R$242="X",'RFI REGISTER'!C242,"")</f>
        <v/>
      </c>
      <c r="H537">
        <f>IF('RFI REGISTER'!$R$242="X","X","")</f>
        <v/>
      </c>
    </row>
    <row r="538" ht="15" customHeight="1" s="130">
      <c r="A538">
        <f>IF('RFI REGISTER'!$R$243="X","RFI REGISTER","")</f>
        <v/>
      </c>
      <c r="B538">
        <f>IF('RFI REGISTER'!$R$243="X",'RFI REGISTER'!A243,"")</f>
        <v/>
      </c>
      <c r="C538">
        <f>IF('RFI REGISTER'!$R$243="X",'RFI REGISTER'!F243,"")</f>
        <v/>
      </c>
      <c r="D538">
        <f>IF('RFI REGISTER'!$R$243="X",'RFI REGISTER'!D243,"")</f>
        <v/>
      </c>
      <c r="E538">
        <f>IF('RFI REGISTER'!$R$243="X",'RFI REGISTER'!B243,"")</f>
        <v/>
      </c>
      <c r="F538">
        <f>IF('RFI REGISTER'!$R$243="X",'RFI REGISTER'!H243,"")</f>
        <v/>
      </c>
      <c r="G538">
        <f>IF('RFI REGISTER'!$R$243="X",'RFI REGISTER'!C243,"")</f>
        <v/>
      </c>
      <c r="H538">
        <f>IF('RFI REGISTER'!$R$243="X","X","")</f>
        <v/>
      </c>
    </row>
    <row r="539" ht="15" customHeight="1" s="130">
      <c r="A539">
        <f>IF('RFI REGISTER'!$R$244="X","RFI REGISTER","")</f>
        <v/>
      </c>
      <c r="B539">
        <f>IF('RFI REGISTER'!$R$244="X",'RFI REGISTER'!A244,"")</f>
        <v/>
      </c>
      <c r="C539">
        <f>IF('RFI REGISTER'!$R$244="X",'RFI REGISTER'!F244,"")</f>
        <v/>
      </c>
      <c r="D539">
        <f>IF('RFI REGISTER'!$R$244="X",'RFI REGISTER'!D244,"")</f>
        <v/>
      </c>
      <c r="E539">
        <f>IF('RFI REGISTER'!$R$244="X",'RFI REGISTER'!B244,"")</f>
        <v/>
      </c>
      <c r="F539">
        <f>IF('RFI REGISTER'!$R$244="X",'RFI REGISTER'!H244,"")</f>
        <v/>
      </c>
      <c r="G539">
        <f>IF('RFI REGISTER'!$R$244="X",'RFI REGISTER'!C244,"")</f>
        <v/>
      </c>
      <c r="H539">
        <f>IF('RFI REGISTER'!$R$244="X","X","")</f>
        <v/>
      </c>
    </row>
    <row r="540" ht="15" customHeight="1" s="130">
      <c r="A540">
        <f>IF('RFI REGISTER'!$R$245="X","RFI REGISTER","")</f>
        <v/>
      </c>
      <c r="B540">
        <f>IF('RFI REGISTER'!$R$245="X",'RFI REGISTER'!A245,"")</f>
        <v/>
      </c>
      <c r="C540">
        <f>IF('RFI REGISTER'!$R$245="X",'RFI REGISTER'!F245,"")</f>
        <v/>
      </c>
      <c r="D540">
        <f>IF('RFI REGISTER'!$R$245="X",'RFI REGISTER'!D245,"")</f>
        <v/>
      </c>
      <c r="E540">
        <f>IF('RFI REGISTER'!$R$245="X",'RFI REGISTER'!B245,"")</f>
        <v/>
      </c>
      <c r="F540">
        <f>IF('RFI REGISTER'!$R$245="X",'RFI REGISTER'!H245,"")</f>
        <v/>
      </c>
      <c r="G540">
        <f>IF('RFI REGISTER'!$R$245="X",'RFI REGISTER'!C245,"")</f>
        <v/>
      </c>
      <c r="H540">
        <f>IF('RFI REGISTER'!$R$245="X","X","")</f>
        <v/>
      </c>
    </row>
    <row r="541" ht="15" customHeight="1" s="130">
      <c r="A541">
        <f>IF('RFI REGISTER'!$R$246="X","RFI REGISTER","")</f>
        <v/>
      </c>
      <c r="B541">
        <f>IF('RFI REGISTER'!$R$246="X",'RFI REGISTER'!A246,"")</f>
        <v/>
      </c>
      <c r="C541">
        <f>IF('RFI REGISTER'!$R$246="X",'RFI REGISTER'!F246,"")</f>
        <v/>
      </c>
      <c r="D541">
        <f>IF('RFI REGISTER'!$R$246="X",'RFI REGISTER'!D246,"")</f>
        <v/>
      </c>
      <c r="E541">
        <f>IF('RFI REGISTER'!$R$246="X",'RFI REGISTER'!B246,"")</f>
        <v/>
      </c>
      <c r="F541">
        <f>IF('RFI REGISTER'!$R$246="X",'RFI REGISTER'!H246,"")</f>
        <v/>
      </c>
      <c r="G541">
        <f>IF('RFI REGISTER'!$R$246="X",'RFI REGISTER'!C246,"")</f>
        <v/>
      </c>
      <c r="H541">
        <f>IF('RFI REGISTER'!$R$246="X","X","")</f>
        <v/>
      </c>
    </row>
    <row r="542" ht="15" customHeight="1" s="130">
      <c r="A542">
        <f>IF('RFI REGISTER'!$R$247="X","RFI REGISTER","")</f>
        <v/>
      </c>
      <c r="B542">
        <f>IF('RFI REGISTER'!$R$247="X",'RFI REGISTER'!A247,"")</f>
        <v/>
      </c>
      <c r="C542">
        <f>IF('RFI REGISTER'!$R$247="X",'RFI REGISTER'!F247,"")</f>
        <v/>
      </c>
      <c r="D542">
        <f>IF('RFI REGISTER'!$R$247="X",'RFI REGISTER'!D247,"")</f>
        <v/>
      </c>
      <c r="E542">
        <f>IF('RFI REGISTER'!$R$247="X",'RFI REGISTER'!B247,"")</f>
        <v/>
      </c>
      <c r="F542">
        <f>IF('RFI REGISTER'!$R$247="X",'RFI REGISTER'!H247,"")</f>
        <v/>
      </c>
      <c r="G542">
        <f>IF('RFI REGISTER'!$R$247="X",'RFI REGISTER'!C247,"")</f>
        <v/>
      </c>
      <c r="H542">
        <f>IF('RFI REGISTER'!$R$247="X","X","")</f>
        <v/>
      </c>
    </row>
    <row r="543" ht="15" customHeight="1" s="130">
      <c r="A543">
        <f>IF('RFI REGISTER'!$R$248="X","RFI REGISTER","")</f>
        <v/>
      </c>
      <c r="B543">
        <f>IF('RFI REGISTER'!$R$248="X",'RFI REGISTER'!A248,"")</f>
        <v/>
      </c>
      <c r="C543">
        <f>IF('RFI REGISTER'!$R$248="X",'RFI REGISTER'!F248,"")</f>
        <v/>
      </c>
      <c r="D543">
        <f>IF('RFI REGISTER'!$R$248="X",'RFI REGISTER'!D248,"")</f>
        <v/>
      </c>
      <c r="E543">
        <f>IF('RFI REGISTER'!$R$248="X",'RFI REGISTER'!B248,"")</f>
        <v/>
      </c>
      <c r="F543">
        <f>IF('RFI REGISTER'!$R$248="X",'RFI REGISTER'!H248,"")</f>
        <v/>
      </c>
      <c r="G543">
        <f>IF('RFI REGISTER'!$R$248="X",'RFI REGISTER'!C248,"")</f>
        <v/>
      </c>
      <c r="H543">
        <f>IF('RFI REGISTER'!$R$248="X","X","")</f>
        <v/>
      </c>
    </row>
    <row r="544" ht="15" customHeight="1" s="130">
      <c r="A544">
        <f>IF('RFI REGISTER'!$R$249="X","RFI REGISTER","")</f>
        <v/>
      </c>
      <c r="B544">
        <f>IF('RFI REGISTER'!$R$249="X",'RFI REGISTER'!A249,"")</f>
        <v/>
      </c>
      <c r="C544">
        <f>IF('RFI REGISTER'!$R$249="X",'RFI REGISTER'!F249,"")</f>
        <v/>
      </c>
      <c r="D544">
        <f>IF('RFI REGISTER'!$R$249="X",'RFI REGISTER'!D249,"")</f>
        <v/>
      </c>
      <c r="E544">
        <f>IF('RFI REGISTER'!$R$249="X",'RFI REGISTER'!B249,"")</f>
        <v/>
      </c>
      <c r="F544">
        <f>IF('RFI REGISTER'!$R$249="X",'RFI REGISTER'!H249,"")</f>
        <v/>
      </c>
      <c r="G544">
        <f>IF('RFI REGISTER'!$R$249="X",'RFI REGISTER'!C249,"")</f>
        <v/>
      </c>
      <c r="H544">
        <f>IF('RFI REGISTER'!$R$249="X","X","")</f>
        <v/>
      </c>
    </row>
    <row r="545" ht="15" customHeight="1" s="130">
      <c r="A545">
        <f>IF('RFI REGISTER'!$R$250="X","RFI REGISTER","")</f>
        <v/>
      </c>
      <c r="B545">
        <f>IF('RFI REGISTER'!$R$250="X",'RFI REGISTER'!A250,"")</f>
        <v/>
      </c>
      <c r="C545">
        <f>IF('RFI REGISTER'!$R$250="X",'RFI REGISTER'!F250,"")</f>
        <v/>
      </c>
      <c r="D545">
        <f>IF('RFI REGISTER'!$R$250="X",'RFI REGISTER'!D250,"")</f>
        <v/>
      </c>
      <c r="E545">
        <f>IF('RFI REGISTER'!$R$250="X",'RFI REGISTER'!B250,"")</f>
        <v/>
      </c>
      <c r="F545">
        <f>IF('RFI REGISTER'!$R$250="X",'RFI REGISTER'!H250,"")</f>
        <v/>
      </c>
      <c r="G545">
        <f>IF('RFI REGISTER'!$R$250="X",'RFI REGISTER'!C250,"")</f>
        <v/>
      </c>
      <c r="H545">
        <f>IF('RFI REGISTER'!$R$250="X","X","")</f>
        <v/>
      </c>
    </row>
    <row r="546" ht="15" customHeight="1" s="130">
      <c r="A546">
        <f>IF('PUNCH LIST'!$W$3="X","PUNCH LIST","")</f>
        <v/>
      </c>
      <c r="B546">
        <f>IF('PUNCH LIST'!$W$3="X",'PUNCH LIST'!B3,"")</f>
        <v/>
      </c>
      <c r="D546">
        <f>IF('PUNCH LIST'!$W$3="X",'PUNCH LIST'!F3,"")</f>
        <v/>
      </c>
      <c r="E546">
        <f>IF('PUNCH LIST'!$W$3="X",'PUNCH LIST'!C3,"")</f>
        <v/>
      </c>
      <c r="F546">
        <f>IF('PUNCH LIST'!$W$3="X",'PUNCH LIST'!E3,"")</f>
        <v/>
      </c>
      <c r="G546">
        <f>IF('PUNCH LIST'!$W$3="X",'PUNCH LIST'!Q3,"")</f>
        <v/>
      </c>
      <c r="H546">
        <f>IF('PUNCH LIST'!$W$3="X","X","")</f>
        <v/>
      </c>
    </row>
    <row r="547" ht="15" customHeight="1" s="130">
      <c r="A547">
        <f>IF('PUNCH LIST'!$W$4="X","PUNCH LIST","")</f>
        <v/>
      </c>
      <c r="B547">
        <f>IF('PUNCH LIST'!$W$4="X",'PUNCH LIST'!B4,"")</f>
        <v/>
      </c>
      <c r="D547">
        <f>IF('PUNCH LIST'!$W$4="X",'PUNCH LIST'!F4,"")</f>
        <v/>
      </c>
      <c r="E547">
        <f>IF('PUNCH LIST'!$W$4="X",'PUNCH LIST'!C4,"")</f>
        <v/>
      </c>
      <c r="F547">
        <f>IF('PUNCH LIST'!$W$4="X",'PUNCH LIST'!E4,"")</f>
        <v/>
      </c>
      <c r="G547">
        <f>IF('PUNCH LIST'!$W$4="X",'PUNCH LIST'!Q4,"")</f>
        <v/>
      </c>
      <c r="H547">
        <f>IF('PUNCH LIST'!$W$4="X","X","")</f>
        <v/>
      </c>
    </row>
    <row r="548" ht="15" customHeight="1" s="130">
      <c r="A548">
        <f>IF('PUNCH LIST'!$W$5="X","PUNCH LIST","")</f>
        <v/>
      </c>
      <c r="B548">
        <f>IF('PUNCH LIST'!$W$5="X",'PUNCH LIST'!B5,"")</f>
        <v/>
      </c>
      <c r="D548">
        <f>IF('PUNCH LIST'!$W$5="X",'PUNCH LIST'!F5,"")</f>
        <v/>
      </c>
      <c r="E548">
        <f>IF('PUNCH LIST'!$W$5="X",'PUNCH LIST'!C5,"")</f>
        <v/>
      </c>
      <c r="F548">
        <f>IF('PUNCH LIST'!$W$5="X",'PUNCH LIST'!E5,"")</f>
        <v/>
      </c>
      <c r="G548">
        <f>IF('PUNCH LIST'!$W$5="X",'PUNCH LIST'!Q5,"")</f>
        <v/>
      </c>
      <c r="H548">
        <f>IF('PUNCH LIST'!$W$5="X","X","")</f>
        <v/>
      </c>
    </row>
    <row r="549" ht="15" customHeight="1" s="130">
      <c r="A549">
        <f>IF('PUNCH LIST'!$W$6="X","PUNCH LIST","")</f>
        <v/>
      </c>
      <c r="B549">
        <f>IF('PUNCH LIST'!$W$6="X",'PUNCH LIST'!B6,"")</f>
        <v/>
      </c>
      <c r="D549">
        <f>IF('PUNCH LIST'!$W$6="X",'PUNCH LIST'!F6,"")</f>
        <v/>
      </c>
      <c r="E549">
        <f>IF('PUNCH LIST'!$W$6="X",'PUNCH LIST'!C6,"")</f>
        <v/>
      </c>
      <c r="F549">
        <f>IF('PUNCH LIST'!$W$6="X",'PUNCH LIST'!E6,"")</f>
        <v/>
      </c>
      <c r="G549">
        <f>IF('PUNCH LIST'!$W$6="X",'PUNCH LIST'!Q6,"")</f>
        <v/>
      </c>
      <c r="H549">
        <f>IF('PUNCH LIST'!$W$6="X","X","")</f>
        <v/>
      </c>
    </row>
    <row r="550" ht="15" customHeight="1" s="130">
      <c r="A550">
        <f>IF('PUNCH LIST'!$W$7="X","PUNCH LIST","")</f>
        <v/>
      </c>
      <c r="B550">
        <f>IF('PUNCH LIST'!$W$7="X",'PUNCH LIST'!B7,"")</f>
        <v/>
      </c>
      <c r="D550">
        <f>IF('PUNCH LIST'!$W$7="X",'PUNCH LIST'!F7,"")</f>
        <v/>
      </c>
      <c r="E550">
        <f>IF('PUNCH LIST'!$W$7="X",'PUNCH LIST'!C7,"")</f>
        <v/>
      </c>
      <c r="F550">
        <f>IF('PUNCH LIST'!$W$7="X",'PUNCH LIST'!E7,"")</f>
        <v/>
      </c>
      <c r="G550">
        <f>IF('PUNCH LIST'!$W$7="X",'PUNCH LIST'!Q7,"")</f>
        <v/>
      </c>
      <c r="H550">
        <f>IF('PUNCH LIST'!$W$7="X","X","")</f>
        <v/>
      </c>
    </row>
    <row r="551" ht="15" customHeight="1" s="130">
      <c r="A551">
        <f>IF('PUNCH LIST'!$W$8="X","PUNCH LIST","")</f>
        <v/>
      </c>
      <c r="B551">
        <f>IF('PUNCH LIST'!$W$8="X",'PUNCH LIST'!B8,"")</f>
        <v/>
      </c>
      <c r="D551">
        <f>IF('PUNCH LIST'!$W$8="X",'PUNCH LIST'!F8,"")</f>
        <v/>
      </c>
      <c r="E551">
        <f>IF('PUNCH LIST'!$W$8="X",'PUNCH LIST'!C8,"")</f>
        <v/>
      </c>
      <c r="F551">
        <f>IF('PUNCH LIST'!$W$8="X",'PUNCH LIST'!E8,"")</f>
        <v/>
      </c>
      <c r="G551">
        <f>IF('PUNCH LIST'!$W$8="X",'PUNCH LIST'!Q8,"")</f>
        <v/>
      </c>
      <c r="H551">
        <f>IF('PUNCH LIST'!$W$8="X","X","")</f>
        <v/>
      </c>
    </row>
    <row r="552" ht="15" customHeight="1" s="130">
      <c r="A552">
        <f>IF('PUNCH LIST'!$W$9="X","PUNCH LIST","")</f>
        <v/>
      </c>
      <c r="B552">
        <f>IF('PUNCH LIST'!$W$9="X",'PUNCH LIST'!B9,"")</f>
        <v/>
      </c>
      <c r="D552">
        <f>IF('PUNCH LIST'!$W$9="X",'PUNCH LIST'!F9,"")</f>
        <v/>
      </c>
      <c r="E552">
        <f>IF('PUNCH LIST'!$W$9="X",'PUNCH LIST'!C9,"")</f>
        <v/>
      </c>
      <c r="F552">
        <f>IF('PUNCH LIST'!$W$9="X",'PUNCH LIST'!E9,"")</f>
        <v/>
      </c>
      <c r="G552">
        <f>IF('PUNCH LIST'!$W$9="X",'PUNCH LIST'!Q9,"")</f>
        <v/>
      </c>
      <c r="H552">
        <f>IF('PUNCH LIST'!$W$9="X","X","")</f>
        <v/>
      </c>
    </row>
    <row r="553" ht="15" customHeight="1" s="130">
      <c r="A553">
        <f>IF('PUNCH LIST'!$W$10="X","PUNCH LIST","")</f>
        <v/>
      </c>
      <c r="B553">
        <f>IF('PUNCH LIST'!$W$10="X",'PUNCH LIST'!B10,"")</f>
        <v/>
      </c>
      <c r="D553">
        <f>IF('PUNCH LIST'!$W$10="X",'PUNCH LIST'!F10,"")</f>
        <v/>
      </c>
      <c r="E553">
        <f>IF('PUNCH LIST'!$W$10="X",'PUNCH LIST'!C10,"")</f>
        <v/>
      </c>
      <c r="F553">
        <f>IF('PUNCH LIST'!$W$10="X",'PUNCH LIST'!E10,"")</f>
        <v/>
      </c>
      <c r="G553">
        <f>IF('PUNCH LIST'!$W$10="X",'PUNCH LIST'!Q10,"")</f>
        <v/>
      </c>
      <c r="H553">
        <f>IF('PUNCH LIST'!$W$10="X","X","")</f>
        <v/>
      </c>
    </row>
    <row r="554" ht="15" customHeight="1" s="130">
      <c r="A554">
        <f>IF('PUNCH LIST'!$W$11="X","PUNCH LIST","")</f>
        <v/>
      </c>
      <c r="B554">
        <f>IF('PUNCH LIST'!$W$11="X",'PUNCH LIST'!B11,"")</f>
        <v/>
      </c>
      <c r="D554">
        <f>IF('PUNCH LIST'!$W$11="X",'PUNCH LIST'!F11,"")</f>
        <v/>
      </c>
      <c r="E554">
        <f>IF('PUNCH LIST'!$W$11="X",'PUNCH LIST'!C11,"")</f>
        <v/>
      </c>
      <c r="F554">
        <f>IF('PUNCH LIST'!$W$11="X",'PUNCH LIST'!E11,"")</f>
        <v/>
      </c>
      <c r="G554">
        <f>IF('PUNCH LIST'!$W$11="X",'PUNCH LIST'!Q11,"")</f>
        <v/>
      </c>
      <c r="H554">
        <f>IF('PUNCH LIST'!$W$11="X","X","")</f>
        <v/>
      </c>
    </row>
    <row r="555" ht="15" customHeight="1" s="130">
      <c r="A555">
        <f>IF('PUNCH LIST'!$W$12="X","PUNCH LIST","")</f>
        <v/>
      </c>
      <c r="B555">
        <f>IF('PUNCH LIST'!$W$12="X",'PUNCH LIST'!B12,"")</f>
        <v/>
      </c>
      <c r="D555">
        <f>IF('PUNCH LIST'!$W$12="X",'PUNCH LIST'!F12,"")</f>
        <v/>
      </c>
      <c r="E555">
        <f>IF('PUNCH LIST'!$W$12="X",'PUNCH LIST'!C12,"")</f>
        <v/>
      </c>
      <c r="F555">
        <f>IF('PUNCH LIST'!$W$12="X",'PUNCH LIST'!E12,"")</f>
        <v/>
      </c>
      <c r="G555">
        <f>IF('PUNCH LIST'!$W$12="X",'PUNCH LIST'!Q12,"")</f>
        <v/>
      </c>
      <c r="H555">
        <f>IF('PUNCH LIST'!$W$12="X","X","")</f>
        <v/>
      </c>
    </row>
    <row r="556" ht="15" customHeight="1" s="130">
      <c r="A556">
        <f>IF('PUNCH LIST'!$W$13="X","PUNCH LIST","")</f>
        <v/>
      </c>
      <c r="B556">
        <f>IF('PUNCH LIST'!$W$13="X",'PUNCH LIST'!B13,"")</f>
        <v/>
      </c>
      <c r="D556">
        <f>IF('PUNCH LIST'!$W$13="X",'PUNCH LIST'!F13,"")</f>
        <v/>
      </c>
      <c r="E556">
        <f>IF('PUNCH LIST'!$W$13="X",'PUNCH LIST'!C13,"")</f>
        <v/>
      </c>
      <c r="F556">
        <f>IF('PUNCH LIST'!$W$13="X",'PUNCH LIST'!E13,"")</f>
        <v/>
      </c>
      <c r="G556">
        <f>IF('PUNCH LIST'!$W$13="X",'PUNCH LIST'!Q13,"")</f>
        <v/>
      </c>
      <c r="H556">
        <f>IF('PUNCH LIST'!$W$13="X","X","")</f>
        <v/>
      </c>
    </row>
    <row r="557" ht="15" customHeight="1" s="130">
      <c r="A557">
        <f>IF('PUNCH LIST'!$W$14="X","PUNCH LIST","")</f>
        <v/>
      </c>
      <c r="B557">
        <f>IF('PUNCH LIST'!$W$14="X",'PUNCH LIST'!B14,"")</f>
        <v/>
      </c>
      <c r="D557">
        <f>IF('PUNCH LIST'!$W$14="X",'PUNCH LIST'!F14,"")</f>
        <v/>
      </c>
      <c r="E557">
        <f>IF('PUNCH LIST'!$W$14="X",'PUNCH LIST'!C14,"")</f>
        <v/>
      </c>
      <c r="F557">
        <f>IF('PUNCH LIST'!$W$14="X",'PUNCH LIST'!E14,"")</f>
        <v/>
      </c>
      <c r="G557">
        <f>IF('PUNCH LIST'!$W$14="X",'PUNCH LIST'!Q14,"")</f>
        <v/>
      </c>
      <c r="H557">
        <f>IF('PUNCH LIST'!$W$14="X","X","")</f>
        <v/>
      </c>
    </row>
    <row r="558" ht="15" customHeight="1" s="130">
      <c r="A558">
        <f>IF('PUNCH LIST'!$W$15="X","PUNCH LIST","")</f>
        <v/>
      </c>
      <c r="B558">
        <f>IF('PUNCH LIST'!$W$15="X",'PUNCH LIST'!B15,"")</f>
        <v/>
      </c>
      <c r="D558">
        <f>IF('PUNCH LIST'!$W$15="X",'PUNCH LIST'!F15,"")</f>
        <v/>
      </c>
      <c r="E558">
        <f>IF('PUNCH LIST'!$W$15="X",'PUNCH LIST'!C15,"")</f>
        <v/>
      </c>
      <c r="F558">
        <f>IF('PUNCH LIST'!$W$15="X",'PUNCH LIST'!E15,"")</f>
        <v/>
      </c>
      <c r="G558">
        <f>IF('PUNCH LIST'!$W$15="X",'PUNCH LIST'!Q15,"")</f>
        <v/>
      </c>
      <c r="H558">
        <f>IF('PUNCH LIST'!$W$15="X","X","")</f>
        <v/>
      </c>
    </row>
    <row r="559" ht="15" customHeight="1" s="130">
      <c r="A559">
        <f>IF('PUNCH LIST'!$W$16="X","PUNCH LIST","")</f>
        <v/>
      </c>
      <c r="B559">
        <f>IF('PUNCH LIST'!$W$16="X",'PUNCH LIST'!B16,"")</f>
        <v/>
      </c>
      <c r="D559">
        <f>IF('PUNCH LIST'!$W$16="X",'PUNCH LIST'!F16,"")</f>
        <v/>
      </c>
      <c r="E559">
        <f>IF('PUNCH LIST'!$W$16="X",'PUNCH LIST'!C16,"")</f>
        <v/>
      </c>
      <c r="F559">
        <f>IF('PUNCH LIST'!$W$16="X",'PUNCH LIST'!E16,"")</f>
        <v/>
      </c>
      <c r="G559">
        <f>IF('PUNCH LIST'!$W$16="X",'PUNCH LIST'!Q16,"")</f>
        <v/>
      </c>
      <c r="H559">
        <f>IF('PUNCH LIST'!$W$16="X","X","")</f>
        <v/>
      </c>
    </row>
    <row r="560" ht="15" customHeight="1" s="130">
      <c r="A560">
        <f>IF('PUNCH LIST'!$W$17="X","PUNCH LIST","")</f>
        <v/>
      </c>
      <c r="B560">
        <f>IF('PUNCH LIST'!$W$17="X",'PUNCH LIST'!B17,"")</f>
        <v/>
      </c>
      <c r="D560">
        <f>IF('PUNCH LIST'!$W$17="X",'PUNCH LIST'!F17,"")</f>
        <v/>
      </c>
      <c r="E560">
        <f>IF('PUNCH LIST'!$W$17="X",'PUNCH LIST'!C17,"")</f>
        <v/>
      </c>
      <c r="F560">
        <f>IF('PUNCH LIST'!$W$17="X",'PUNCH LIST'!E17,"")</f>
        <v/>
      </c>
      <c r="G560">
        <f>IF('PUNCH LIST'!$W$17="X",'PUNCH LIST'!Q17,"")</f>
        <v/>
      </c>
      <c r="H560">
        <f>IF('PUNCH LIST'!$W$17="X","X","")</f>
        <v/>
      </c>
    </row>
    <row r="561" ht="15" customHeight="1" s="130">
      <c r="A561">
        <f>IF('PUNCH LIST'!$W$18="X","PUNCH LIST","")</f>
        <v/>
      </c>
      <c r="B561">
        <f>IF('PUNCH LIST'!$W$18="X",'PUNCH LIST'!B18,"")</f>
        <v/>
      </c>
      <c r="D561">
        <f>IF('PUNCH LIST'!$W$18="X",'PUNCH LIST'!F18,"")</f>
        <v/>
      </c>
      <c r="E561">
        <f>IF('PUNCH LIST'!$W$18="X",'PUNCH LIST'!C18,"")</f>
        <v/>
      </c>
      <c r="F561">
        <f>IF('PUNCH LIST'!$W$18="X",'PUNCH LIST'!E18,"")</f>
        <v/>
      </c>
      <c r="G561">
        <f>IF('PUNCH LIST'!$W$18="X",'PUNCH LIST'!Q18,"")</f>
        <v/>
      </c>
      <c r="H561">
        <f>IF('PUNCH LIST'!$W$18="X","X","")</f>
        <v/>
      </c>
    </row>
    <row r="562" ht="15" customHeight="1" s="130">
      <c r="A562">
        <f>IF('PUNCH LIST'!$W$19="X","PUNCH LIST","")</f>
        <v/>
      </c>
      <c r="B562">
        <f>IF('PUNCH LIST'!$W$19="X",'PUNCH LIST'!B19,"")</f>
        <v/>
      </c>
      <c r="D562">
        <f>IF('PUNCH LIST'!$W$19="X",'PUNCH LIST'!F19,"")</f>
        <v/>
      </c>
      <c r="E562">
        <f>IF('PUNCH LIST'!$W$19="X",'PUNCH LIST'!C19,"")</f>
        <v/>
      </c>
      <c r="F562">
        <f>IF('PUNCH LIST'!$W$19="X",'PUNCH LIST'!E19,"")</f>
        <v/>
      </c>
      <c r="G562">
        <f>IF('PUNCH LIST'!$W$19="X",'PUNCH LIST'!Q19,"")</f>
        <v/>
      </c>
      <c r="H562">
        <f>IF('PUNCH LIST'!$W$19="X","X","")</f>
        <v/>
      </c>
    </row>
    <row r="563" ht="15" customHeight="1" s="130">
      <c r="A563">
        <f>IF('PUNCH LIST'!$W$20="X","PUNCH LIST","")</f>
        <v/>
      </c>
      <c r="B563">
        <f>IF('PUNCH LIST'!$W$20="X",'PUNCH LIST'!B20,"")</f>
        <v/>
      </c>
      <c r="D563">
        <f>IF('PUNCH LIST'!$W$20="X",'PUNCH LIST'!F20,"")</f>
        <v/>
      </c>
      <c r="E563">
        <f>IF('PUNCH LIST'!$W$20="X",'PUNCH LIST'!C20,"")</f>
        <v/>
      </c>
      <c r="F563">
        <f>IF('PUNCH LIST'!$W$20="X",'PUNCH LIST'!E20,"")</f>
        <v/>
      </c>
      <c r="G563">
        <f>IF('PUNCH LIST'!$W$20="X",'PUNCH LIST'!Q20,"")</f>
        <v/>
      </c>
      <c r="H563">
        <f>IF('PUNCH LIST'!$W$20="X","X","")</f>
        <v/>
      </c>
    </row>
    <row r="564" ht="15" customHeight="1" s="130">
      <c r="A564">
        <f>IF('PUNCH LIST'!$W$21="X","PUNCH LIST","")</f>
        <v/>
      </c>
      <c r="B564">
        <f>IF('PUNCH LIST'!$W$21="X",'PUNCH LIST'!B21,"")</f>
        <v/>
      </c>
      <c r="D564">
        <f>IF('PUNCH LIST'!$W$21="X",'PUNCH LIST'!F21,"")</f>
        <v/>
      </c>
      <c r="E564">
        <f>IF('PUNCH LIST'!$W$21="X",'PUNCH LIST'!C21,"")</f>
        <v/>
      </c>
      <c r="F564">
        <f>IF('PUNCH LIST'!$W$21="X",'PUNCH LIST'!E21,"")</f>
        <v/>
      </c>
      <c r="G564">
        <f>IF('PUNCH LIST'!$W$21="X",'PUNCH LIST'!Q21,"")</f>
        <v/>
      </c>
      <c r="H564">
        <f>IF('PUNCH LIST'!$W$21="X","X","")</f>
        <v/>
      </c>
    </row>
    <row r="565" ht="15" customHeight="1" s="130">
      <c r="A565">
        <f>IF('PUNCH LIST'!$W$22="X","PUNCH LIST","")</f>
        <v/>
      </c>
      <c r="B565">
        <f>IF('PUNCH LIST'!$W$22="X",'PUNCH LIST'!B22,"")</f>
        <v/>
      </c>
      <c r="D565">
        <f>IF('PUNCH LIST'!$W$22="X",'PUNCH LIST'!F22,"")</f>
        <v/>
      </c>
      <c r="E565">
        <f>IF('PUNCH LIST'!$W$22="X",'PUNCH LIST'!C22,"")</f>
        <v/>
      </c>
      <c r="F565">
        <f>IF('PUNCH LIST'!$W$22="X",'PUNCH LIST'!E22,"")</f>
        <v/>
      </c>
      <c r="G565">
        <f>IF('PUNCH LIST'!$W$22="X",'PUNCH LIST'!Q22,"")</f>
        <v/>
      </c>
      <c r="H565">
        <f>IF('PUNCH LIST'!$W$22="X","X","")</f>
        <v/>
      </c>
    </row>
    <row r="566" ht="15" customHeight="1" s="130">
      <c r="A566">
        <f>IF('PUNCH LIST'!$W$23="X","PUNCH LIST","")</f>
        <v/>
      </c>
      <c r="B566">
        <f>IF('PUNCH LIST'!$W$23="X",'PUNCH LIST'!B23,"")</f>
        <v/>
      </c>
      <c r="D566">
        <f>IF('PUNCH LIST'!$W$23="X",'PUNCH LIST'!F23,"")</f>
        <v/>
      </c>
      <c r="E566">
        <f>IF('PUNCH LIST'!$W$23="X",'PUNCH LIST'!C23,"")</f>
        <v/>
      </c>
      <c r="F566">
        <f>IF('PUNCH LIST'!$W$23="X",'PUNCH LIST'!E23,"")</f>
        <v/>
      </c>
      <c r="G566">
        <f>IF('PUNCH LIST'!$W$23="X",'PUNCH LIST'!Q23,"")</f>
        <v/>
      </c>
      <c r="H566">
        <f>IF('PUNCH LIST'!$W$23="X","X","")</f>
        <v/>
      </c>
    </row>
    <row r="567" ht="15" customHeight="1" s="130">
      <c r="A567">
        <f>IF('PUNCH LIST'!$W$24="X","PUNCH LIST","")</f>
        <v/>
      </c>
      <c r="B567">
        <f>IF('PUNCH LIST'!$W$24="X",'PUNCH LIST'!B24,"")</f>
        <v/>
      </c>
      <c r="D567">
        <f>IF('PUNCH LIST'!$W$24="X",'PUNCH LIST'!F24,"")</f>
        <v/>
      </c>
      <c r="E567">
        <f>IF('PUNCH LIST'!$W$24="X",'PUNCH LIST'!C24,"")</f>
        <v/>
      </c>
      <c r="F567">
        <f>IF('PUNCH LIST'!$W$24="X",'PUNCH LIST'!E24,"")</f>
        <v/>
      </c>
      <c r="G567">
        <f>IF('PUNCH LIST'!$W$24="X",'PUNCH LIST'!Q24,"")</f>
        <v/>
      </c>
      <c r="H567">
        <f>IF('PUNCH LIST'!$W$24="X","X","")</f>
        <v/>
      </c>
    </row>
    <row r="568" ht="15" customHeight="1" s="130">
      <c r="A568">
        <f>IF('PUNCH LIST'!$W$25="X","PUNCH LIST","")</f>
        <v/>
      </c>
      <c r="B568">
        <f>IF('PUNCH LIST'!$W$25="X",'PUNCH LIST'!B25,"")</f>
        <v/>
      </c>
      <c r="D568">
        <f>IF('PUNCH LIST'!$W$25="X",'PUNCH LIST'!F25,"")</f>
        <v/>
      </c>
      <c r="E568">
        <f>IF('PUNCH LIST'!$W$25="X",'PUNCH LIST'!C25,"")</f>
        <v/>
      </c>
      <c r="F568">
        <f>IF('PUNCH LIST'!$W$25="X",'PUNCH LIST'!E25,"")</f>
        <v/>
      </c>
      <c r="G568">
        <f>IF('PUNCH LIST'!$W$25="X",'PUNCH LIST'!Q25,"")</f>
        <v/>
      </c>
      <c r="H568">
        <f>IF('PUNCH LIST'!$W$25="X","X","")</f>
        <v/>
      </c>
    </row>
    <row r="569" ht="15" customHeight="1" s="130">
      <c r="A569">
        <f>IF('PUNCH LIST'!$W$26="X","PUNCH LIST","")</f>
        <v/>
      </c>
      <c r="B569">
        <f>IF('PUNCH LIST'!$W$26="X",'PUNCH LIST'!B26,"")</f>
        <v/>
      </c>
      <c r="D569">
        <f>IF('PUNCH LIST'!$W$26="X",'PUNCH LIST'!F26,"")</f>
        <v/>
      </c>
      <c r="E569">
        <f>IF('PUNCH LIST'!$W$26="X",'PUNCH LIST'!C26,"")</f>
        <v/>
      </c>
      <c r="F569">
        <f>IF('PUNCH LIST'!$W$26="X",'PUNCH LIST'!E26,"")</f>
        <v/>
      </c>
      <c r="G569">
        <f>IF('PUNCH LIST'!$W$26="X",'PUNCH LIST'!Q26,"")</f>
        <v/>
      </c>
      <c r="H569">
        <f>IF('PUNCH LIST'!$W$26="X","X","")</f>
        <v/>
      </c>
    </row>
    <row r="570" ht="15" customHeight="1" s="130">
      <c r="A570">
        <f>IF('PUNCH LIST'!$W$27="X","PUNCH LIST","")</f>
        <v/>
      </c>
      <c r="B570">
        <f>IF('PUNCH LIST'!$W$27="X",'PUNCH LIST'!B27,"")</f>
        <v/>
      </c>
      <c r="D570">
        <f>IF('PUNCH LIST'!$W$27="X",'PUNCH LIST'!F27,"")</f>
        <v/>
      </c>
      <c r="E570">
        <f>IF('PUNCH LIST'!$W$27="X",'PUNCH LIST'!C27,"")</f>
        <v/>
      </c>
      <c r="F570">
        <f>IF('PUNCH LIST'!$W$27="X",'PUNCH LIST'!E27,"")</f>
        <v/>
      </c>
      <c r="G570">
        <f>IF('PUNCH LIST'!$W$27="X",'PUNCH LIST'!Q27,"")</f>
        <v/>
      </c>
      <c r="H570">
        <f>IF('PUNCH LIST'!$W$27="X","X","")</f>
        <v/>
      </c>
    </row>
    <row r="571" ht="15" customHeight="1" s="130">
      <c r="A571">
        <f>IF('PUNCH LIST'!$W$28="X","PUNCH LIST","")</f>
        <v/>
      </c>
      <c r="B571">
        <f>IF('PUNCH LIST'!$W$28="X",'PUNCH LIST'!B28,"")</f>
        <v/>
      </c>
      <c r="D571">
        <f>IF('PUNCH LIST'!$W$28="X",'PUNCH LIST'!F28,"")</f>
        <v/>
      </c>
      <c r="E571">
        <f>IF('PUNCH LIST'!$W$28="X",'PUNCH LIST'!C28,"")</f>
        <v/>
      </c>
      <c r="F571">
        <f>IF('PUNCH LIST'!$W$28="X",'PUNCH LIST'!E28,"")</f>
        <v/>
      </c>
      <c r="G571">
        <f>IF('PUNCH LIST'!$W$28="X",'PUNCH LIST'!Q28,"")</f>
        <v/>
      </c>
      <c r="H571">
        <f>IF('PUNCH LIST'!$W$28="X","X","")</f>
        <v/>
      </c>
    </row>
    <row r="572" ht="15" customHeight="1" s="130">
      <c r="A572">
        <f>IF('PUNCH LIST'!$W$29="X","PUNCH LIST","")</f>
        <v/>
      </c>
      <c r="B572">
        <f>IF('PUNCH LIST'!$W$29="X",'PUNCH LIST'!B29,"")</f>
        <v/>
      </c>
      <c r="D572">
        <f>IF('PUNCH LIST'!$W$29="X",'PUNCH LIST'!F29,"")</f>
        <v/>
      </c>
      <c r="E572">
        <f>IF('PUNCH LIST'!$W$29="X",'PUNCH LIST'!C29,"")</f>
        <v/>
      </c>
      <c r="F572">
        <f>IF('PUNCH LIST'!$W$29="X",'PUNCH LIST'!E29,"")</f>
        <v/>
      </c>
      <c r="G572">
        <f>IF('PUNCH LIST'!$W$29="X",'PUNCH LIST'!Q29,"")</f>
        <v/>
      </c>
      <c r="H572">
        <f>IF('PUNCH LIST'!$W$29="X","X","")</f>
        <v/>
      </c>
    </row>
    <row r="573" ht="15" customHeight="1" s="130">
      <c r="A573">
        <f>IF('PUNCH LIST'!$W$30="X","PUNCH LIST","")</f>
        <v/>
      </c>
      <c r="B573">
        <f>IF('PUNCH LIST'!$W$30="X",'PUNCH LIST'!B30,"")</f>
        <v/>
      </c>
      <c r="D573">
        <f>IF('PUNCH LIST'!$W$30="X",'PUNCH LIST'!F30,"")</f>
        <v/>
      </c>
      <c r="E573">
        <f>IF('PUNCH LIST'!$W$30="X",'PUNCH LIST'!C30,"")</f>
        <v/>
      </c>
      <c r="F573">
        <f>IF('PUNCH LIST'!$W$30="X",'PUNCH LIST'!E30,"")</f>
        <v/>
      </c>
      <c r="G573">
        <f>IF('PUNCH LIST'!$W$30="X",'PUNCH LIST'!Q30,"")</f>
        <v/>
      </c>
      <c r="H573">
        <f>IF('PUNCH LIST'!$W$30="X","X","")</f>
        <v/>
      </c>
    </row>
    <row r="574" ht="15" customHeight="1" s="130">
      <c r="A574">
        <f>IF('PUNCH LIST'!$W$31="X","PUNCH LIST","")</f>
        <v/>
      </c>
      <c r="B574">
        <f>IF('PUNCH LIST'!$W$31="X",'PUNCH LIST'!B31,"")</f>
        <v/>
      </c>
      <c r="D574">
        <f>IF('PUNCH LIST'!$W$31="X",'PUNCH LIST'!F31,"")</f>
        <v/>
      </c>
      <c r="E574">
        <f>IF('PUNCH LIST'!$W$31="X",'PUNCH LIST'!C31,"")</f>
        <v/>
      </c>
      <c r="F574">
        <f>IF('PUNCH LIST'!$W$31="X",'PUNCH LIST'!E31,"")</f>
        <v/>
      </c>
      <c r="G574">
        <f>IF('PUNCH LIST'!$W$31="X",'PUNCH LIST'!Q31,"")</f>
        <v/>
      </c>
      <c r="H574">
        <f>IF('PUNCH LIST'!$W$31="X","X","")</f>
        <v/>
      </c>
    </row>
    <row r="575" ht="15" customHeight="1" s="130">
      <c r="A575">
        <f>IF('PUNCH LIST'!$W$32="X","PUNCH LIST","")</f>
        <v/>
      </c>
      <c r="B575">
        <f>IF('PUNCH LIST'!$W$32="X",'PUNCH LIST'!B32,"")</f>
        <v/>
      </c>
      <c r="D575">
        <f>IF('PUNCH LIST'!$W$32="X",'PUNCH LIST'!F32,"")</f>
        <v/>
      </c>
      <c r="E575">
        <f>IF('PUNCH LIST'!$W$32="X",'PUNCH LIST'!C32,"")</f>
        <v/>
      </c>
      <c r="F575">
        <f>IF('PUNCH LIST'!$W$32="X",'PUNCH LIST'!E32,"")</f>
        <v/>
      </c>
      <c r="G575">
        <f>IF('PUNCH LIST'!$W$32="X",'PUNCH LIST'!Q32,"")</f>
        <v/>
      </c>
      <c r="H575">
        <f>IF('PUNCH LIST'!$W$32="X","X","")</f>
        <v/>
      </c>
    </row>
    <row r="576" ht="15" customHeight="1" s="130">
      <c r="A576">
        <f>IF('PUNCH LIST'!$W$33="X","PUNCH LIST","")</f>
        <v/>
      </c>
      <c r="B576">
        <f>IF('PUNCH LIST'!$W$33="X",'PUNCH LIST'!B33,"")</f>
        <v/>
      </c>
      <c r="D576">
        <f>IF('PUNCH LIST'!$W$33="X",'PUNCH LIST'!F33,"")</f>
        <v/>
      </c>
      <c r="E576">
        <f>IF('PUNCH LIST'!$W$33="X",'PUNCH LIST'!C33,"")</f>
        <v/>
      </c>
      <c r="F576">
        <f>IF('PUNCH LIST'!$W$33="X",'PUNCH LIST'!E33,"")</f>
        <v/>
      </c>
      <c r="G576">
        <f>IF('PUNCH LIST'!$W$33="X",'PUNCH LIST'!Q33,"")</f>
        <v/>
      </c>
      <c r="H576">
        <f>IF('PUNCH LIST'!$W$33="X","X","")</f>
        <v/>
      </c>
    </row>
    <row r="577" ht="15" customHeight="1" s="130">
      <c r="A577">
        <f>IF('PUNCH LIST'!$W$34="X","PUNCH LIST","")</f>
        <v/>
      </c>
      <c r="B577">
        <f>IF('PUNCH LIST'!$W$34="X",'PUNCH LIST'!B34,"")</f>
        <v/>
      </c>
      <c r="D577">
        <f>IF('PUNCH LIST'!$W$34="X",'PUNCH LIST'!F34,"")</f>
        <v/>
      </c>
      <c r="E577">
        <f>IF('PUNCH LIST'!$W$34="X",'PUNCH LIST'!C34,"")</f>
        <v/>
      </c>
      <c r="F577">
        <f>IF('PUNCH LIST'!$W$34="X",'PUNCH LIST'!E34,"")</f>
        <v/>
      </c>
      <c r="G577">
        <f>IF('PUNCH LIST'!$W$34="X",'PUNCH LIST'!Q34,"")</f>
        <v/>
      </c>
      <c r="H577">
        <f>IF('PUNCH LIST'!$W$34="X","X","")</f>
        <v/>
      </c>
    </row>
    <row r="578" ht="15" customHeight="1" s="130">
      <c r="A578">
        <f>IF('PUNCH LIST'!$W$35="X","PUNCH LIST","")</f>
        <v/>
      </c>
      <c r="B578">
        <f>IF('PUNCH LIST'!$W$35="X",'PUNCH LIST'!B35,"")</f>
        <v/>
      </c>
      <c r="D578">
        <f>IF('PUNCH LIST'!$W$35="X",'PUNCH LIST'!F35,"")</f>
        <v/>
      </c>
      <c r="E578">
        <f>IF('PUNCH LIST'!$W$35="X",'PUNCH LIST'!C35,"")</f>
        <v/>
      </c>
      <c r="F578">
        <f>IF('PUNCH LIST'!$W$35="X",'PUNCH LIST'!E35,"")</f>
        <v/>
      </c>
      <c r="G578">
        <f>IF('PUNCH LIST'!$W$35="X",'PUNCH LIST'!Q35,"")</f>
        <v/>
      </c>
      <c r="H578">
        <f>IF('PUNCH LIST'!$W$35="X","X","")</f>
        <v/>
      </c>
    </row>
    <row r="579" ht="15" customHeight="1" s="130">
      <c r="A579">
        <f>IF('PUNCH LIST'!$W$36="X","PUNCH LIST","")</f>
        <v/>
      </c>
      <c r="B579">
        <f>IF('PUNCH LIST'!$W$36="X",'PUNCH LIST'!B36,"")</f>
        <v/>
      </c>
      <c r="D579">
        <f>IF('PUNCH LIST'!$W$36="X",'PUNCH LIST'!F36,"")</f>
        <v/>
      </c>
      <c r="E579">
        <f>IF('PUNCH LIST'!$W$36="X",'PUNCH LIST'!C36,"")</f>
        <v/>
      </c>
      <c r="F579">
        <f>IF('PUNCH LIST'!$W$36="X",'PUNCH LIST'!E36,"")</f>
        <v/>
      </c>
      <c r="G579">
        <f>IF('PUNCH LIST'!$W$36="X",'PUNCH LIST'!Q36,"")</f>
        <v/>
      </c>
      <c r="H579">
        <f>IF('PUNCH LIST'!$W$36="X","X","")</f>
        <v/>
      </c>
    </row>
    <row r="580" ht="15" customHeight="1" s="130">
      <c r="A580">
        <f>IF('PUNCH LIST'!$W$37="X","PUNCH LIST","")</f>
        <v/>
      </c>
      <c r="B580">
        <f>IF('PUNCH LIST'!$W$37="X",'PUNCH LIST'!B37,"")</f>
        <v/>
      </c>
      <c r="D580">
        <f>IF('PUNCH LIST'!$W$37="X",'PUNCH LIST'!F37,"")</f>
        <v/>
      </c>
      <c r="E580">
        <f>IF('PUNCH LIST'!$W$37="X",'PUNCH LIST'!C37,"")</f>
        <v/>
      </c>
      <c r="F580">
        <f>IF('PUNCH LIST'!$W$37="X",'PUNCH LIST'!E37,"")</f>
        <v/>
      </c>
      <c r="G580">
        <f>IF('PUNCH LIST'!$W$37="X",'PUNCH LIST'!Q37,"")</f>
        <v/>
      </c>
      <c r="H580">
        <f>IF('PUNCH LIST'!$W$37="X","X","")</f>
        <v/>
      </c>
    </row>
    <row r="581" ht="15" customHeight="1" s="130">
      <c r="A581">
        <f>IF('PUNCH LIST'!$W$38="X","PUNCH LIST","")</f>
        <v/>
      </c>
      <c r="B581">
        <f>IF('PUNCH LIST'!$W$38="X",'PUNCH LIST'!B38,"")</f>
        <v/>
      </c>
      <c r="D581">
        <f>IF('PUNCH LIST'!$W$38="X",'PUNCH LIST'!F38,"")</f>
        <v/>
      </c>
      <c r="E581">
        <f>IF('PUNCH LIST'!$W$38="X",'PUNCH LIST'!C38,"")</f>
        <v/>
      </c>
      <c r="F581">
        <f>IF('PUNCH LIST'!$W$38="X",'PUNCH LIST'!E38,"")</f>
        <v/>
      </c>
      <c r="G581">
        <f>IF('PUNCH LIST'!$W$38="X",'PUNCH LIST'!Q38,"")</f>
        <v/>
      </c>
      <c r="H581">
        <f>IF('PUNCH LIST'!$W$38="X","X","")</f>
        <v/>
      </c>
    </row>
    <row r="582" ht="15" customHeight="1" s="130">
      <c r="A582">
        <f>IF('PUNCH LIST'!$W$39="X","PUNCH LIST","")</f>
        <v/>
      </c>
      <c r="B582">
        <f>IF('PUNCH LIST'!$W$39="X",'PUNCH LIST'!B39,"")</f>
        <v/>
      </c>
      <c r="D582">
        <f>IF('PUNCH LIST'!$W$39="X",'PUNCH LIST'!F39,"")</f>
        <v/>
      </c>
      <c r="E582">
        <f>IF('PUNCH LIST'!$W$39="X",'PUNCH LIST'!C39,"")</f>
        <v/>
      </c>
      <c r="F582">
        <f>IF('PUNCH LIST'!$W$39="X",'PUNCH LIST'!E39,"")</f>
        <v/>
      </c>
      <c r="G582">
        <f>IF('PUNCH LIST'!$W$39="X",'PUNCH LIST'!Q39,"")</f>
        <v/>
      </c>
      <c r="H582">
        <f>IF('PUNCH LIST'!$W$39="X","X","")</f>
        <v/>
      </c>
    </row>
    <row r="583" ht="15" customHeight="1" s="130">
      <c r="A583">
        <f>IF('PUNCH LIST'!$W$40="X","PUNCH LIST","")</f>
        <v/>
      </c>
      <c r="B583">
        <f>IF('PUNCH LIST'!$W$40="X",'PUNCH LIST'!B40,"")</f>
        <v/>
      </c>
      <c r="D583">
        <f>IF('PUNCH LIST'!$W$40="X",'PUNCH LIST'!F40,"")</f>
        <v/>
      </c>
      <c r="E583">
        <f>IF('PUNCH LIST'!$W$40="X",'PUNCH LIST'!C40,"")</f>
        <v/>
      </c>
      <c r="F583">
        <f>IF('PUNCH LIST'!$W$40="X",'PUNCH LIST'!E40,"")</f>
        <v/>
      </c>
      <c r="G583">
        <f>IF('PUNCH LIST'!$W$40="X",'PUNCH LIST'!Q40,"")</f>
        <v/>
      </c>
      <c r="H583">
        <f>IF('PUNCH LIST'!$W$40="X","X","")</f>
        <v/>
      </c>
    </row>
    <row r="584" ht="15" customHeight="1" s="130">
      <c r="A584">
        <f>IF('PUNCH LIST'!$W$41="X","PUNCH LIST","")</f>
        <v/>
      </c>
      <c r="B584">
        <f>IF('PUNCH LIST'!$W$41="X",'PUNCH LIST'!B41,"")</f>
        <v/>
      </c>
      <c r="D584">
        <f>IF('PUNCH LIST'!$W$41="X",'PUNCH LIST'!F41,"")</f>
        <v/>
      </c>
      <c r="E584">
        <f>IF('PUNCH LIST'!$W$41="X",'PUNCH LIST'!C41,"")</f>
        <v/>
      </c>
      <c r="F584">
        <f>IF('PUNCH LIST'!$W$41="X",'PUNCH LIST'!E41,"")</f>
        <v/>
      </c>
      <c r="G584">
        <f>IF('PUNCH LIST'!$W$41="X",'PUNCH LIST'!Q41,"")</f>
        <v/>
      </c>
      <c r="H584">
        <f>IF('PUNCH LIST'!$W$41="X","X","")</f>
        <v/>
      </c>
    </row>
    <row r="585" ht="15" customHeight="1" s="130">
      <c r="A585">
        <f>IF('PUNCH LIST'!$W$42="X","PUNCH LIST","")</f>
        <v/>
      </c>
      <c r="B585">
        <f>IF('PUNCH LIST'!$W$42="X",'PUNCH LIST'!B42,"")</f>
        <v/>
      </c>
      <c r="D585">
        <f>IF('PUNCH LIST'!$W$42="X",'PUNCH LIST'!F42,"")</f>
        <v/>
      </c>
      <c r="E585">
        <f>IF('PUNCH LIST'!$W$42="X",'PUNCH LIST'!C42,"")</f>
        <v/>
      </c>
      <c r="F585">
        <f>IF('PUNCH LIST'!$W$42="X",'PUNCH LIST'!E42,"")</f>
        <v/>
      </c>
      <c r="G585">
        <f>IF('PUNCH LIST'!$W$42="X",'PUNCH LIST'!Q42,"")</f>
        <v/>
      </c>
      <c r="H585">
        <f>IF('PUNCH LIST'!$W$42="X","X","")</f>
        <v/>
      </c>
    </row>
    <row r="586" ht="15" customHeight="1" s="130">
      <c r="A586">
        <f>IF('PUNCH LIST'!$W$43="X","PUNCH LIST","")</f>
        <v/>
      </c>
      <c r="B586">
        <f>IF('PUNCH LIST'!$W$43="X",'PUNCH LIST'!B43,"")</f>
        <v/>
      </c>
      <c r="D586">
        <f>IF('PUNCH LIST'!$W$43="X",'PUNCH LIST'!F43,"")</f>
        <v/>
      </c>
      <c r="E586">
        <f>IF('PUNCH LIST'!$W$43="X",'PUNCH LIST'!C43,"")</f>
        <v/>
      </c>
      <c r="F586">
        <f>IF('PUNCH LIST'!$W$43="X",'PUNCH LIST'!E43,"")</f>
        <v/>
      </c>
      <c r="G586">
        <f>IF('PUNCH LIST'!$W$43="X",'PUNCH LIST'!Q43,"")</f>
        <v/>
      </c>
      <c r="H586">
        <f>IF('PUNCH LIST'!$W$43="X","X","")</f>
        <v/>
      </c>
    </row>
    <row r="587" ht="15" customHeight="1" s="130">
      <c r="A587">
        <f>IF('PUNCH LIST'!$W$44="X","PUNCH LIST","")</f>
        <v/>
      </c>
      <c r="B587">
        <f>IF('PUNCH LIST'!$W$44="X",'PUNCH LIST'!B44,"")</f>
        <v/>
      </c>
      <c r="D587">
        <f>IF('PUNCH LIST'!$W$44="X",'PUNCH LIST'!F44,"")</f>
        <v/>
      </c>
      <c r="E587">
        <f>IF('PUNCH LIST'!$W$44="X",'PUNCH LIST'!C44,"")</f>
        <v/>
      </c>
      <c r="F587">
        <f>IF('PUNCH LIST'!$W$44="X",'PUNCH LIST'!E44,"")</f>
        <v/>
      </c>
      <c r="G587">
        <f>IF('PUNCH LIST'!$W$44="X",'PUNCH LIST'!Q44,"")</f>
        <v/>
      </c>
      <c r="H587">
        <f>IF('PUNCH LIST'!$W$44="X","X","")</f>
        <v/>
      </c>
    </row>
    <row r="588" ht="15" customHeight="1" s="130">
      <c r="A588">
        <f>IF('PUNCH LIST'!$W$45="X","PUNCH LIST","")</f>
        <v/>
      </c>
      <c r="B588">
        <f>IF('PUNCH LIST'!$W$45="X",'PUNCH LIST'!B45,"")</f>
        <v/>
      </c>
      <c r="D588">
        <f>IF('PUNCH LIST'!$W$45="X",'PUNCH LIST'!F45,"")</f>
        <v/>
      </c>
      <c r="E588">
        <f>IF('PUNCH LIST'!$W$45="X",'PUNCH LIST'!C45,"")</f>
        <v/>
      </c>
      <c r="F588">
        <f>IF('PUNCH LIST'!$W$45="X",'PUNCH LIST'!E45,"")</f>
        <v/>
      </c>
      <c r="G588">
        <f>IF('PUNCH LIST'!$W$45="X",'PUNCH LIST'!Q45,"")</f>
        <v/>
      </c>
      <c r="H588">
        <f>IF('PUNCH LIST'!$W$45="X","X","")</f>
        <v/>
      </c>
    </row>
    <row r="589" ht="15" customHeight="1" s="130">
      <c r="A589">
        <f>IF('PUNCH LIST'!$W$46="X","PUNCH LIST","")</f>
        <v/>
      </c>
      <c r="B589">
        <f>IF('PUNCH LIST'!$W$46="X",'PUNCH LIST'!B46,"")</f>
        <v/>
      </c>
      <c r="D589">
        <f>IF('PUNCH LIST'!$W$46="X",'PUNCH LIST'!F46,"")</f>
        <v/>
      </c>
      <c r="E589">
        <f>IF('PUNCH LIST'!$W$46="X",'PUNCH LIST'!C46,"")</f>
        <v/>
      </c>
      <c r="F589">
        <f>IF('PUNCH LIST'!$W$46="X",'PUNCH LIST'!E46,"")</f>
        <v/>
      </c>
      <c r="G589">
        <f>IF('PUNCH LIST'!$W$46="X",'PUNCH LIST'!Q46,"")</f>
        <v/>
      </c>
      <c r="H589">
        <f>IF('PUNCH LIST'!$W$46="X","X","")</f>
        <v/>
      </c>
    </row>
    <row r="590" ht="15" customHeight="1" s="130">
      <c r="A590">
        <f>IF('PUNCH LIST'!$W$47="X","PUNCH LIST","")</f>
        <v/>
      </c>
      <c r="B590">
        <f>IF('PUNCH LIST'!$W$47="X",'PUNCH LIST'!B47,"")</f>
        <v/>
      </c>
      <c r="D590">
        <f>IF('PUNCH LIST'!$W$47="X",'PUNCH LIST'!F47,"")</f>
        <v/>
      </c>
      <c r="E590">
        <f>IF('PUNCH LIST'!$W$47="X",'PUNCH LIST'!C47,"")</f>
        <v/>
      </c>
      <c r="F590">
        <f>IF('PUNCH LIST'!$W$47="X",'PUNCH LIST'!E47,"")</f>
        <v/>
      </c>
      <c r="G590">
        <f>IF('PUNCH LIST'!$W$47="X",'PUNCH LIST'!Q47,"")</f>
        <v/>
      </c>
      <c r="H590">
        <f>IF('PUNCH LIST'!$W$47="X","X","")</f>
        <v/>
      </c>
    </row>
    <row r="591" ht="15" customHeight="1" s="130">
      <c r="A591">
        <f>IF('PUNCH LIST'!$W$48="X","PUNCH LIST","")</f>
        <v/>
      </c>
      <c r="B591">
        <f>IF('PUNCH LIST'!$W$48="X",'PUNCH LIST'!B48,"")</f>
        <v/>
      </c>
      <c r="D591">
        <f>IF('PUNCH LIST'!$W$48="X",'PUNCH LIST'!F48,"")</f>
        <v/>
      </c>
      <c r="E591">
        <f>IF('PUNCH LIST'!$W$48="X",'PUNCH LIST'!C48,"")</f>
        <v/>
      </c>
      <c r="F591">
        <f>IF('PUNCH LIST'!$W$48="X",'PUNCH LIST'!E48,"")</f>
        <v/>
      </c>
      <c r="G591">
        <f>IF('PUNCH LIST'!$W$48="X",'PUNCH LIST'!Q48,"")</f>
        <v/>
      </c>
      <c r="H591">
        <f>IF('PUNCH LIST'!$W$48="X","X","")</f>
        <v/>
      </c>
    </row>
    <row r="592" ht="15" customHeight="1" s="130">
      <c r="A592">
        <f>IF('PUNCH LIST'!$W$49="X","PUNCH LIST","")</f>
        <v/>
      </c>
      <c r="B592">
        <f>IF('PUNCH LIST'!$W$49="X",'PUNCH LIST'!B49,"")</f>
        <v/>
      </c>
      <c r="D592">
        <f>IF('PUNCH LIST'!$W$49="X",'PUNCH LIST'!F49,"")</f>
        <v/>
      </c>
      <c r="E592">
        <f>IF('PUNCH LIST'!$W$49="X",'PUNCH LIST'!C49,"")</f>
        <v/>
      </c>
      <c r="F592">
        <f>IF('PUNCH LIST'!$W$49="X",'PUNCH LIST'!E49,"")</f>
        <v/>
      </c>
      <c r="G592">
        <f>IF('PUNCH LIST'!$W$49="X",'PUNCH LIST'!Q49,"")</f>
        <v/>
      </c>
      <c r="H592">
        <f>IF('PUNCH LIST'!$W$49="X","X","")</f>
        <v/>
      </c>
    </row>
    <row r="593" ht="15" customHeight="1" s="130">
      <c r="A593">
        <f>IF('PUNCH LIST'!$W$50="X","PUNCH LIST","")</f>
        <v/>
      </c>
      <c r="B593">
        <f>IF('PUNCH LIST'!$W$50="X",'PUNCH LIST'!B50,"")</f>
        <v/>
      </c>
      <c r="D593">
        <f>IF('PUNCH LIST'!$W$50="X",'PUNCH LIST'!F50,"")</f>
        <v/>
      </c>
      <c r="E593">
        <f>IF('PUNCH LIST'!$W$50="X",'PUNCH LIST'!C50,"")</f>
        <v/>
      </c>
      <c r="F593">
        <f>IF('PUNCH LIST'!$W$50="X",'PUNCH LIST'!E50,"")</f>
        <v/>
      </c>
      <c r="G593">
        <f>IF('PUNCH LIST'!$W$50="X",'PUNCH LIST'!Q50,"")</f>
        <v/>
      </c>
      <c r="H593">
        <f>IF('PUNCH LIST'!$W$50="X","X","")</f>
        <v/>
      </c>
    </row>
    <row r="594" ht="15" customHeight="1" s="130">
      <c r="A594">
        <f>IF('PUNCH LIST'!$W$51="X","PUNCH LIST","")</f>
        <v/>
      </c>
      <c r="B594">
        <f>IF('PUNCH LIST'!$W$51="X",'PUNCH LIST'!B51,"")</f>
        <v/>
      </c>
      <c r="D594">
        <f>IF('PUNCH LIST'!$W$51="X",'PUNCH LIST'!F51,"")</f>
        <v/>
      </c>
      <c r="E594">
        <f>IF('PUNCH LIST'!$W$51="X",'PUNCH LIST'!C51,"")</f>
        <v/>
      </c>
      <c r="F594">
        <f>IF('PUNCH LIST'!$W$51="X",'PUNCH LIST'!E51,"")</f>
        <v/>
      </c>
      <c r="G594">
        <f>IF('PUNCH LIST'!$W$51="X",'PUNCH LIST'!Q51,"")</f>
        <v/>
      </c>
      <c r="H594">
        <f>IF('PUNCH LIST'!$W$51="X","X","")</f>
        <v/>
      </c>
    </row>
    <row r="595" ht="15" customHeight="1" s="130">
      <c r="A595">
        <f>IF('PUNCH LIST'!$W$52="X","PUNCH LIST","")</f>
        <v/>
      </c>
      <c r="B595">
        <f>IF('PUNCH LIST'!$W$52="X",'PUNCH LIST'!B52,"")</f>
        <v/>
      </c>
      <c r="D595">
        <f>IF('PUNCH LIST'!$W$52="X",'PUNCH LIST'!F52,"")</f>
        <v/>
      </c>
      <c r="E595">
        <f>IF('PUNCH LIST'!$W$52="X",'PUNCH LIST'!C52,"")</f>
        <v/>
      </c>
      <c r="F595">
        <f>IF('PUNCH LIST'!$W$52="X",'PUNCH LIST'!E52,"")</f>
        <v/>
      </c>
      <c r="G595">
        <f>IF('PUNCH LIST'!$W$52="X",'PUNCH LIST'!Q52,"")</f>
        <v/>
      </c>
      <c r="H595">
        <f>IF('PUNCH LIST'!$W$52="X","X","")</f>
        <v/>
      </c>
    </row>
    <row r="596" ht="15" customHeight="1" s="130">
      <c r="A596">
        <f>IF('PUNCH LIST'!$W$53="X","PUNCH LIST","")</f>
        <v/>
      </c>
      <c r="B596">
        <f>IF('PUNCH LIST'!$W$53="X",'PUNCH LIST'!B53,"")</f>
        <v/>
      </c>
      <c r="D596">
        <f>IF('PUNCH LIST'!$W$53="X",'PUNCH LIST'!F53,"")</f>
        <v/>
      </c>
      <c r="E596">
        <f>IF('PUNCH LIST'!$W$53="X",'PUNCH LIST'!C53,"")</f>
        <v/>
      </c>
      <c r="F596">
        <f>IF('PUNCH LIST'!$W$53="X",'PUNCH LIST'!E53,"")</f>
        <v/>
      </c>
      <c r="G596">
        <f>IF('PUNCH LIST'!$W$53="X",'PUNCH LIST'!Q53,"")</f>
        <v/>
      </c>
      <c r="H596">
        <f>IF('PUNCH LIST'!$W$53="X","X","")</f>
        <v/>
      </c>
    </row>
    <row r="597" ht="15" customHeight="1" s="130">
      <c r="A597">
        <f>IF('PUNCH LIST'!$W$54="X","PUNCH LIST","")</f>
        <v/>
      </c>
      <c r="B597">
        <f>IF('PUNCH LIST'!$W$54="X",'PUNCH LIST'!B54,"")</f>
        <v/>
      </c>
      <c r="D597">
        <f>IF('PUNCH LIST'!$W$54="X",'PUNCH LIST'!F54,"")</f>
        <v/>
      </c>
      <c r="E597">
        <f>IF('PUNCH LIST'!$W$54="X",'PUNCH LIST'!C54,"")</f>
        <v/>
      </c>
      <c r="F597">
        <f>IF('PUNCH LIST'!$W$54="X",'PUNCH LIST'!E54,"")</f>
        <v/>
      </c>
      <c r="G597">
        <f>IF('PUNCH LIST'!$W$54="X",'PUNCH LIST'!Q54,"")</f>
        <v/>
      </c>
      <c r="H597">
        <f>IF('PUNCH LIST'!$W$54="X","X","")</f>
        <v/>
      </c>
    </row>
    <row r="598" ht="15" customHeight="1" s="130">
      <c r="A598">
        <f>IF('PUNCH LIST'!$W$55="X","PUNCH LIST","")</f>
        <v/>
      </c>
      <c r="B598">
        <f>IF('PUNCH LIST'!$W$55="X",'PUNCH LIST'!B55,"")</f>
        <v/>
      </c>
      <c r="D598">
        <f>IF('PUNCH LIST'!$W$55="X",'PUNCH LIST'!F55,"")</f>
        <v/>
      </c>
      <c r="E598">
        <f>IF('PUNCH LIST'!$W$55="X",'PUNCH LIST'!C55,"")</f>
        <v/>
      </c>
      <c r="F598">
        <f>IF('PUNCH LIST'!$W$55="X",'PUNCH LIST'!E55,"")</f>
        <v/>
      </c>
      <c r="G598">
        <f>IF('PUNCH LIST'!$W$55="X",'PUNCH LIST'!Q55,"")</f>
        <v/>
      </c>
      <c r="H598">
        <f>IF('PUNCH LIST'!$W$55="X","X","")</f>
        <v/>
      </c>
    </row>
    <row r="599" ht="15" customHeight="1" s="130">
      <c r="A599">
        <f>IF('PUNCH LIST'!$W$56="X","PUNCH LIST","")</f>
        <v/>
      </c>
      <c r="B599">
        <f>IF('PUNCH LIST'!$W$56="X",'PUNCH LIST'!B56,"")</f>
        <v/>
      </c>
      <c r="D599">
        <f>IF('PUNCH LIST'!$W$56="X",'PUNCH LIST'!F56,"")</f>
        <v/>
      </c>
      <c r="E599">
        <f>IF('PUNCH LIST'!$W$56="X",'PUNCH LIST'!C56,"")</f>
        <v/>
      </c>
      <c r="F599">
        <f>IF('PUNCH LIST'!$W$56="X",'PUNCH LIST'!E56,"")</f>
        <v/>
      </c>
      <c r="G599">
        <f>IF('PUNCH LIST'!$W$56="X",'PUNCH LIST'!Q56,"")</f>
        <v/>
      </c>
      <c r="H599">
        <f>IF('PUNCH LIST'!$W$56="X","X","")</f>
        <v/>
      </c>
    </row>
    <row r="600" ht="15" customHeight="1" s="130">
      <c r="A600">
        <f>IF('PUNCH LIST'!$W$57="X","PUNCH LIST","")</f>
        <v/>
      </c>
      <c r="B600">
        <f>IF('PUNCH LIST'!$W$57="X",'PUNCH LIST'!B57,"")</f>
        <v/>
      </c>
      <c r="D600">
        <f>IF('PUNCH LIST'!$W$57="X",'PUNCH LIST'!F57,"")</f>
        <v/>
      </c>
      <c r="E600">
        <f>IF('PUNCH LIST'!$W$57="X",'PUNCH LIST'!C57,"")</f>
        <v/>
      </c>
      <c r="F600">
        <f>IF('PUNCH LIST'!$W$57="X",'PUNCH LIST'!E57,"")</f>
        <v/>
      </c>
      <c r="G600">
        <f>IF('PUNCH LIST'!$W$57="X",'PUNCH LIST'!Q57,"")</f>
        <v/>
      </c>
      <c r="H600">
        <f>IF('PUNCH LIST'!$W$57="X","X","")</f>
        <v/>
      </c>
    </row>
    <row r="601" ht="15" customHeight="1" s="130">
      <c r="A601">
        <f>IF('PUNCH LIST'!$W$58="X","PUNCH LIST","")</f>
        <v/>
      </c>
      <c r="B601">
        <f>IF('PUNCH LIST'!$W$58="X",'PUNCH LIST'!B58,"")</f>
        <v/>
      </c>
      <c r="D601">
        <f>IF('PUNCH LIST'!$W$58="X",'PUNCH LIST'!F58,"")</f>
        <v/>
      </c>
      <c r="E601">
        <f>IF('PUNCH LIST'!$W$58="X",'PUNCH LIST'!C58,"")</f>
        <v/>
      </c>
      <c r="F601">
        <f>IF('PUNCH LIST'!$W$58="X",'PUNCH LIST'!E58,"")</f>
        <v/>
      </c>
      <c r="G601">
        <f>IF('PUNCH LIST'!$W$58="X",'PUNCH LIST'!Q58,"")</f>
        <v/>
      </c>
      <c r="H601">
        <f>IF('PUNCH LIST'!$W$58="X","X","")</f>
        <v/>
      </c>
    </row>
    <row r="602" ht="15" customHeight="1" s="130">
      <c r="A602">
        <f>IF('PUNCH LIST'!$W$59="X","PUNCH LIST","")</f>
        <v/>
      </c>
      <c r="B602">
        <f>IF('PUNCH LIST'!$W$59="X",'PUNCH LIST'!B59,"")</f>
        <v/>
      </c>
      <c r="D602">
        <f>IF('PUNCH LIST'!$W$59="X",'PUNCH LIST'!F59,"")</f>
        <v/>
      </c>
      <c r="E602">
        <f>IF('PUNCH LIST'!$W$59="X",'PUNCH LIST'!C59,"")</f>
        <v/>
      </c>
      <c r="F602">
        <f>IF('PUNCH LIST'!$W$59="X",'PUNCH LIST'!E59,"")</f>
        <v/>
      </c>
      <c r="G602">
        <f>IF('PUNCH LIST'!$W$59="X",'PUNCH LIST'!Q59,"")</f>
        <v/>
      </c>
      <c r="H602">
        <f>IF('PUNCH LIST'!$W$59="X","X","")</f>
        <v/>
      </c>
    </row>
    <row r="603" ht="15" customHeight="1" s="130">
      <c r="A603">
        <f>IF('PUNCH LIST'!$W$60="X","PUNCH LIST","")</f>
        <v/>
      </c>
      <c r="B603">
        <f>IF('PUNCH LIST'!$W$60="X",'PUNCH LIST'!B60,"")</f>
        <v/>
      </c>
      <c r="D603">
        <f>IF('PUNCH LIST'!$W$60="X",'PUNCH LIST'!F60,"")</f>
        <v/>
      </c>
      <c r="E603">
        <f>IF('PUNCH LIST'!$W$60="X",'PUNCH LIST'!C60,"")</f>
        <v/>
      </c>
      <c r="F603">
        <f>IF('PUNCH LIST'!$W$60="X",'PUNCH LIST'!E60,"")</f>
        <v/>
      </c>
      <c r="G603">
        <f>IF('PUNCH LIST'!$W$60="X",'PUNCH LIST'!Q60,"")</f>
        <v/>
      </c>
      <c r="H603">
        <f>IF('PUNCH LIST'!$W$60="X","X","")</f>
        <v/>
      </c>
    </row>
    <row r="604" ht="15" customHeight="1" s="130">
      <c r="A604">
        <f>IF('PUNCH LIST'!$W$61="X","PUNCH LIST","")</f>
        <v/>
      </c>
      <c r="B604">
        <f>IF('PUNCH LIST'!$W$61="X",'PUNCH LIST'!B61,"")</f>
        <v/>
      </c>
      <c r="D604">
        <f>IF('PUNCH LIST'!$W$61="X",'PUNCH LIST'!F61,"")</f>
        <v/>
      </c>
      <c r="E604">
        <f>IF('PUNCH LIST'!$W$61="X",'PUNCH LIST'!C61,"")</f>
        <v/>
      </c>
      <c r="F604">
        <f>IF('PUNCH LIST'!$W$61="X",'PUNCH LIST'!E61,"")</f>
        <v/>
      </c>
      <c r="G604">
        <f>IF('PUNCH LIST'!$W$61="X",'PUNCH LIST'!Q61,"")</f>
        <v/>
      </c>
      <c r="H604">
        <f>IF('PUNCH LIST'!$W$61="X","X","")</f>
        <v/>
      </c>
    </row>
    <row r="605" ht="15" customHeight="1" s="130">
      <c r="A605">
        <f>IF('PUNCH LIST'!$W$62="X","PUNCH LIST","")</f>
        <v/>
      </c>
      <c r="B605">
        <f>IF('PUNCH LIST'!$W$62="X",'PUNCH LIST'!B62,"")</f>
        <v/>
      </c>
      <c r="D605">
        <f>IF('PUNCH LIST'!$W$62="X",'PUNCH LIST'!F62,"")</f>
        <v/>
      </c>
      <c r="E605">
        <f>IF('PUNCH LIST'!$W$62="X",'PUNCH LIST'!C62,"")</f>
        <v/>
      </c>
      <c r="F605">
        <f>IF('PUNCH LIST'!$W$62="X",'PUNCH LIST'!E62,"")</f>
        <v/>
      </c>
      <c r="G605">
        <f>IF('PUNCH LIST'!$W$62="X",'PUNCH LIST'!Q62,"")</f>
        <v/>
      </c>
      <c r="H605">
        <f>IF('PUNCH LIST'!$W$62="X","X","")</f>
        <v/>
      </c>
    </row>
    <row r="606" ht="15" customHeight="1" s="130">
      <c r="A606">
        <f>IF('PUNCH LIST'!$W$63="X","PUNCH LIST","")</f>
        <v/>
      </c>
      <c r="B606">
        <f>IF('PUNCH LIST'!$W$63="X",'PUNCH LIST'!B63,"")</f>
        <v/>
      </c>
      <c r="D606">
        <f>IF('PUNCH LIST'!$W$63="X",'PUNCH LIST'!F63,"")</f>
        <v/>
      </c>
      <c r="E606">
        <f>IF('PUNCH LIST'!$W$63="X",'PUNCH LIST'!C63,"")</f>
        <v/>
      </c>
      <c r="F606">
        <f>IF('PUNCH LIST'!$W$63="X",'PUNCH LIST'!E63,"")</f>
        <v/>
      </c>
      <c r="G606">
        <f>IF('PUNCH LIST'!$W$63="X",'PUNCH LIST'!Q63,"")</f>
        <v/>
      </c>
      <c r="H606">
        <f>IF('PUNCH LIST'!$W$63="X","X","")</f>
        <v/>
      </c>
    </row>
    <row r="607" ht="15" customHeight="1" s="130">
      <c r="A607">
        <f>IF('PUNCH LIST'!$W$64="X","PUNCH LIST","")</f>
        <v/>
      </c>
      <c r="B607">
        <f>IF('PUNCH LIST'!$W$64="X",'PUNCH LIST'!B64,"")</f>
        <v/>
      </c>
      <c r="D607">
        <f>IF('PUNCH LIST'!$W$64="X",'PUNCH LIST'!F64,"")</f>
        <v/>
      </c>
      <c r="E607">
        <f>IF('PUNCH LIST'!$W$64="X",'PUNCH LIST'!C64,"")</f>
        <v/>
      </c>
      <c r="F607">
        <f>IF('PUNCH LIST'!$W$64="X",'PUNCH LIST'!E64,"")</f>
        <v/>
      </c>
      <c r="G607">
        <f>IF('PUNCH LIST'!$W$64="X",'PUNCH LIST'!Q64,"")</f>
        <v/>
      </c>
      <c r="H607">
        <f>IF('PUNCH LIST'!$W$64="X","X","")</f>
        <v/>
      </c>
    </row>
    <row r="608" ht="15" customHeight="1" s="130">
      <c r="A608">
        <f>IF('PUNCH LIST'!$W$65="X","PUNCH LIST","")</f>
        <v/>
      </c>
      <c r="B608">
        <f>IF('PUNCH LIST'!$W$65="X",'PUNCH LIST'!B65,"")</f>
        <v/>
      </c>
      <c r="D608">
        <f>IF('PUNCH LIST'!$W$65="X",'PUNCH LIST'!F65,"")</f>
        <v/>
      </c>
      <c r="E608">
        <f>IF('PUNCH LIST'!$W$65="X",'PUNCH LIST'!C65,"")</f>
        <v/>
      </c>
      <c r="F608">
        <f>IF('PUNCH LIST'!$W$65="X",'PUNCH LIST'!E65,"")</f>
        <v/>
      </c>
      <c r="G608">
        <f>IF('PUNCH LIST'!$W$65="X",'PUNCH LIST'!Q65,"")</f>
        <v/>
      </c>
      <c r="H608">
        <f>IF('PUNCH LIST'!$W$65="X","X","")</f>
        <v/>
      </c>
    </row>
    <row r="609" ht="15" customHeight="1" s="130">
      <c r="A609">
        <f>IF('PUNCH LIST'!$W$66="X","PUNCH LIST","")</f>
        <v/>
      </c>
      <c r="B609">
        <f>IF('PUNCH LIST'!$W$66="X",'PUNCH LIST'!B66,"")</f>
        <v/>
      </c>
      <c r="D609">
        <f>IF('PUNCH LIST'!$W$66="X",'PUNCH LIST'!F66,"")</f>
        <v/>
      </c>
      <c r="E609">
        <f>IF('PUNCH LIST'!$W$66="X",'PUNCH LIST'!C66,"")</f>
        <v/>
      </c>
      <c r="F609">
        <f>IF('PUNCH LIST'!$W$66="X",'PUNCH LIST'!E66,"")</f>
        <v/>
      </c>
      <c r="G609">
        <f>IF('PUNCH LIST'!$W$66="X",'PUNCH LIST'!Q66,"")</f>
        <v/>
      </c>
      <c r="H609">
        <f>IF('PUNCH LIST'!$W$66="X","X","")</f>
        <v/>
      </c>
    </row>
    <row r="610" ht="15" customHeight="1" s="130">
      <c r="A610">
        <f>IF('PUNCH LIST'!$W$67="X","PUNCH LIST","")</f>
        <v/>
      </c>
      <c r="B610">
        <f>IF('PUNCH LIST'!$W$67="X",'PUNCH LIST'!B67,"")</f>
        <v/>
      </c>
      <c r="D610">
        <f>IF('PUNCH LIST'!$W$67="X",'PUNCH LIST'!F67,"")</f>
        <v/>
      </c>
      <c r="E610">
        <f>IF('PUNCH LIST'!$W$67="X",'PUNCH LIST'!C67,"")</f>
        <v/>
      </c>
      <c r="F610">
        <f>IF('PUNCH LIST'!$W$67="X",'PUNCH LIST'!E67,"")</f>
        <v/>
      </c>
      <c r="G610">
        <f>IF('PUNCH LIST'!$W$67="X",'PUNCH LIST'!Q67,"")</f>
        <v/>
      </c>
      <c r="H610">
        <f>IF('PUNCH LIST'!$W$67="X","X","")</f>
        <v/>
      </c>
    </row>
    <row r="611" ht="15" customHeight="1" s="130">
      <c r="A611">
        <f>IF('PUNCH LIST'!$W$68="X","PUNCH LIST","")</f>
        <v/>
      </c>
      <c r="B611">
        <f>IF('PUNCH LIST'!$W$68="X",'PUNCH LIST'!B68,"")</f>
        <v/>
      </c>
      <c r="D611">
        <f>IF('PUNCH LIST'!$W$68="X",'PUNCH LIST'!F68,"")</f>
        <v/>
      </c>
      <c r="E611">
        <f>IF('PUNCH LIST'!$W$68="X",'PUNCH LIST'!C68,"")</f>
        <v/>
      </c>
      <c r="F611">
        <f>IF('PUNCH LIST'!$W$68="X",'PUNCH LIST'!E68,"")</f>
        <v/>
      </c>
      <c r="G611">
        <f>IF('PUNCH LIST'!$W$68="X",'PUNCH LIST'!Q68,"")</f>
        <v/>
      </c>
      <c r="H611">
        <f>IF('PUNCH LIST'!$W$68="X","X","")</f>
        <v/>
      </c>
    </row>
    <row r="612" ht="15" customHeight="1" s="130">
      <c r="A612">
        <f>IF('PUNCH LIST'!$W$69="X","PUNCH LIST","")</f>
        <v/>
      </c>
      <c r="B612">
        <f>IF('PUNCH LIST'!$W$69="X",'PUNCH LIST'!B69,"")</f>
        <v/>
      </c>
      <c r="D612">
        <f>IF('PUNCH LIST'!$W$69="X",'PUNCH LIST'!F69,"")</f>
        <v/>
      </c>
      <c r="E612">
        <f>IF('PUNCH LIST'!$W$69="X",'PUNCH LIST'!C69,"")</f>
        <v/>
      </c>
      <c r="F612">
        <f>IF('PUNCH LIST'!$W$69="X",'PUNCH LIST'!E69,"")</f>
        <v/>
      </c>
      <c r="G612">
        <f>IF('PUNCH LIST'!$W$69="X",'PUNCH LIST'!Q69,"")</f>
        <v/>
      </c>
      <c r="H612">
        <f>IF('PUNCH LIST'!$W$69="X","X","")</f>
        <v/>
      </c>
    </row>
    <row r="613" ht="15" customHeight="1" s="130">
      <c r="A613">
        <f>IF('PUNCH LIST'!$W$70="X","PUNCH LIST","")</f>
        <v/>
      </c>
      <c r="B613">
        <f>IF('PUNCH LIST'!$W$70="X",'PUNCH LIST'!B70,"")</f>
        <v/>
      </c>
      <c r="D613">
        <f>IF('PUNCH LIST'!$W$70="X",'PUNCH LIST'!F70,"")</f>
        <v/>
      </c>
      <c r="E613">
        <f>IF('PUNCH LIST'!$W$70="X",'PUNCH LIST'!C70,"")</f>
        <v/>
      </c>
      <c r="F613">
        <f>IF('PUNCH LIST'!$W$70="X",'PUNCH LIST'!E70,"")</f>
        <v/>
      </c>
      <c r="G613">
        <f>IF('PUNCH LIST'!$W$70="X",'PUNCH LIST'!Q70,"")</f>
        <v/>
      </c>
      <c r="H613">
        <f>IF('PUNCH LIST'!$W$70="X","X","")</f>
        <v/>
      </c>
    </row>
    <row r="614" ht="15" customHeight="1" s="130">
      <c r="A614">
        <f>IF('PUNCH LIST'!$W$71="X","PUNCH LIST","")</f>
        <v/>
      </c>
      <c r="B614">
        <f>IF('PUNCH LIST'!$W$71="X",'PUNCH LIST'!B71,"")</f>
        <v/>
      </c>
      <c r="D614">
        <f>IF('PUNCH LIST'!$W$71="X",'PUNCH LIST'!F71,"")</f>
        <v/>
      </c>
      <c r="E614">
        <f>IF('PUNCH LIST'!$W$71="X",'PUNCH LIST'!C71,"")</f>
        <v/>
      </c>
      <c r="F614">
        <f>IF('PUNCH LIST'!$W$71="X",'PUNCH LIST'!E71,"")</f>
        <v/>
      </c>
      <c r="G614">
        <f>IF('PUNCH LIST'!$W$71="X",'PUNCH LIST'!Q71,"")</f>
        <v/>
      </c>
      <c r="H614">
        <f>IF('PUNCH LIST'!$W$71="X","X","")</f>
        <v/>
      </c>
    </row>
    <row r="615" ht="15" customHeight="1" s="130">
      <c r="A615">
        <f>IF('PUNCH LIST'!$W$72="X","PUNCH LIST","")</f>
        <v/>
      </c>
      <c r="B615">
        <f>IF('PUNCH LIST'!$W$72="X",'PUNCH LIST'!B72,"")</f>
        <v/>
      </c>
      <c r="D615">
        <f>IF('PUNCH LIST'!$W$72="X",'PUNCH LIST'!F72,"")</f>
        <v/>
      </c>
      <c r="E615">
        <f>IF('PUNCH LIST'!$W$72="X",'PUNCH LIST'!C72,"")</f>
        <v/>
      </c>
      <c r="F615">
        <f>IF('PUNCH LIST'!$W$72="X",'PUNCH LIST'!E72,"")</f>
        <v/>
      </c>
      <c r="G615">
        <f>IF('PUNCH LIST'!$W$72="X",'PUNCH LIST'!Q72,"")</f>
        <v/>
      </c>
      <c r="H615">
        <f>IF('PUNCH LIST'!$W$72="X","X","")</f>
        <v/>
      </c>
    </row>
    <row r="616" ht="15" customHeight="1" s="130">
      <c r="A616">
        <f>IF('PUNCH LIST'!$W$73="X","PUNCH LIST","")</f>
        <v/>
      </c>
      <c r="B616">
        <f>IF('PUNCH LIST'!$W$73="X",'PUNCH LIST'!B73,"")</f>
        <v/>
      </c>
      <c r="D616">
        <f>IF('PUNCH LIST'!$W$73="X",'PUNCH LIST'!F73,"")</f>
        <v/>
      </c>
      <c r="E616">
        <f>IF('PUNCH LIST'!$W$73="X",'PUNCH LIST'!C73,"")</f>
        <v/>
      </c>
      <c r="F616">
        <f>IF('PUNCH LIST'!$W$73="X",'PUNCH LIST'!E73,"")</f>
        <v/>
      </c>
      <c r="G616">
        <f>IF('PUNCH LIST'!$W$73="X",'PUNCH LIST'!Q73,"")</f>
        <v/>
      </c>
      <c r="H616">
        <f>IF('PUNCH LIST'!$W$73="X","X","")</f>
        <v/>
      </c>
    </row>
    <row r="617" ht="15" customHeight="1" s="130">
      <c r="A617">
        <f>IF('PUNCH LIST'!$W$74="X","PUNCH LIST","")</f>
        <v/>
      </c>
      <c r="B617">
        <f>IF('PUNCH LIST'!$W$74="X",'PUNCH LIST'!B74,"")</f>
        <v/>
      </c>
      <c r="D617">
        <f>IF('PUNCH LIST'!$W$74="X",'PUNCH LIST'!F74,"")</f>
        <v/>
      </c>
      <c r="E617">
        <f>IF('PUNCH LIST'!$W$74="X",'PUNCH LIST'!C74,"")</f>
        <v/>
      </c>
      <c r="F617">
        <f>IF('PUNCH LIST'!$W$74="X",'PUNCH LIST'!E74,"")</f>
        <v/>
      </c>
      <c r="G617">
        <f>IF('PUNCH LIST'!$W$74="X",'PUNCH LIST'!Q74,"")</f>
        <v/>
      </c>
      <c r="H617">
        <f>IF('PUNCH LIST'!$W$74="X","X","")</f>
        <v/>
      </c>
    </row>
    <row r="618" ht="15" customHeight="1" s="130">
      <c r="A618">
        <f>IF('PUNCH LIST'!$W$75="X","PUNCH LIST","")</f>
        <v/>
      </c>
      <c r="B618">
        <f>IF('PUNCH LIST'!$W$75="X",'PUNCH LIST'!B75,"")</f>
        <v/>
      </c>
      <c r="D618">
        <f>IF('PUNCH LIST'!$W$75="X",'PUNCH LIST'!F75,"")</f>
        <v/>
      </c>
      <c r="E618">
        <f>IF('PUNCH LIST'!$W$75="X",'PUNCH LIST'!C75,"")</f>
        <v/>
      </c>
      <c r="F618">
        <f>IF('PUNCH LIST'!$W$75="X",'PUNCH LIST'!E75,"")</f>
        <v/>
      </c>
      <c r="G618">
        <f>IF('PUNCH LIST'!$W$75="X",'PUNCH LIST'!Q75,"")</f>
        <v/>
      </c>
      <c r="H618">
        <f>IF('PUNCH LIST'!$W$75="X","X","")</f>
        <v/>
      </c>
    </row>
    <row r="619" ht="15" customHeight="1" s="130">
      <c r="A619">
        <f>IF('PUNCH LIST'!$W$76="X","PUNCH LIST","")</f>
        <v/>
      </c>
      <c r="B619">
        <f>IF('PUNCH LIST'!$W$76="X",'PUNCH LIST'!B76,"")</f>
        <v/>
      </c>
      <c r="D619">
        <f>IF('PUNCH LIST'!$W$76="X",'PUNCH LIST'!F76,"")</f>
        <v/>
      </c>
      <c r="E619">
        <f>IF('PUNCH LIST'!$W$76="X",'PUNCH LIST'!C76,"")</f>
        <v/>
      </c>
      <c r="F619">
        <f>IF('PUNCH LIST'!$W$76="X",'PUNCH LIST'!E76,"")</f>
        <v/>
      </c>
      <c r="G619">
        <f>IF('PUNCH LIST'!$W$76="X",'PUNCH LIST'!Q76,"")</f>
        <v/>
      </c>
      <c r="H619">
        <f>IF('PUNCH LIST'!$W$76="X","X","")</f>
        <v/>
      </c>
    </row>
    <row r="620" ht="15" customHeight="1" s="130">
      <c r="A620">
        <f>IF('PUNCH LIST'!$W$77="X","PUNCH LIST","")</f>
        <v/>
      </c>
      <c r="B620">
        <f>IF('PUNCH LIST'!$W$77="X",'PUNCH LIST'!B77,"")</f>
        <v/>
      </c>
      <c r="D620">
        <f>IF('PUNCH LIST'!$W$77="X",'PUNCH LIST'!F77,"")</f>
        <v/>
      </c>
      <c r="E620">
        <f>IF('PUNCH LIST'!$W$77="X",'PUNCH LIST'!C77,"")</f>
        <v/>
      </c>
      <c r="F620">
        <f>IF('PUNCH LIST'!$W$77="X",'PUNCH LIST'!E77,"")</f>
        <v/>
      </c>
      <c r="G620">
        <f>IF('PUNCH LIST'!$W$77="X",'PUNCH LIST'!Q77,"")</f>
        <v/>
      </c>
      <c r="H620">
        <f>IF('PUNCH LIST'!$W$77="X","X","")</f>
        <v/>
      </c>
    </row>
    <row r="621" ht="15" customHeight="1" s="130">
      <c r="A621">
        <f>IF('PUNCH LIST'!$W$78="X","PUNCH LIST","")</f>
        <v/>
      </c>
      <c r="B621">
        <f>IF('PUNCH LIST'!$W$78="X",'PUNCH LIST'!B78,"")</f>
        <v/>
      </c>
      <c r="D621">
        <f>IF('PUNCH LIST'!$W$78="X",'PUNCH LIST'!F78,"")</f>
        <v/>
      </c>
      <c r="E621">
        <f>IF('PUNCH LIST'!$W$78="X",'PUNCH LIST'!C78,"")</f>
        <v/>
      </c>
      <c r="F621">
        <f>IF('PUNCH LIST'!$W$78="X",'PUNCH LIST'!E78,"")</f>
        <v/>
      </c>
      <c r="G621">
        <f>IF('PUNCH LIST'!$W$78="X",'PUNCH LIST'!Q78,"")</f>
        <v/>
      </c>
      <c r="H621">
        <f>IF('PUNCH LIST'!$W$78="X","X","")</f>
        <v/>
      </c>
    </row>
    <row r="622" ht="15" customHeight="1" s="130">
      <c r="A622">
        <f>IF('PUNCH LIST'!$W$79="X","PUNCH LIST","")</f>
        <v/>
      </c>
      <c r="B622">
        <f>IF('PUNCH LIST'!$W$79="X",'PUNCH LIST'!B79,"")</f>
        <v/>
      </c>
      <c r="D622">
        <f>IF('PUNCH LIST'!$W$79="X",'PUNCH LIST'!F79,"")</f>
        <v/>
      </c>
      <c r="E622">
        <f>IF('PUNCH LIST'!$W$79="X",'PUNCH LIST'!C79,"")</f>
        <v/>
      </c>
      <c r="F622">
        <f>IF('PUNCH LIST'!$W$79="X",'PUNCH LIST'!E79,"")</f>
        <v/>
      </c>
      <c r="G622">
        <f>IF('PUNCH LIST'!$W$79="X",'PUNCH LIST'!Q79,"")</f>
        <v/>
      </c>
      <c r="H622">
        <f>IF('PUNCH LIST'!$W$79="X","X","")</f>
        <v/>
      </c>
    </row>
    <row r="623" ht="15" customHeight="1" s="130">
      <c r="A623">
        <f>IF('PUNCH LIST'!$W$80="X","PUNCH LIST","")</f>
        <v/>
      </c>
      <c r="B623">
        <f>IF('PUNCH LIST'!$W$80="X",'PUNCH LIST'!B80,"")</f>
        <v/>
      </c>
      <c r="D623">
        <f>IF('PUNCH LIST'!$W$80="X",'PUNCH LIST'!F80,"")</f>
        <v/>
      </c>
      <c r="E623">
        <f>IF('PUNCH LIST'!$W$80="X",'PUNCH LIST'!C80,"")</f>
        <v/>
      </c>
      <c r="F623">
        <f>IF('PUNCH LIST'!$W$80="X",'PUNCH LIST'!E80,"")</f>
        <v/>
      </c>
      <c r="G623">
        <f>IF('PUNCH LIST'!$W$80="X",'PUNCH LIST'!Q80,"")</f>
        <v/>
      </c>
      <c r="H623">
        <f>IF('PUNCH LIST'!$W$80="X","X","")</f>
        <v/>
      </c>
    </row>
    <row r="624" ht="15" customHeight="1" s="130">
      <c r="A624">
        <f>IF('PUNCH LIST'!$W$81="X","PUNCH LIST","")</f>
        <v/>
      </c>
      <c r="B624">
        <f>IF('PUNCH LIST'!$W$81="X",'PUNCH LIST'!B81,"")</f>
        <v/>
      </c>
      <c r="D624">
        <f>IF('PUNCH LIST'!$W$81="X",'PUNCH LIST'!F81,"")</f>
        <v/>
      </c>
      <c r="E624">
        <f>IF('PUNCH LIST'!$W$81="X",'PUNCH LIST'!C81,"")</f>
        <v/>
      </c>
      <c r="F624">
        <f>IF('PUNCH LIST'!$W$81="X",'PUNCH LIST'!E81,"")</f>
        <v/>
      </c>
      <c r="G624">
        <f>IF('PUNCH LIST'!$W$81="X",'PUNCH LIST'!Q81,"")</f>
        <v/>
      </c>
      <c r="H624">
        <f>IF('PUNCH LIST'!$W$81="X","X","")</f>
        <v/>
      </c>
    </row>
    <row r="625" ht="15" customHeight="1" s="130">
      <c r="A625">
        <f>IF('PUNCH LIST'!$W$82="X","PUNCH LIST","")</f>
        <v/>
      </c>
      <c r="B625">
        <f>IF('PUNCH LIST'!$W$82="X",'PUNCH LIST'!B82,"")</f>
        <v/>
      </c>
      <c r="D625">
        <f>IF('PUNCH LIST'!$W$82="X",'PUNCH LIST'!F82,"")</f>
        <v/>
      </c>
      <c r="E625">
        <f>IF('PUNCH LIST'!$W$82="X",'PUNCH LIST'!C82,"")</f>
        <v/>
      </c>
      <c r="F625">
        <f>IF('PUNCH LIST'!$W$82="X",'PUNCH LIST'!E82,"")</f>
        <v/>
      </c>
      <c r="G625">
        <f>IF('PUNCH LIST'!$W$82="X",'PUNCH LIST'!Q82,"")</f>
        <v/>
      </c>
      <c r="H625">
        <f>IF('PUNCH LIST'!$W$82="X","X","")</f>
        <v/>
      </c>
    </row>
    <row r="626" ht="15" customHeight="1" s="130">
      <c r="A626">
        <f>IF('PUNCH LIST'!$W$83="X","PUNCH LIST","")</f>
        <v/>
      </c>
      <c r="B626">
        <f>IF('PUNCH LIST'!$W$83="X",'PUNCH LIST'!B83,"")</f>
        <v/>
      </c>
      <c r="D626">
        <f>IF('PUNCH LIST'!$W$83="X",'PUNCH LIST'!F83,"")</f>
        <v/>
      </c>
      <c r="E626">
        <f>IF('PUNCH LIST'!$W$83="X",'PUNCH LIST'!C83,"")</f>
        <v/>
      </c>
      <c r="F626">
        <f>IF('PUNCH LIST'!$W$83="X",'PUNCH LIST'!E83,"")</f>
        <v/>
      </c>
      <c r="G626">
        <f>IF('PUNCH LIST'!$W$83="X",'PUNCH LIST'!Q83,"")</f>
        <v/>
      </c>
      <c r="H626">
        <f>IF('PUNCH LIST'!$W$83="X","X","")</f>
        <v/>
      </c>
    </row>
    <row r="627" ht="15" customHeight="1" s="130">
      <c r="A627">
        <f>IF('PUNCH LIST'!$W$84="X","PUNCH LIST","")</f>
        <v/>
      </c>
      <c r="B627">
        <f>IF('PUNCH LIST'!$W$84="X",'PUNCH LIST'!B84,"")</f>
        <v/>
      </c>
      <c r="D627">
        <f>IF('PUNCH LIST'!$W$84="X",'PUNCH LIST'!F84,"")</f>
        <v/>
      </c>
      <c r="E627">
        <f>IF('PUNCH LIST'!$W$84="X",'PUNCH LIST'!C84,"")</f>
        <v/>
      </c>
      <c r="F627">
        <f>IF('PUNCH LIST'!$W$84="X",'PUNCH LIST'!E84,"")</f>
        <v/>
      </c>
      <c r="G627">
        <f>IF('PUNCH LIST'!$W$84="X",'PUNCH LIST'!Q84,"")</f>
        <v/>
      </c>
      <c r="H627">
        <f>IF('PUNCH LIST'!$W$84="X","X","")</f>
        <v/>
      </c>
    </row>
    <row r="628" ht="15" customHeight="1" s="130">
      <c r="A628">
        <f>IF('PUNCH LIST'!$W$85="X","PUNCH LIST","")</f>
        <v/>
      </c>
      <c r="B628">
        <f>IF('PUNCH LIST'!$W$85="X",'PUNCH LIST'!B85,"")</f>
        <v/>
      </c>
      <c r="D628">
        <f>IF('PUNCH LIST'!$W$85="X",'PUNCH LIST'!F85,"")</f>
        <v/>
      </c>
      <c r="E628">
        <f>IF('PUNCH LIST'!$W$85="X",'PUNCH LIST'!C85,"")</f>
        <v/>
      </c>
      <c r="F628">
        <f>IF('PUNCH LIST'!$W$85="X",'PUNCH LIST'!E85,"")</f>
        <v/>
      </c>
      <c r="G628">
        <f>IF('PUNCH LIST'!$W$85="X",'PUNCH LIST'!Q85,"")</f>
        <v/>
      </c>
      <c r="H628">
        <f>IF('PUNCH LIST'!$W$85="X","X","")</f>
        <v/>
      </c>
    </row>
    <row r="629" ht="15" customHeight="1" s="130">
      <c r="A629">
        <f>IF('PUNCH LIST'!$W$86="X","PUNCH LIST","")</f>
        <v/>
      </c>
      <c r="B629">
        <f>IF('PUNCH LIST'!$W$86="X",'PUNCH LIST'!B86,"")</f>
        <v/>
      </c>
      <c r="D629">
        <f>IF('PUNCH LIST'!$W$86="X",'PUNCH LIST'!F86,"")</f>
        <v/>
      </c>
      <c r="E629">
        <f>IF('PUNCH LIST'!$W$86="X",'PUNCH LIST'!C86,"")</f>
        <v/>
      </c>
      <c r="F629">
        <f>IF('PUNCH LIST'!$W$86="X",'PUNCH LIST'!E86,"")</f>
        <v/>
      </c>
      <c r="G629">
        <f>IF('PUNCH LIST'!$W$86="X",'PUNCH LIST'!Q86,"")</f>
        <v/>
      </c>
      <c r="H629">
        <f>IF('PUNCH LIST'!$W$86="X","X","")</f>
        <v/>
      </c>
    </row>
    <row r="630" ht="15" customHeight="1" s="130">
      <c r="A630">
        <f>IF('PUNCH LIST'!$W$87="X","PUNCH LIST","")</f>
        <v/>
      </c>
      <c r="B630">
        <f>IF('PUNCH LIST'!$W$87="X",'PUNCH LIST'!B87,"")</f>
        <v/>
      </c>
      <c r="D630">
        <f>IF('PUNCH LIST'!$W$87="X",'PUNCH LIST'!F87,"")</f>
        <v/>
      </c>
      <c r="E630">
        <f>IF('PUNCH LIST'!$W$87="X",'PUNCH LIST'!C87,"")</f>
        <v/>
      </c>
      <c r="F630">
        <f>IF('PUNCH LIST'!$W$87="X",'PUNCH LIST'!E87,"")</f>
        <v/>
      </c>
      <c r="G630">
        <f>IF('PUNCH LIST'!$W$87="X",'PUNCH LIST'!Q87,"")</f>
        <v/>
      </c>
      <c r="H630">
        <f>IF('PUNCH LIST'!$W$87="X","X","")</f>
        <v/>
      </c>
    </row>
    <row r="631" ht="15" customHeight="1" s="130">
      <c r="A631">
        <f>IF('PUNCH LIST'!$W$88="X","PUNCH LIST","")</f>
        <v/>
      </c>
      <c r="B631">
        <f>IF('PUNCH LIST'!$W$88="X",'PUNCH LIST'!B88,"")</f>
        <v/>
      </c>
      <c r="D631">
        <f>IF('PUNCH LIST'!$W$88="X",'PUNCH LIST'!F88,"")</f>
        <v/>
      </c>
      <c r="E631">
        <f>IF('PUNCH LIST'!$W$88="X",'PUNCH LIST'!C88,"")</f>
        <v/>
      </c>
      <c r="F631">
        <f>IF('PUNCH LIST'!$W$88="X",'PUNCH LIST'!E88,"")</f>
        <v/>
      </c>
      <c r="G631">
        <f>IF('PUNCH LIST'!$W$88="X",'PUNCH LIST'!Q88,"")</f>
        <v/>
      </c>
      <c r="H631">
        <f>IF('PUNCH LIST'!$W$88="X","X","")</f>
        <v/>
      </c>
    </row>
    <row r="632" ht="15" customHeight="1" s="130">
      <c r="A632">
        <f>IF('PUNCH LIST'!$W$89="X","PUNCH LIST","")</f>
        <v/>
      </c>
      <c r="B632">
        <f>IF('PUNCH LIST'!$W$89="X",'PUNCH LIST'!B89,"")</f>
        <v/>
      </c>
      <c r="D632">
        <f>IF('PUNCH LIST'!$W$89="X",'PUNCH LIST'!F89,"")</f>
        <v/>
      </c>
      <c r="E632">
        <f>IF('PUNCH LIST'!$W$89="X",'PUNCH LIST'!C89,"")</f>
        <v/>
      </c>
      <c r="F632">
        <f>IF('PUNCH LIST'!$W$89="X",'PUNCH LIST'!E89,"")</f>
        <v/>
      </c>
      <c r="G632">
        <f>IF('PUNCH LIST'!$W$89="X",'PUNCH LIST'!Q89,"")</f>
        <v/>
      </c>
      <c r="H632">
        <f>IF('PUNCH LIST'!$W$89="X","X","")</f>
        <v/>
      </c>
    </row>
    <row r="633" ht="15" customHeight="1" s="130">
      <c r="A633">
        <f>IF('PUNCH LIST'!$W$90="X","PUNCH LIST","")</f>
        <v/>
      </c>
      <c r="B633">
        <f>IF('PUNCH LIST'!$W$90="X",'PUNCH LIST'!B90,"")</f>
        <v/>
      </c>
      <c r="D633">
        <f>IF('PUNCH LIST'!$W$90="X",'PUNCH LIST'!F90,"")</f>
        <v/>
      </c>
      <c r="E633">
        <f>IF('PUNCH LIST'!$W$90="X",'PUNCH LIST'!C90,"")</f>
        <v/>
      </c>
      <c r="F633">
        <f>IF('PUNCH LIST'!$W$90="X",'PUNCH LIST'!E90,"")</f>
        <v/>
      </c>
      <c r="G633">
        <f>IF('PUNCH LIST'!$W$90="X",'PUNCH LIST'!Q90,"")</f>
        <v/>
      </c>
      <c r="H633">
        <f>IF('PUNCH LIST'!$W$90="X","X","")</f>
        <v/>
      </c>
    </row>
    <row r="634" ht="15" customHeight="1" s="130">
      <c r="A634">
        <f>IF('PUNCH LIST'!$W$91="X","PUNCH LIST","")</f>
        <v/>
      </c>
      <c r="B634">
        <f>IF('PUNCH LIST'!$W$91="X",'PUNCH LIST'!B91,"")</f>
        <v/>
      </c>
      <c r="D634">
        <f>IF('PUNCH LIST'!$W$91="X",'PUNCH LIST'!F91,"")</f>
        <v/>
      </c>
      <c r="E634">
        <f>IF('PUNCH LIST'!$W$91="X",'PUNCH LIST'!C91,"")</f>
        <v/>
      </c>
      <c r="F634">
        <f>IF('PUNCH LIST'!$W$91="X",'PUNCH LIST'!E91,"")</f>
        <v/>
      </c>
      <c r="G634">
        <f>IF('PUNCH LIST'!$W$91="X",'PUNCH LIST'!Q91,"")</f>
        <v/>
      </c>
      <c r="H634">
        <f>IF('PUNCH LIST'!$W$91="X","X","")</f>
        <v/>
      </c>
    </row>
    <row r="635" ht="15" customHeight="1" s="130">
      <c r="A635">
        <f>IF('PUNCH LIST'!$W$92="X","PUNCH LIST","")</f>
        <v/>
      </c>
      <c r="B635">
        <f>IF('PUNCH LIST'!$W$92="X",'PUNCH LIST'!B92,"")</f>
        <v/>
      </c>
      <c r="D635">
        <f>IF('PUNCH LIST'!$W$92="X",'PUNCH LIST'!F92,"")</f>
        <v/>
      </c>
      <c r="E635">
        <f>IF('PUNCH LIST'!$W$92="X",'PUNCH LIST'!C92,"")</f>
        <v/>
      </c>
      <c r="F635">
        <f>IF('PUNCH LIST'!$W$92="X",'PUNCH LIST'!E92,"")</f>
        <v/>
      </c>
      <c r="G635">
        <f>IF('PUNCH LIST'!$W$92="X",'PUNCH LIST'!Q92,"")</f>
        <v/>
      </c>
      <c r="H635">
        <f>IF('PUNCH LIST'!$W$92="X","X","")</f>
        <v/>
      </c>
    </row>
    <row r="636" ht="15" customHeight="1" s="130">
      <c r="A636">
        <f>IF('PUNCH LIST'!$W$93="X","PUNCH LIST","")</f>
        <v/>
      </c>
      <c r="B636">
        <f>IF('PUNCH LIST'!$W$93="X",'PUNCH LIST'!B93,"")</f>
        <v/>
      </c>
      <c r="D636">
        <f>IF('PUNCH LIST'!$W$93="X",'PUNCH LIST'!F93,"")</f>
        <v/>
      </c>
      <c r="E636">
        <f>IF('PUNCH LIST'!$W$93="X",'PUNCH LIST'!C93,"")</f>
        <v/>
      </c>
      <c r="F636">
        <f>IF('PUNCH LIST'!$W$93="X",'PUNCH LIST'!E93,"")</f>
        <v/>
      </c>
      <c r="G636">
        <f>IF('PUNCH LIST'!$W$93="X",'PUNCH LIST'!Q93,"")</f>
        <v/>
      </c>
      <c r="H636">
        <f>IF('PUNCH LIST'!$W$93="X","X","")</f>
        <v/>
      </c>
    </row>
    <row r="637" ht="15" customHeight="1" s="130">
      <c r="A637">
        <f>IF('PUNCH LIST'!$W$94="X","PUNCH LIST","")</f>
        <v/>
      </c>
      <c r="B637">
        <f>IF('PUNCH LIST'!$W$94="X",'PUNCH LIST'!B94,"")</f>
        <v/>
      </c>
      <c r="D637">
        <f>IF('PUNCH LIST'!$W$94="X",'PUNCH LIST'!F94,"")</f>
        <v/>
      </c>
      <c r="E637">
        <f>IF('PUNCH LIST'!$W$94="X",'PUNCH LIST'!C94,"")</f>
        <v/>
      </c>
      <c r="F637">
        <f>IF('PUNCH LIST'!$W$94="X",'PUNCH LIST'!E94,"")</f>
        <v/>
      </c>
      <c r="G637">
        <f>IF('PUNCH LIST'!$W$94="X",'PUNCH LIST'!Q94,"")</f>
        <v/>
      </c>
      <c r="H637">
        <f>IF('PUNCH LIST'!$W$94="X","X","")</f>
        <v/>
      </c>
    </row>
    <row r="638" ht="15" customHeight="1" s="130">
      <c r="A638">
        <f>IF('PUNCH LIST'!$W$95="X","PUNCH LIST","")</f>
        <v/>
      </c>
      <c r="B638">
        <f>IF('PUNCH LIST'!$W$95="X",'PUNCH LIST'!B95,"")</f>
        <v/>
      </c>
      <c r="D638">
        <f>IF('PUNCH LIST'!$W$95="X",'PUNCH LIST'!F95,"")</f>
        <v/>
      </c>
      <c r="E638">
        <f>IF('PUNCH LIST'!$W$95="X",'PUNCH LIST'!C95,"")</f>
        <v/>
      </c>
      <c r="F638">
        <f>IF('PUNCH LIST'!$W$95="X",'PUNCH LIST'!E95,"")</f>
        <v/>
      </c>
      <c r="G638">
        <f>IF('PUNCH LIST'!$W$95="X",'PUNCH LIST'!Q95,"")</f>
        <v/>
      </c>
      <c r="H638">
        <f>IF('PUNCH LIST'!$W$95="X","X","")</f>
        <v/>
      </c>
    </row>
    <row r="639" ht="15" customHeight="1" s="130">
      <c r="A639">
        <f>IF('PUNCH LIST'!$W$96="X","PUNCH LIST","")</f>
        <v/>
      </c>
      <c r="B639">
        <f>IF('PUNCH LIST'!$W$96="X",'PUNCH LIST'!B96,"")</f>
        <v/>
      </c>
      <c r="D639">
        <f>IF('PUNCH LIST'!$W$96="X",'PUNCH LIST'!F96,"")</f>
        <v/>
      </c>
      <c r="E639">
        <f>IF('PUNCH LIST'!$W$96="X",'PUNCH LIST'!C96,"")</f>
        <v/>
      </c>
      <c r="F639">
        <f>IF('PUNCH LIST'!$W$96="X",'PUNCH LIST'!E96,"")</f>
        <v/>
      </c>
      <c r="G639">
        <f>IF('PUNCH LIST'!$W$96="X",'PUNCH LIST'!Q96,"")</f>
        <v/>
      </c>
      <c r="H639">
        <f>IF('PUNCH LIST'!$W$96="X","X","")</f>
        <v/>
      </c>
    </row>
    <row r="640" ht="15" customHeight="1" s="130">
      <c r="A640">
        <f>IF('PUNCH LIST'!$W$97="X","PUNCH LIST","")</f>
        <v/>
      </c>
      <c r="B640">
        <f>IF('PUNCH LIST'!$W$97="X",'PUNCH LIST'!B97,"")</f>
        <v/>
      </c>
      <c r="D640">
        <f>IF('PUNCH LIST'!$W$97="X",'PUNCH LIST'!F97,"")</f>
        <v/>
      </c>
      <c r="E640">
        <f>IF('PUNCH LIST'!$W$97="X",'PUNCH LIST'!C97,"")</f>
        <v/>
      </c>
      <c r="F640">
        <f>IF('PUNCH LIST'!$W$97="X",'PUNCH LIST'!E97,"")</f>
        <v/>
      </c>
      <c r="G640">
        <f>IF('PUNCH LIST'!$W$97="X",'PUNCH LIST'!Q97,"")</f>
        <v/>
      </c>
      <c r="H640">
        <f>IF('PUNCH LIST'!$W$97="X","X","")</f>
        <v/>
      </c>
    </row>
    <row r="641" ht="15" customHeight="1" s="130">
      <c r="A641">
        <f>IF('PUNCH LIST'!$W$98="X","PUNCH LIST","")</f>
        <v/>
      </c>
      <c r="B641">
        <f>IF('PUNCH LIST'!$W$98="X",'PUNCH LIST'!B98,"")</f>
        <v/>
      </c>
      <c r="D641">
        <f>IF('PUNCH LIST'!$W$98="X",'PUNCH LIST'!F98,"")</f>
        <v/>
      </c>
      <c r="E641">
        <f>IF('PUNCH LIST'!$W$98="X",'PUNCH LIST'!C98,"")</f>
        <v/>
      </c>
      <c r="F641">
        <f>IF('PUNCH LIST'!$W$98="X",'PUNCH LIST'!E98,"")</f>
        <v/>
      </c>
      <c r="G641">
        <f>IF('PUNCH LIST'!$W$98="X",'PUNCH LIST'!Q98,"")</f>
        <v/>
      </c>
      <c r="H641">
        <f>IF('PUNCH LIST'!$W$98="X","X","")</f>
        <v/>
      </c>
    </row>
    <row r="642" ht="15" customHeight="1" s="130">
      <c r="A642">
        <f>IF('PUNCH LIST'!$W$99="X","PUNCH LIST","")</f>
        <v/>
      </c>
      <c r="B642">
        <f>IF('PUNCH LIST'!$W$99="X",'PUNCH LIST'!B99,"")</f>
        <v/>
      </c>
      <c r="D642">
        <f>IF('PUNCH LIST'!$W$99="X",'PUNCH LIST'!F99,"")</f>
        <v/>
      </c>
      <c r="E642">
        <f>IF('PUNCH LIST'!$W$99="X",'PUNCH LIST'!C99,"")</f>
        <v/>
      </c>
      <c r="F642">
        <f>IF('PUNCH LIST'!$W$99="X",'PUNCH LIST'!E99,"")</f>
        <v/>
      </c>
      <c r="G642">
        <f>IF('PUNCH LIST'!$W$99="X",'PUNCH LIST'!Q99,"")</f>
        <v/>
      </c>
      <c r="H642">
        <f>IF('PUNCH LIST'!$W$99="X","X","")</f>
        <v/>
      </c>
    </row>
    <row r="643" ht="15" customHeight="1" s="130">
      <c r="A643">
        <f>IF('PUNCH LIST'!$W$100="X","PUNCH LIST","")</f>
        <v/>
      </c>
      <c r="B643">
        <f>IF('PUNCH LIST'!$W$100="X",'PUNCH LIST'!B100,"")</f>
        <v/>
      </c>
      <c r="D643">
        <f>IF('PUNCH LIST'!$W$100="X",'PUNCH LIST'!F100,"")</f>
        <v/>
      </c>
      <c r="E643">
        <f>IF('PUNCH LIST'!$W$100="X",'PUNCH LIST'!C100,"")</f>
        <v/>
      </c>
      <c r="F643">
        <f>IF('PUNCH LIST'!$W$100="X",'PUNCH LIST'!E100,"")</f>
        <v/>
      </c>
      <c r="G643">
        <f>IF('PUNCH LIST'!$W$100="X",'PUNCH LIST'!Q100,"")</f>
        <v/>
      </c>
      <c r="H643">
        <f>IF('PUNCH LIST'!$W$100="X","X","")</f>
        <v/>
      </c>
    </row>
    <row r="644" ht="15" customHeight="1" s="130">
      <c r="A644">
        <f>IF('PUNCH LIST'!$W$101="X","PUNCH LIST","")</f>
        <v/>
      </c>
      <c r="B644">
        <f>IF('PUNCH LIST'!$W$101="X",'PUNCH LIST'!B101,"")</f>
        <v/>
      </c>
      <c r="D644">
        <f>IF('PUNCH LIST'!$W$101="X",'PUNCH LIST'!F101,"")</f>
        <v/>
      </c>
      <c r="E644">
        <f>IF('PUNCH LIST'!$W$101="X",'PUNCH LIST'!C101,"")</f>
        <v/>
      </c>
      <c r="F644">
        <f>IF('PUNCH LIST'!$W$101="X",'PUNCH LIST'!E101,"")</f>
        <v/>
      </c>
      <c r="G644">
        <f>IF('PUNCH LIST'!$W$101="X",'PUNCH LIST'!Q101,"")</f>
        <v/>
      </c>
      <c r="H644">
        <f>IF('PUNCH LIST'!$W$101="X","X","")</f>
        <v/>
      </c>
    </row>
    <row r="645" ht="15" customHeight="1" s="130">
      <c r="A645">
        <f>IF('PUNCH LIST'!$W$102="X","PUNCH LIST","")</f>
        <v/>
      </c>
      <c r="B645">
        <f>IF('PUNCH LIST'!$W$102="X",'PUNCH LIST'!B102,"")</f>
        <v/>
      </c>
      <c r="D645">
        <f>IF('PUNCH LIST'!$W$102="X",'PUNCH LIST'!F102,"")</f>
        <v/>
      </c>
      <c r="E645">
        <f>IF('PUNCH LIST'!$W$102="X",'PUNCH LIST'!C102,"")</f>
        <v/>
      </c>
      <c r="F645">
        <f>IF('PUNCH LIST'!$W$102="X",'PUNCH LIST'!E102,"")</f>
        <v/>
      </c>
      <c r="G645">
        <f>IF('PUNCH LIST'!$W$102="X",'PUNCH LIST'!Q102,"")</f>
        <v/>
      </c>
      <c r="H645">
        <f>IF('PUNCH LIST'!$W$102="X","X","")</f>
        <v/>
      </c>
    </row>
    <row r="646" ht="15" customHeight="1" s="130">
      <c r="A646">
        <f>IF('PUNCH LIST'!$W$103="X","PUNCH LIST","")</f>
        <v/>
      </c>
      <c r="B646">
        <f>IF('PUNCH LIST'!$W$103="X",'PUNCH LIST'!B103,"")</f>
        <v/>
      </c>
      <c r="D646">
        <f>IF('PUNCH LIST'!$W$103="X",'PUNCH LIST'!F103,"")</f>
        <v/>
      </c>
      <c r="E646">
        <f>IF('PUNCH LIST'!$W$103="X",'PUNCH LIST'!C103,"")</f>
        <v/>
      </c>
      <c r="F646">
        <f>IF('PUNCH LIST'!$W$103="X",'PUNCH LIST'!E103,"")</f>
        <v/>
      </c>
      <c r="G646">
        <f>IF('PUNCH LIST'!$W$103="X",'PUNCH LIST'!Q103,"")</f>
        <v/>
      </c>
      <c r="H646">
        <f>IF('PUNCH LIST'!$W$103="X","X","")</f>
        <v/>
      </c>
    </row>
    <row r="647" ht="15" customHeight="1" s="130">
      <c r="A647">
        <f>IF('PUNCH LIST'!$W$104="X","PUNCH LIST","")</f>
        <v/>
      </c>
      <c r="B647">
        <f>IF('PUNCH LIST'!$W$104="X",'PUNCH LIST'!B104,"")</f>
        <v/>
      </c>
      <c r="D647">
        <f>IF('PUNCH LIST'!$W$104="X",'PUNCH LIST'!F104,"")</f>
        <v/>
      </c>
      <c r="E647">
        <f>IF('PUNCH LIST'!$W$104="X",'PUNCH LIST'!C104,"")</f>
        <v/>
      </c>
      <c r="F647">
        <f>IF('PUNCH LIST'!$W$104="X",'PUNCH LIST'!E104,"")</f>
        <v/>
      </c>
      <c r="G647">
        <f>IF('PUNCH LIST'!$W$104="X",'PUNCH LIST'!Q104,"")</f>
        <v/>
      </c>
      <c r="H647">
        <f>IF('PUNCH LIST'!$W$104="X","X","")</f>
        <v/>
      </c>
    </row>
    <row r="648" ht="15" customHeight="1" s="130">
      <c r="A648">
        <f>IF('PUNCH LIST'!$W$105="X","PUNCH LIST","")</f>
        <v/>
      </c>
      <c r="B648">
        <f>IF('PUNCH LIST'!$W$105="X",'PUNCH LIST'!B105,"")</f>
        <v/>
      </c>
      <c r="D648">
        <f>IF('PUNCH LIST'!$W$105="X",'PUNCH LIST'!F105,"")</f>
        <v/>
      </c>
      <c r="E648">
        <f>IF('PUNCH LIST'!$W$105="X",'PUNCH LIST'!C105,"")</f>
        <v/>
      </c>
      <c r="F648">
        <f>IF('PUNCH LIST'!$W$105="X",'PUNCH LIST'!E105,"")</f>
        <v/>
      </c>
      <c r="G648">
        <f>IF('PUNCH LIST'!$W$105="X",'PUNCH LIST'!Q105,"")</f>
        <v/>
      </c>
      <c r="H648">
        <f>IF('PUNCH LIST'!$W$105="X","X","")</f>
        <v/>
      </c>
    </row>
    <row r="649" ht="15" customHeight="1" s="130">
      <c r="A649">
        <f>IF('PUNCH LIST'!$W$106="X","PUNCH LIST","")</f>
        <v/>
      </c>
      <c r="B649">
        <f>IF('PUNCH LIST'!$W$106="X",'PUNCH LIST'!B106,"")</f>
        <v/>
      </c>
      <c r="D649">
        <f>IF('PUNCH LIST'!$W$106="X",'PUNCH LIST'!F106,"")</f>
        <v/>
      </c>
      <c r="E649">
        <f>IF('PUNCH LIST'!$W$106="X",'PUNCH LIST'!C106,"")</f>
        <v/>
      </c>
      <c r="F649">
        <f>IF('PUNCH LIST'!$W$106="X",'PUNCH LIST'!E106,"")</f>
        <v/>
      </c>
      <c r="G649">
        <f>IF('PUNCH LIST'!$W$106="X",'PUNCH LIST'!Q106,"")</f>
        <v/>
      </c>
      <c r="H649">
        <f>IF('PUNCH LIST'!$W$106="X","X","")</f>
        <v/>
      </c>
    </row>
    <row r="650" ht="15" customHeight="1" s="130">
      <c r="A650">
        <f>IF('PUNCH LIST'!$W$107="X","PUNCH LIST","")</f>
        <v/>
      </c>
      <c r="B650">
        <f>IF('PUNCH LIST'!$W$107="X",'PUNCH LIST'!B107,"")</f>
        <v/>
      </c>
      <c r="D650">
        <f>IF('PUNCH LIST'!$W$107="X",'PUNCH LIST'!F107,"")</f>
        <v/>
      </c>
      <c r="E650">
        <f>IF('PUNCH LIST'!$W$107="X",'PUNCH LIST'!C107,"")</f>
        <v/>
      </c>
      <c r="F650">
        <f>IF('PUNCH LIST'!$W$107="X",'PUNCH LIST'!E107,"")</f>
        <v/>
      </c>
      <c r="G650">
        <f>IF('PUNCH LIST'!$W$107="X",'PUNCH LIST'!Q107,"")</f>
        <v/>
      </c>
      <c r="H650">
        <f>IF('PUNCH LIST'!$W$107="X","X","")</f>
        <v/>
      </c>
    </row>
    <row r="651" ht="15" customHeight="1" s="130">
      <c r="A651">
        <f>IF('PUNCH LIST'!$W$108="X","PUNCH LIST","")</f>
        <v/>
      </c>
      <c r="B651">
        <f>IF('PUNCH LIST'!$W$108="X",'PUNCH LIST'!B108,"")</f>
        <v/>
      </c>
      <c r="D651">
        <f>IF('PUNCH LIST'!$W$108="X",'PUNCH LIST'!F108,"")</f>
        <v/>
      </c>
      <c r="E651">
        <f>IF('PUNCH LIST'!$W$108="X",'PUNCH LIST'!C108,"")</f>
        <v/>
      </c>
      <c r="F651">
        <f>IF('PUNCH LIST'!$W$108="X",'PUNCH LIST'!E108,"")</f>
        <v/>
      </c>
      <c r="G651">
        <f>IF('PUNCH LIST'!$W$108="X",'PUNCH LIST'!Q108,"")</f>
        <v/>
      </c>
      <c r="H651">
        <f>IF('PUNCH LIST'!$W$108="X","X","")</f>
        <v/>
      </c>
    </row>
    <row r="652" ht="15" customHeight="1" s="130">
      <c r="A652">
        <f>IF('PUNCH LIST'!$W$109="X","PUNCH LIST","")</f>
        <v/>
      </c>
      <c r="B652">
        <f>IF('PUNCH LIST'!$W$109="X",'PUNCH LIST'!B109,"")</f>
        <v/>
      </c>
      <c r="D652">
        <f>IF('PUNCH LIST'!$W$109="X",'PUNCH LIST'!F109,"")</f>
        <v/>
      </c>
      <c r="E652">
        <f>IF('PUNCH LIST'!$W$109="X",'PUNCH LIST'!C109,"")</f>
        <v/>
      </c>
      <c r="F652">
        <f>IF('PUNCH LIST'!$W$109="X",'PUNCH LIST'!E109,"")</f>
        <v/>
      </c>
      <c r="G652">
        <f>IF('PUNCH LIST'!$W$109="X",'PUNCH LIST'!Q109,"")</f>
        <v/>
      </c>
      <c r="H652">
        <f>IF('PUNCH LIST'!$W$109="X","X","")</f>
        <v/>
      </c>
    </row>
    <row r="653" ht="15" customHeight="1" s="130">
      <c r="A653">
        <f>IF('PUNCH LIST'!$W$110="X","PUNCH LIST","")</f>
        <v/>
      </c>
      <c r="B653">
        <f>IF('PUNCH LIST'!$W$110="X",'PUNCH LIST'!B110,"")</f>
        <v/>
      </c>
      <c r="D653">
        <f>IF('PUNCH LIST'!$W$110="X",'PUNCH LIST'!F110,"")</f>
        <v/>
      </c>
      <c r="E653">
        <f>IF('PUNCH LIST'!$W$110="X",'PUNCH LIST'!C110,"")</f>
        <v/>
      </c>
      <c r="F653">
        <f>IF('PUNCH LIST'!$W$110="X",'PUNCH LIST'!E110,"")</f>
        <v/>
      </c>
      <c r="G653">
        <f>IF('PUNCH LIST'!$W$110="X",'PUNCH LIST'!Q110,"")</f>
        <v/>
      </c>
      <c r="H653">
        <f>IF('PUNCH LIST'!$W$110="X","X","")</f>
        <v/>
      </c>
    </row>
    <row r="654" ht="15" customHeight="1" s="130">
      <c r="A654">
        <f>IF('PUNCH LIST'!$W$111="X","PUNCH LIST","")</f>
        <v/>
      </c>
      <c r="B654">
        <f>IF('PUNCH LIST'!$W$111="X",'PUNCH LIST'!B111,"")</f>
        <v/>
      </c>
      <c r="D654">
        <f>IF('PUNCH LIST'!$W$111="X",'PUNCH LIST'!F111,"")</f>
        <v/>
      </c>
      <c r="E654">
        <f>IF('PUNCH LIST'!$W$111="X",'PUNCH LIST'!C111,"")</f>
        <v/>
      </c>
      <c r="F654">
        <f>IF('PUNCH LIST'!$W$111="X",'PUNCH LIST'!E111,"")</f>
        <v/>
      </c>
      <c r="G654">
        <f>IF('PUNCH LIST'!$W$111="X",'PUNCH LIST'!Q111,"")</f>
        <v/>
      </c>
      <c r="H654">
        <f>IF('PUNCH LIST'!$W$111="X","X","")</f>
        <v/>
      </c>
    </row>
    <row r="655" ht="15" customHeight="1" s="130">
      <c r="A655">
        <f>IF('PUNCH LIST'!$W$112="X","PUNCH LIST","")</f>
        <v/>
      </c>
      <c r="B655">
        <f>IF('PUNCH LIST'!$W$112="X",'PUNCH LIST'!B112,"")</f>
        <v/>
      </c>
      <c r="D655">
        <f>IF('PUNCH LIST'!$W$112="X",'PUNCH LIST'!F112,"")</f>
        <v/>
      </c>
      <c r="E655">
        <f>IF('PUNCH LIST'!$W$112="X",'PUNCH LIST'!C112,"")</f>
        <v/>
      </c>
      <c r="F655">
        <f>IF('PUNCH LIST'!$W$112="X",'PUNCH LIST'!E112,"")</f>
        <v/>
      </c>
      <c r="G655">
        <f>IF('PUNCH LIST'!$W$112="X",'PUNCH LIST'!Q112,"")</f>
        <v/>
      </c>
      <c r="H655">
        <f>IF('PUNCH LIST'!$W$112="X","X","")</f>
        <v/>
      </c>
    </row>
    <row r="656" ht="15" customHeight="1" s="130">
      <c r="A656">
        <f>IF('PUNCH LIST'!$W$113="X","PUNCH LIST","")</f>
        <v/>
      </c>
      <c r="B656">
        <f>IF('PUNCH LIST'!$W$113="X",'PUNCH LIST'!B113,"")</f>
        <v/>
      </c>
      <c r="D656">
        <f>IF('PUNCH LIST'!$W$113="X",'PUNCH LIST'!F113,"")</f>
        <v/>
      </c>
      <c r="E656">
        <f>IF('PUNCH LIST'!$W$113="X",'PUNCH LIST'!C113,"")</f>
        <v/>
      </c>
      <c r="F656">
        <f>IF('PUNCH LIST'!$W$113="X",'PUNCH LIST'!E113,"")</f>
        <v/>
      </c>
      <c r="G656">
        <f>IF('PUNCH LIST'!$W$113="X",'PUNCH LIST'!Q113,"")</f>
        <v/>
      </c>
      <c r="H656">
        <f>IF('PUNCH LIST'!$W$113="X","X","")</f>
        <v/>
      </c>
    </row>
    <row r="657" ht="15" customHeight="1" s="130">
      <c r="A657">
        <f>IF('PUNCH LIST'!$W$114="X","PUNCH LIST","")</f>
        <v/>
      </c>
      <c r="B657">
        <f>IF('PUNCH LIST'!$W$114="X",'PUNCH LIST'!B114,"")</f>
        <v/>
      </c>
      <c r="D657">
        <f>IF('PUNCH LIST'!$W$114="X",'PUNCH LIST'!F114,"")</f>
        <v/>
      </c>
      <c r="E657">
        <f>IF('PUNCH LIST'!$W$114="X",'PUNCH LIST'!C114,"")</f>
        <v/>
      </c>
      <c r="F657">
        <f>IF('PUNCH LIST'!$W$114="X",'PUNCH LIST'!E114,"")</f>
        <v/>
      </c>
      <c r="G657">
        <f>IF('PUNCH LIST'!$W$114="X",'PUNCH LIST'!Q114,"")</f>
        <v/>
      </c>
      <c r="H657">
        <f>IF('PUNCH LIST'!$W$114="X","X","")</f>
        <v/>
      </c>
    </row>
    <row r="658" ht="15" customHeight="1" s="130">
      <c r="A658">
        <f>IF('PUNCH LIST'!$W$115="X","PUNCH LIST","")</f>
        <v/>
      </c>
      <c r="B658">
        <f>IF('PUNCH LIST'!$W$115="X",'PUNCH LIST'!B115,"")</f>
        <v/>
      </c>
      <c r="D658">
        <f>IF('PUNCH LIST'!$W$115="X",'PUNCH LIST'!F115,"")</f>
        <v/>
      </c>
      <c r="E658">
        <f>IF('PUNCH LIST'!$W$115="X",'PUNCH LIST'!C115,"")</f>
        <v/>
      </c>
      <c r="F658">
        <f>IF('PUNCH LIST'!$W$115="X",'PUNCH LIST'!E115,"")</f>
        <v/>
      </c>
      <c r="G658">
        <f>IF('PUNCH LIST'!$W$115="X",'PUNCH LIST'!Q115,"")</f>
        <v/>
      </c>
      <c r="H658">
        <f>IF('PUNCH LIST'!$W$115="X","X","")</f>
        <v/>
      </c>
    </row>
    <row r="659" ht="15" customHeight="1" s="130">
      <c r="A659">
        <f>IF('PUNCH LIST'!$W$116="X","PUNCH LIST","")</f>
        <v/>
      </c>
      <c r="B659">
        <f>IF('PUNCH LIST'!$W$116="X",'PUNCH LIST'!B116,"")</f>
        <v/>
      </c>
      <c r="D659">
        <f>IF('PUNCH LIST'!$W$116="X",'PUNCH LIST'!F116,"")</f>
        <v/>
      </c>
      <c r="E659">
        <f>IF('PUNCH LIST'!$W$116="X",'PUNCH LIST'!C116,"")</f>
        <v/>
      </c>
      <c r="F659">
        <f>IF('PUNCH LIST'!$W$116="X",'PUNCH LIST'!E116,"")</f>
        <v/>
      </c>
      <c r="G659">
        <f>IF('PUNCH LIST'!$W$116="X",'PUNCH LIST'!Q116,"")</f>
        <v/>
      </c>
      <c r="H659">
        <f>IF('PUNCH LIST'!$W$116="X","X","")</f>
        <v/>
      </c>
    </row>
    <row r="660" ht="15" customHeight="1" s="130">
      <c r="A660">
        <f>IF('PUNCH LIST'!$W$117="X","PUNCH LIST","")</f>
        <v/>
      </c>
      <c r="B660">
        <f>IF('PUNCH LIST'!$W$117="X",'PUNCH LIST'!B117,"")</f>
        <v/>
      </c>
      <c r="D660">
        <f>IF('PUNCH LIST'!$W$117="X",'PUNCH LIST'!F117,"")</f>
        <v/>
      </c>
      <c r="E660">
        <f>IF('PUNCH LIST'!$W$117="X",'PUNCH LIST'!C117,"")</f>
        <v/>
      </c>
      <c r="F660">
        <f>IF('PUNCH LIST'!$W$117="X",'PUNCH LIST'!E117,"")</f>
        <v/>
      </c>
      <c r="G660">
        <f>IF('PUNCH LIST'!$W$117="X",'PUNCH LIST'!Q117,"")</f>
        <v/>
      </c>
      <c r="H660">
        <f>IF('PUNCH LIST'!$W$117="X","X","")</f>
        <v/>
      </c>
    </row>
    <row r="661" ht="15" customHeight="1" s="130">
      <c r="A661">
        <f>IF('PUNCH LIST'!$W$118="X","PUNCH LIST","")</f>
        <v/>
      </c>
      <c r="B661">
        <f>IF('PUNCH LIST'!$W$118="X",'PUNCH LIST'!B118,"")</f>
        <v/>
      </c>
      <c r="D661">
        <f>IF('PUNCH LIST'!$W$118="X",'PUNCH LIST'!F118,"")</f>
        <v/>
      </c>
      <c r="E661">
        <f>IF('PUNCH LIST'!$W$118="X",'PUNCH LIST'!C118,"")</f>
        <v/>
      </c>
      <c r="F661">
        <f>IF('PUNCH LIST'!$W$118="X",'PUNCH LIST'!E118,"")</f>
        <v/>
      </c>
      <c r="G661">
        <f>IF('PUNCH LIST'!$W$118="X",'PUNCH LIST'!Q118,"")</f>
        <v/>
      </c>
      <c r="H661">
        <f>IF('PUNCH LIST'!$W$118="X","X","")</f>
        <v/>
      </c>
    </row>
    <row r="662" ht="15" customHeight="1" s="130">
      <c r="A662">
        <f>IF('PUNCH LIST'!$W$119="X","PUNCH LIST","")</f>
        <v/>
      </c>
      <c r="B662">
        <f>IF('PUNCH LIST'!$W$119="X",'PUNCH LIST'!B119,"")</f>
        <v/>
      </c>
      <c r="D662">
        <f>IF('PUNCH LIST'!$W$119="X",'PUNCH LIST'!F119,"")</f>
        <v/>
      </c>
      <c r="E662">
        <f>IF('PUNCH LIST'!$W$119="X",'PUNCH LIST'!C119,"")</f>
        <v/>
      </c>
      <c r="F662">
        <f>IF('PUNCH LIST'!$W$119="X",'PUNCH LIST'!E119,"")</f>
        <v/>
      </c>
      <c r="G662">
        <f>IF('PUNCH LIST'!$W$119="X",'PUNCH LIST'!Q119,"")</f>
        <v/>
      </c>
      <c r="H662">
        <f>IF('PUNCH LIST'!$W$119="X","X","")</f>
        <v/>
      </c>
    </row>
    <row r="663" ht="15" customHeight="1" s="130">
      <c r="A663">
        <f>IF('PUNCH LIST'!$W$120="X","PUNCH LIST","")</f>
        <v/>
      </c>
      <c r="B663">
        <f>IF('PUNCH LIST'!$W$120="X",'PUNCH LIST'!B120,"")</f>
        <v/>
      </c>
      <c r="D663">
        <f>IF('PUNCH LIST'!$W$120="X",'PUNCH LIST'!F120,"")</f>
        <v/>
      </c>
      <c r="E663">
        <f>IF('PUNCH LIST'!$W$120="X",'PUNCH LIST'!C120,"")</f>
        <v/>
      </c>
      <c r="F663">
        <f>IF('PUNCH LIST'!$W$120="X",'PUNCH LIST'!E120,"")</f>
        <v/>
      </c>
      <c r="G663">
        <f>IF('PUNCH LIST'!$W$120="X",'PUNCH LIST'!Q120,"")</f>
        <v/>
      </c>
      <c r="H663">
        <f>IF('PUNCH LIST'!$W$120="X","X","")</f>
        <v/>
      </c>
    </row>
    <row r="664" ht="15" customHeight="1" s="130">
      <c r="A664">
        <f>IF('PUNCH LIST'!$W$121="X","PUNCH LIST","")</f>
        <v/>
      </c>
      <c r="B664">
        <f>IF('PUNCH LIST'!$W$121="X",'PUNCH LIST'!B121,"")</f>
        <v/>
      </c>
      <c r="D664">
        <f>IF('PUNCH LIST'!$W$121="X",'PUNCH LIST'!F121,"")</f>
        <v/>
      </c>
      <c r="E664">
        <f>IF('PUNCH LIST'!$W$121="X",'PUNCH LIST'!C121,"")</f>
        <v/>
      </c>
      <c r="F664">
        <f>IF('PUNCH LIST'!$W$121="X",'PUNCH LIST'!E121,"")</f>
        <v/>
      </c>
      <c r="G664">
        <f>IF('PUNCH LIST'!$W$121="X",'PUNCH LIST'!Q121,"")</f>
        <v/>
      </c>
      <c r="H664">
        <f>IF('PUNCH LIST'!$W$121="X","X","")</f>
        <v/>
      </c>
    </row>
    <row r="665" ht="15" customHeight="1" s="130">
      <c r="A665">
        <f>IF('PUNCH LIST'!$W$122="X","PUNCH LIST","")</f>
        <v/>
      </c>
      <c r="B665">
        <f>IF('PUNCH LIST'!$W$122="X",'PUNCH LIST'!B122,"")</f>
        <v/>
      </c>
      <c r="D665">
        <f>IF('PUNCH LIST'!$W$122="X",'PUNCH LIST'!F122,"")</f>
        <v/>
      </c>
      <c r="E665">
        <f>IF('PUNCH LIST'!$W$122="X",'PUNCH LIST'!C122,"")</f>
        <v/>
      </c>
      <c r="F665">
        <f>IF('PUNCH LIST'!$W$122="X",'PUNCH LIST'!E122,"")</f>
        <v/>
      </c>
      <c r="G665">
        <f>IF('PUNCH LIST'!$W$122="X",'PUNCH LIST'!Q122,"")</f>
        <v/>
      </c>
      <c r="H665">
        <f>IF('PUNCH LIST'!$W$122="X","X","")</f>
        <v/>
      </c>
    </row>
    <row r="666" ht="15" customHeight="1" s="130">
      <c r="A666">
        <f>IF('PUNCH LIST'!$W$123="X","PUNCH LIST","")</f>
        <v/>
      </c>
      <c r="B666">
        <f>IF('PUNCH LIST'!$W$123="X",'PUNCH LIST'!B123,"")</f>
        <v/>
      </c>
      <c r="D666">
        <f>IF('PUNCH LIST'!$W$123="X",'PUNCH LIST'!F123,"")</f>
        <v/>
      </c>
      <c r="E666">
        <f>IF('PUNCH LIST'!$W$123="X",'PUNCH LIST'!C123,"")</f>
        <v/>
      </c>
      <c r="F666">
        <f>IF('PUNCH LIST'!$W$123="X",'PUNCH LIST'!E123,"")</f>
        <v/>
      </c>
      <c r="G666">
        <f>IF('PUNCH LIST'!$W$123="X",'PUNCH LIST'!Q123,"")</f>
        <v/>
      </c>
      <c r="H666">
        <f>IF('PUNCH LIST'!$W$123="X","X","")</f>
        <v/>
      </c>
    </row>
    <row r="667" ht="15" customHeight="1" s="130">
      <c r="A667">
        <f>IF('PUNCH LIST'!$W$124="X","PUNCH LIST","")</f>
        <v/>
      </c>
      <c r="B667">
        <f>IF('PUNCH LIST'!$W$124="X",'PUNCH LIST'!B124,"")</f>
        <v/>
      </c>
      <c r="D667">
        <f>IF('PUNCH LIST'!$W$124="X",'PUNCH LIST'!F124,"")</f>
        <v/>
      </c>
      <c r="E667">
        <f>IF('PUNCH LIST'!$W$124="X",'PUNCH LIST'!C124,"")</f>
        <v/>
      </c>
      <c r="F667">
        <f>IF('PUNCH LIST'!$W$124="X",'PUNCH LIST'!E124,"")</f>
        <v/>
      </c>
      <c r="G667">
        <f>IF('PUNCH LIST'!$W$124="X",'PUNCH LIST'!Q124,"")</f>
        <v/>
      </c>
      <c r="H667">
        <f>IF('PUNCH LIST'!$W$124="X","X","")</f>
        <v/>
      </c>
    </row>
    <row r="668" ht="15" customHeight="1" s="130">
      <c r="A668">
        <f>IF('PUNCH LIST'!$W$125="X","PUNCH LIST","")</f>
        <v/>
      </c>
      <c r="B668">
        <f>IF('PUNCH LIST'!$W$125="X",'PUNCH LIST'!B125,"")</f>
        <v/>
      </c>
      <c r="D668">
        <f>IF('PUNCH LIST'!$W$125="X",'PUNCH LIST'!F125,"")</f>
        <v/>
      </c>
      <c r="E668">
        <f>IF('PUNCH LIST'!$W$125="X",'PUNCH LIST'!C125,"")</f>
        <v/>
      </c>
      <c r="F668">
        <f>IF('PUNCH LIST'!$W$125="X",'PUNCH LIST'!E125,"")</f>
        <v/>
      </c>
      <c r="G668">
        <f>IF('PUNCH LIST'!$W$125="X",'PUNCH LIST'!Q125,"")</f>
        <v/>
      </c>
      <c r="H668">
        <f>IF('PUNCH LIST'!$W$125="X","X","")</f>
        <v/>
      </c>
    </row>
    <row r="669" ht="15" customHeight="1" s="130">
      <c r="A669">
        <f>IF('PUNCH LIST'!$W$126="X","PUNCH LIST","")</f>
        <v/>
      </c>
      <c r="B669">
        <f>IF('PUNCH LIST'!$W$126="X",'PUNCH LIST'!B126,"")</f>
        <v/>
      </c>
      <c r="D669">
        <f>IF('PUNCH LIST'!$W$126="X",'PUNCH LIST'!F126,"")</f>
        <v/>
      </c>
      <c r="E669">
        <f>IF('PUNCH LIST'!$W$126="X",'PUNCH LIST'!C126,"")</f>
        <v/>
      </c>
      <c r="F669">
        <f>IF('PUNCH LIST'!$W$126="X",'PUNCH LIST'!E126,"")</f>
        <v/>
      </c>
      <c r="G669">
        <f>IF('PUNCH LIST'!$W$126="X",'PUNCH LIST'!Q126,"")</f>
        <v/>
      </c>
      <c r="H669">
        <f>IF('PUNCH LIST'!$W$126="X","X","")</f>
        <v/>
      </c>
    </row>
    <row r="670" ht="15" customHeight="1" s="130">
      <c r="A670">
        <f>IF('PUNCH LIST'!$W$127="X","PUNCH LIST","")</f>
        <v/>
      </c>
      <c r="B670">
        <f>IF('PUNCH LIST'!$W$127="X",'PUNCH LIST'!B127,"")</f>
        <v/>
      </c>
      <c r="D670">
        <f>IF('PUNCH LIST'!$W$127="X",'PUNCH LIST'!F127,"")</f>
        <v/>
      </c>
      <c r="E670">
        <f>IF('PUNCH LIST'!$W$127="X",'PUNCH LIST'!C127,"")</f>
        <v/>
      </c>
      <c r="F670">
        <f>IF('PUNCH LIST'!$W$127="X",'PUNCH LIST'!E127,"")</f>
        <v/>
      </c>
      <c r="G670">
        <f>IF('PUNCH LIST'!$W$127="X",'PUNCH LIST'!Q127,"")</f>
        <v/>
      </c>
      <c r="H670">
        <f>IF('PUNCH LIST'!$W$127="X","X","")</f>
        <v/>
      </c>
    </row>
    <row r="671" ht="15" customHeight="1" s="130">
      <c r="A671">
        <f>IF('PUNCH LIST'!$W$128="X","PUNCH LIST","")</f>
        <v/>
      </c>
      <c r="B671">
        <f>IF('PUNCH LIST'!$W$128="X",'PUNCH LIST'!B128,"")</f>
        <v/>
      </c>
      <c r="D671">
        <f>IF('PUNCH LIST'!$W$128="X",'PUNCH LIST'!F128,"")</f>
        <v/>
      </c>
      <c r="E671">
        <f>IF('PUNCH LIST'!$W$128="X",'PUNCH LIST'!C128,"")</f>
        <v/>
      </c>
      <c r="F671">
        <f>IF('PUNCH LIST'!$W$128="X",'PUNCH LIST'!E128,"")</f>
        <v/>
      </c>
      <c r="G671">
        <f>IF('PUNCH LIST'!$W$128="X",'PUNCH LIST'!Q128,"")</f>
        <v/>
      </c>
      <c r="H671">
        <f>IF('PUNCH LIST'!$W$128="X","X","")</f>
        <v/>
      </c>
    </row>
    <row r="672" ht="15" customHeight="1" s="130">
      <c r="A672">
        <f>IF('PUNCH LIST'!$W$129="X","PUNCH LIST","")</f>
        <v/>
      </c>
      <c r="B672">
        <f>IF('PUNCH LIST'!$W$129="X",'PUNCH LIST'!B129,"")</f>
        <v/>
      </c>
      <c r="D672">
        <f>IF('PUNCH LIST'!$W$129="X",'PUNCH LIST'!F129,"")</f>
        <v/>
      </c>
      <c r="E672">
        <f>IF('PUNCH LIST'!$W$129="X",'PUNCH LIST'!C129,"")</f>
        <v/>
      </c>
      <c r="F672">
        <f>IF('PUNCH LIST'!$W$129="X",'PUNCH LIST'!E129,"")</f>
        <v/>
      </c>
      <c r="G672">
        <f>IF('PUNCH LIST'!$W$129="X",'PUNCH LIST'!Q129,"")</f>
        <v/>
      </c>
      <c r="H672">
        <f>IF('PUNCH LIST'!$W$129="X","X","")</f>
        <v/>
      </c>
    </row>
    <row r="673" ht="15" customHeight="1" s="130">
      <c r="A673">
        <f>IF('PUNCH LIST'!$W$130="X","PUNCH LIST","")</f>
        <v/>
      </c>
      <c r="B673">
        <f>IF('PUNCH LIST'!$W$130="X",'PUNCH LIST'!B130,"")</f>
        <v/>
      </c>
      <c r="D673">
        <f>IF('PUNCH LIST'!$W$130="X",'PUNCH LIST'!F130,"")</f>
        <v/>
      </c>
      <c r="E673">
        <f>IF('PUNCH LIST'!$W$130="X",'PUNCH LIST'!C130,"")</f>
        <v/>
      </c>
      <c r="F673">
        <f>IF('PUNCH LIST'!$W$130="X",'PUNCH LIST'!E130,"")</f>
        <v/>
      </c>
      <c r="G673">
        <f>IF('PUNCH LIST'!$W$130="X",'PUNCH LIST'!Q130,"")</f>
        <v/>
      </c>
      <c r="H673">
        <f>IF('PUNCH LIST'!$W$130="X","X","")</f>
        <v/>
      </c>
    </row>
    <row r="674" ht="15" customHeight="1" s="130">
      <c r="A674">
        <f>IF('PUNCH LIST'!$W$131="X","PUNCH LIST","")</f>
        <v/>
      </c>
      <c r="B674">
        <f>IF('PUNCH LIST'!$W$131="X",'PUNCH LIST'!B131,"")</f>
        <v/>
      </c>
      <c r="D674">
        <f>IF('PUNCH LIST'!$W$131="X",'PUNCH LIST'!F131,"")</f>
        <v/>
      </c>
      <c r="E674">
        <f>IF('PUNCH LIST'!$W$131="X",'PUNCH LIST'!C131,"")</f>
        <v/>
      </c>
      <c r="F674">
        <f>IF('PUNCH LIST'!$W$131="X",'PUNCH LIST'!E131,"")</f>
        <v/>
      </c>
      <c r="G674">
        <f>IF('PUNCH LIST'!$W$131="X",'PUNCH LIST'!Q131,"")</f>
        <v/>
      </c>
      <c r="H674">
        <f>IF('PUNCH LIST'!$W$131="X","X","")</f>
        <v/>
      </c>
    </row>
    <row r="675" ht="15" customHeight="1" s="130">
      <c r="A675">
        <f>IF('PUNCH LIST'!$W$132="X","PUNCH LIST","")</f>
        <v/>
      </c>
      <c r="B675">
        <f>IF('PUNCH LIST'!$W$132="X",'PUNCH LIST'!B132,"")</f>
        <v/>
      </c>
      <c r="D675">
        <f>IF('PUNCH LIST'!$W$132="X",'PUNCH LIST'!F132,"")</f>
        <v/>
      </c>
      <c r="E675">
        <f>IF('PUNCH LIST'!$W$132="X",'PUNCH LIST'!C132,"")</f>
        <v/>
      </c>
      <c r="F675">
        <f>IF('PUNCH LIST'!$W$132="X",'PUNCH LIST'!E132,"")</f>
        <v/>
      </c>
      <c r="G675">
        <f>IF('PUNCH LIST'!$W$132="X",'PUNCH LIST'!Q132,"")</f>
        <v/>
      </c>
      <c r="H675">
        <f>IF('PUNCH LIST'!$W$132="X","X","")</f>
        <v/>
      </c>
    </row>
    <row r="676" ht="15" customHeight="1" s="130">
      <c r="A676">
        <f>IF('PUNCH LIST'!$W$133="X","PUNCH LIST","")</f>
        <v/>
      </c>
      <c r="B676">
        <f>IF('PUNCH LIST'!$W$133="X",'PUNCH LIST'!B133,"")</f>
        <v/>
      </c>
      <c r="D676">
        <f>IF('PUNCH LIST'!$W$133="X",'PUNCH LIST'!F133,"")</f>
        <v/>
      </c>
      <c r="E676">
        <f>IF('PUNCH LIST'!$W$133="X",'PUNCH LIST'!C133,"")</f>
        <v/>
      </c>
      <c r="F676">
        <f>IF('PUNCH LIST'!$W$133="X",'PUNCH LIST'!E133,"")</f>
        <v/>
      </c>
      <c r="G676">
        <f>IF('PUNCH LIST'!$W$133="X",'PUNCH LIST'!Q133,"")</f>
        <v/>
      </c>
      <c r="H676">
        <f>IF('PUNCH LIST'!$W$133="X","X","")</f>
        <v/>
      </c>
    </row>
    <row r="677" ht="15" customHeight="1" s="130">
      <c r="A677">
        <f>IF('PUNCH LIST'!$W$134="X","PUNCH LIST","")</f>
        <v/>
      </c>
      <c r="B677">
        <f>IF('PUNCH LIST'!$W$134="X",'PUNCH LIST'!B134,"")</f>
        <v/>
      </c>
      <c r="D677">
        <f>IF('PUNCH LIST'!$W$134="X",'PUNCH LIST'!F134,"")</f>
        <v/>
      </c>
      <c r="E677">
        <f>IF('PUNCH LIST'!$W$134="X",'PUNCH LIST'!C134,"")</f>
        <v/>
      </c>
      <c r="F677">
        <f>IF('PUNCH LIST'!$W$134="X",'PUNCH LIST'!E134,"")</f>
        <v/>
      </c>
      <c r="G677">
        <f>IF('PUNCH LIST'!$W$134="X",'PUNCH LIST'!Q134,"")</f>
        <v/>
      </c>
      <c r="H677">
        <f>IF('PUNCH LIST'!$W$134="X","X","")</f>
        <v/>
      </c>
    </row>
    <row r="678" ht="15" customHeight="1" s="130">
      <c r="A678">
        <f>IF('PUNCH LIST'!$W$135="X","PUNCH LIST","")</f>
        <v/>
      </c>
      <c r="B678">
        <f>IF('PUNCH LIST'!$W$135="X",'PUNCH LIST'!B135,"")</f>
        <v/>
      </c>
      <c r="D678">
        <f>IF('PUNCH LIST'!$W$135="X",'PUNCH LIST'!F135,"")</f>
        <v/>
      </c>
      <c r="E678">
        <f>IF('PUNCH LIST'!$W$135="X",'PUNCH LIST'!C135,"")</f>
        <v/>
      </c>
      <c r="F678">
        <f>IF('PUNCH LIST'!$W$135="X",'PUNCH LIST'!E135,"")</f>
        <v/>
      </c>
      <c r="G678">
        <f>IF('PUNCH LIST'!$W$135="X",'PUNCH LIST'!Q135,"")</f>
        <v/>
      </c>
      <c r="H678">
        <f>IF('PUNCH LIST'!$W$135="X","X","")</f>
        <v/>
      </c>
    </row>
    <row r="679" ht="15" customHeight="1" s="130">
      <c r="A679">
        <f>IF('PUNCH LIST'!$W$136="X","PUNCH LIST","")</f>
        <v/>
      </c>
      <c r="B679">
        <f>IF('PUNCH LIST'!$W$136="X",'PUNCH LIST'!B136,"")</f>
        <v/>
      </c>
      <c r="D679">
        <f>IF('PUNCH LIST'!$W$136="X",'PUNCH LIST'!F136,"")</f>
        <v/>
      </c>
      <c r="E679">
        <f>IF('PUNCH LIST'!$W$136="X",'PUNCH LIST'!C136,"")</f>
        <v/>
      </c>
      <c r="F679">
        <f>IF('PUNCH LIST'!$W$136="X",'PUNCH LIST'!E136,"")</f>
        <v/>
      </c>
      <c r="G679">
        <f>IF('PUNCH LIST'!$W$136="X",'PUNCH LIST'!Q136,"")</f>
        <v/>
      </c>
      <c r="H679">
        <f>IF('PUNCH LIST'!$W$136="X","X","")</f>
        <v/>
      </c>
    </row>
    <row r="680" ht="15" customHeight="1" s="130">
      <c r="A680">
        <f>IF('PUNCH LIST'!$W$137="X","PUNCH LIST","")</f>
        <v/>
      </c>
      <c r="B680">
        <f>IF('PUNCH LIST'!$W$137="X",'PUNCH LIST'!B137,"")</f>
        <v/>
      </c>
      <c r="D680">
        <f>IF('PUNCH LIST'!$W$137="X",'PUNCH LIST'!F137,"")</f>
        <v/>
      </c>
      <c r="E680">
        <f>IF('PUNCH LIST'!$W$137="X",'PUNCH LIST'!C137,"")</f>
        <v/>
      </c>
      <c r="F680">
        <f>IF('PUNCH LIST'!$W$137="X",'PUNCH LIST'!E137,"")</f>
        <v/>
      </c>
      <c r="G680">
        <f>IF('PUNCH LIST'!$W$137="X",'PUNCH LIST'!Q137,"")</f>
        <v/>
      </c>
      <c r="H680">
        <f>IF('PUNCH LIST'!$W$137="X","X","")</f>
        <v/>
      </c>
    </row>
    <row r="681" ht="15" customHeight="1" s="130">
      <c r="A681">
        <f>IF('PUNCH LIST'!$W$138="X","PUNCH LIST","")</f>
        <v/>
      </c>
      <c r="B681">
        <f>IF('PUNCH LIST'!$W$138="X",'PUNCH LIST'!B138,"")</f>
        <v/>
      </c>
      <c r="D681">
        <f>IF('PUNCH LIST'!$W$138="X",'PUNCH LIST'!F138,"")</f>
        <v/>
      </c>
      <c r="E681">
        <f>IF('PUNCH LIST'!$W$138="X",'PUNCH LIST'!C138,"")</f>
        <v/>
      </c>
      <c r="F681">
        <f>IF('PUNCH LIST'!$W$138="X",'PUNCH LIST'!E138,"")</f>
        <v/>
      </c>
      <c r="G681">
        <f>IF('PUNCH LIST'!$W$138="X",'PUNCH LIST'!Q138,"")</f>
        <v/>
      </c>
      <c r="H681">
        <f>IF('PUNCH LIST'!$W$138="X","X","")</f>
        <v/>
      </c>
    </row>
    <row r="682" ht="15" customHeight="1" s="130">
      <c r="A682">
        <f>IF('PUNCH LIST'!$W$139="X","PUNCH LIST","")</f>
        <v/>
      </c>
      <c r="B682">
        <f>IF('PUNCH LIST'!$W$139="X",'PUNCH LIST'!B139,"")</f>
        <v/>
      </c>
      <c r="D682">
        <f>IF('PUNCH LIST'!$W$139="X",'PUNCH LIST'!F139,"")</f>
        <v/>
      </c>
      <c r="E682">
        <f>IF('PUNCH LIST'!$W$139="X",'PUNCH LIST'!C139,"")</f>
        <v/>
      </c>
      <c r="F682">
        <f>IF('PUNCH LIST'!$W$139="X",'PUNCH LIST'!E139,"")</f>
        <v/>
      </c>
      <c r="G682">
        <f>IF('PUNCH LIST'!$W$139="X",'PUNCH LIST'!Q139,"")</f>
        <v/>
      </c>
      <c r="H682">
        <f>IF('PUNCH LIST'!$W$139="X","X","")</f>
        <v/>
      </c>
    </row>
    <row r="683" ht="15" customHeight="1" s="130">
      <c r="A683">
        <f>IF('PUNCH LIST'!$W$140="X","PUNCH LIST","")</f>
        <v/>
      </c>
      <c r="B683">
        <f>IF('PUNCH LIST'!$W$140="X",'PUNCH LIST'!B140,"")</f>
        <v/>
      </c>
      <c r="D683">
        <f>IF('PUNCH LIST'!$W$140="X",'PUNCH LIST'!F140,"")</f>
        <v/>
      </c>
      <c r="E683">
        <f>IF('PUNCH LIST'!$W$140="X",'PUNCH LIST'!C140,"")</f>
        <v/>
      </c>
      <c r="F683">
        <f>IF('PUNCH LIST'!$W$140="X",'PUNCH LIST'!E140,"")</f>
        <v/>
      </c>
      <c r="G683">
        <f>IF('PUNCH LIST'!$W$140="X",'PUNCH LIST'!Q140,"")</f>
        <v/>
      </c>
      <c r="H683">
        <f>IF('PUNCH LIST'!$W$140="X","X","")</f>
        <v/>
      </c>
    </row>
    <row r="684" ht="15" customHeight="1" s="130">
      <c r="A684">
        <f>IF('PUNCH LIST'!$W$141="X","PUNCH LIST","")</f>
        <v/>
      </c>
      <c r="B684">
        <f>IF('PUNCH LIST'!$W$141="X",'PUNCH LIST'!B141,"")</f>
        <v/>
      </c>
      <c r="D684">
        <f>IF('PUNCH LIST'!$W$141="X",'PUNCH LIST'!F141,"")</f>
        <v/>
      </c>
      <c r="E684">
        <f>IF('PUNCH LIST'!$W$141="X",'PUNCH LIST'!C141,"")</f>
        <v/>
      </c>
      <c r="F684">
        <f>IF('PUNCH LIST'!$W$141="X",'PUNCH LIST'!E141,"")</f>
        <v/>
      </c>
      <c r="G684">
        <f>IF('PUNCH LIST'!$W$141="X",'PUNCH LIST'!Q141,"")</f>
        <v/>
      </c>
      <c r="H684">
        <f>IF('PUNCH LIST'!$W$141="X","X","")</f>
        <v/>
      </c>
    </row>
    <row r="685" ht="15" customHeight="1" s="130">
      <c r="A685">
        <f>IF('PUNCH LIST'!$W$142="X","PUNCH LIST","")</f>
        <v/>
      </c>
      <c r="B685">
        <f>IF('PUNCH LIST'!$W$142="X",'PUNCH LIST'!B142,"")</f>
        <v/>
      </c>
      <c r="D685">
        <f>IF('PUNCH LIST'!$W$142="X",'PUNCH LIST'!F142,"")</f>
        <v/>
      </c>
      <c r="E685">
        <f>IF('PUNCH LIST'!$W$142="X",'PUNCH LIST'!C142,"")</f>
        <v/>
      </c>
      <c r="F685">
        <f>IF('PUNCH LIST'!$W$142="X",'PUNCH LIST'!E142,"")</f>
        <v/>
      </c>
      <c r="G685">
        <f>IF('PUNCH LIST'!$W$142="X",'PUNCH LIST'!Q142,"")</f>
        <v/>
      </c>
      <c r="H685">
        <f>IF('PUNCH LIST'!$W$142="X","X","")</f>
        <v/>
      </c>
    </row>
    <row r="686" ht="15" customHeight="1" s="130">
      <c r="A686">
        <f>IF('PUNCH LIST'!$W$143="X","PUNCH LIST","")</f>
        <v/>
      </c>
      <c r="B686">
        <f>IF('PUNCH LIST'!$W$143="X",'PUNCH LIST'!B143,"")</f>
        <v/>
      </c>
      <c r="D686">
        <f>IF('PUNCH LIST'!$W$143="X",'PUNCH LIST'!F143,"")</f>
        <v/>
      </c>
      <c r="E686">
        <f>IF('PUNCH LIST'!$W$143="X",'PUNCH LIST'!C143,"")</f>
        <v/>
      </c>
      <c r="F686">
        <f>IF('PUNCH LIST'!$W$143="X",'PUNCH LIST'!E143,"")</f>
        <v/>
      </c>
      <c r="G686">
        <f>IF('PUNCH LIST'!$W$143="X",'PUNCH LIST'!Q143,"")</f>
        <v/>
      </c>
      <c r="H686">
        <f>IF('PUNCH LIST'!$W$143="X","X","")</f>
        <v/>
      </c>
    </row>
    <row r="687" ht="15" customHeight="1" s="130">
      <c r="A687">
        <f>IF('PUNCH LIST'!$W$144="X","PUNCH LIST","")</f>
        <v/>
      </c>
      <c r="B687">
        <f>IF('PUNCH LIST'!$W$144="X",'PUNCH LIST'!B144,"")</f>
        <v/>
      </c>
      <c r="D687">
        <f>IF('PUNCH LIST'!$W$144="X",'PUNCH LIST'!F144,"")</f>
        <v/>
      </c>
      <c r="E687">
        <f>IF('PUNCH LIST'!$W$144="X",'PUNCH LIST'!C144,"")</f>
        <v/>
      </c>
      <c r="F687">
        <f>IF('PUNCH LIST'!$W$144="X",'PUNCH LIST'!E144,"")</f>
        <v/>
      </c>
      <c r="G687">
        <f>IF('PUNCH LIST'!$W$144="X",'PUNCH LIST'!Q144,"")</f>
        <v/>
      </c>
      <c r="H687">
        <f>IF('PUNCH LIST'!$W$144="X","X","")</f>
        <v/>
      </c>
    </row>
    <row r="688" ht="15" customHeight="1" s="130">
      <c r="A688">
        <f>IF('PUNCH LIST'!$W$145="X","PUNCH LIST","")</f>
        <v/>
      </c>
      <c r="B688">
        <f>IF('PUNCH LIST'!$W$145="X",'PUNCH LIST'!B145,"")</f>
        <v/>
      </c>
      <c r="D688">
        <f>IF('PUNCH LIST'!$W$145="X",'PUNCH LIST'!F145,"")</f>
        <v/>
      </c>
      <c r="E688">
        <f>IF('PUNCH LIST'!$W$145="X",'PUNCH LIST'!C145,"")</f>
        <v/>
      </c>
      <c r="F688">
        <f>IF('PUNCH LIST'!$W$145="X",'PUNCH LIST'!E145,"")</f>
        <v/>
      </c>
      <c r="G688">
        <f>IF('PUNCH LIST'!$W$145="X",'PUNCH LIST'!Q145,"")</f>
        <v/>
      </c>
      <c r="H688">
        <f>IF('PUNCH LIST'!$W$145="X","X","")</f>
        <v/>
      </c>
    </row>
    <row r="689" ht="15" customHeight="1" s="130">
      <c r="A689">
        <f>IF('PUNCH LIST'!$W$146="X","PUNCH LIST","")</f>
        <v/>
      </c>
      <c r="B689">
        <f>IF('PUNCH LIST'!$W$146="X",'PUNCH LIST'!B146,"")</f>
        <v/>
      </c>
      <c r="D689">
        <f>IF('PUNCH LIST'!$W$146="X",'PUNCH LIST'!F146,"")</f>
        <v/>
      </c>
      <c r="E689">
        <f>IF('PUNCH LIST'!$W$146="X",'PUNCH LIST'!C146,"")</f>
        <v/>
      </c>
      <c r="F689">
        <f>IF('PUNCH LIST'!$W$146="X",'PUNCH LIST'!E146,"")</f>
        <v/>
      </c>
      <c r="G689">
        <f>IF('PUNCH LIST'!$W$146="X",'PUNCH LIST'!Q146,"")</f>
        <v/>
      </c>
      <c r="H689">
        <f>IF('PUNCH LIST'!$W$146="X","X","")</f>
        <v/>
      </c>
    </row>
    <row r="690" ht="15" customHeight="1" s="130">
      <c r="A690">
        <f>IF('PUNCH LIST'!$W$147="X","PUNCH LIST","")</f>
        <v/>
      </c>
      <c r="B690">
        <f>IF('PUNCH LIST'!$W$147="X",'PUNCH LIST'!B147,"")</f>
        <v/>
      </c>
      <c r="D690">
        <f>IF('PUNCH LIST'!$W$147="X",'PUNCH LIST'!F147,"")</f>
        <v/>
      </c>
      <c r="E690">
        <f>IF('PUNCH LIST'!$W$147="X",'PUNCH LIST'!C147,"")</f>
        <v/>
      </c>
      <c r="F690">
        <f>IF('PUNCH LIST'!$W$147="X",'PUNCH LIST'!E147,"")</f>
        <v/>
      </c>
      <c r="G690">
        <f>IF('PUNCH LIST'!$W$147="X",'PUNCH LIST'!Q147,"")</f>
        <v/>
      </c>
      <c r="H690">
        <f>IF('PUNCH LIST'!$W$147="X","X","")</f>
        <v/>
      </c>
    </row>
    <row r="691" ht="15" customHeight="1" s="130">
      <c r="A691">
        <f>IF('PUNCH LIST'!$W$148="X","PUNCH LIST","")</f>
        <v/>
      </c>
      <c r="B691">
        <f>IF('PUNCH LIST'!$W$148="X",'PUNCH LIST'!B148,"")</f>
        <v/>
      </c>
      <c r="D691">
        <f>IF('PUNCH LIST'!$W$148="X",'PUNCH LIST'!F148,"")</f>
        <v/>
      </c>
      <c r="E691">
        <f>IF('PUNCH LIST'!$W$148="X",'PUNCH LIST'!C148,"")</f>
        <v/>
      </c>
      <c r="F691">
        <f>IF('PUNCH LIST'!$W$148="X",'PUNCH LIST'!E148,"")</f>
        <v/>
      </c>
      <c r="G691">
        <f>IF('PUNCH LIST'!$W$148="X",'PUNCH LIST'!Q148,"")</f>
        <v/>
      </c>
      <c r="H691">
        <f>IF('PUNCH LIST'!$W$148="X","X","")</f>
        <v/>
      </c>
    </row>
    <row r="692" ht="15" customHeight="1" s="130">
      <c r="A692">
        <f>IF('PUNCH LIST'!$W$149="X","PUNCH LIST","")</f>
        <v/>
      </c>
      <c r="B692">
        <f>IF('PUNCH LIST'!$W$149="X",'PUNCH LIST'!B149,"")</f>
        <v/>
      </c>
      <c r="D692">
        <f>IF('PUNCH LIST'!$W$149="X",'PUNCH LIST'!F149,"")</f>
        <v/>
      </c>
      <c r="E692">
        <f>IF('PUNCH LIST'!$W$149="X",'PUNCH LIST'!C149,"")</f>
        <v/>
      </c>
      <c r="F692">
        <f>IF('PUNCH LIST'!$W$149="X",'PUNCH LIST'!E149,"")</f>
        <v/>
      </c>
      <c r="G692">
        <f>IF('PUNCH LIST'!$W$149="X",'PUNCH LIST'!Q149,"")</f>
        <v/>
      </c>
      <c r="H692">
        <f>IF('PUNCH LIST'!$W$149="X","X","")</f>
        <v/>
      </c>
    </row>
    <row r="693" ht="15" customHeight="1" s="130">
      <c r="A693">
        <f>IF('PUNCH LIST'!$W$150="X","PUNCH LIST","")</f>
        <v/>
      </c>
      <c r="B693">
        <f>IF('PUNCH LIST'!$W$150="X",'PUNCH LIST'!B150,"")</f>
        <v/>
      </c>
      <c r="D693">
        <f>IF('PUNCH LIST'!$W$150="X",'PUNCH LIST'!F150,"")</f>
        <v/>
      </c>
      <c r="E693">
        <f>IF('PUNCH LIST'!$W$150="X",'PUNCH LIST'!C150,"")</f>
        <v/>
      </c>
      <c r="F693">
        <f>IF('PUNCH LIST'!$W$150="X",'PUNCH LIST'!E150,"")</f>
        <v/>
      </c>
      <c r="G693">
        <f>IF('PUNCH LIST'!$W$150="X",'PUNCH LIST'!Q150,"")</f>
        <v/>
      </c>
      <c r="H693">
        <f>IF('PUNCH LIST'!$W$150="X","X","")</f>
        <v/>
      </c>
    </row>
    <row r="694" ht="15" customHeight="1" s="130">
      <c r="A694">
        <f>IF('PUNCH LIST'!$W$151="X","PUNCH LIST","")</f>
        <v/>
      </c>
      <c r="B694">
        <f>IF('PUNCH LIST'!$W$151="X",'PUNCH LIST'!B151,"")</f>
        <v/>
      </c>
      <c r="D694">
        <f>IF('PUNCH LIST'!$W$151="X",'PUNCH LIST'!F151,"")</f>
        <v/>
      </c>
      <c r="E694">
        <f>IF('PUNCH LIST'!$W$151="X",'PUNCH LIST'!C151,"")</f>
        <v/>
      </c>
      <c r="F694">
        <f>IF('PUNCH LIST'!$W$151="X",'PUNCH LIST'!E151,"")</f>
        <v/>
      </c>
      <c r="G694">
        <f>IF('PUNCH LIST'!$W$151="X",'PUNCH LIST'!Q151,"")</f>
        <v/>
      </c>
      <c r="H694">
        <f>IF('PUNCH LIST'!$W$151="X","X","")</f>
        <v/>
      </c>
    </row>
    <row r="695" ht="15" customHeight="1" s="130">
      <c r="A695">
        <f>IF('PUNCH LIST'!$W$152="X","PUNCH LIST","")</f>
        <v/>
      </c>
      <c r="B695">
        <f>IF('PUNCH LIST'!$W$152="X",'PUNCH LIST'!B152,"")</f>
        <v/>
      </c>
      <c r="D695">
        <f>IF('PUNCH LIST'!$W$152="X",'PUNCH LIST'!F152,"")</f>
        <v/>
      </c>
      <c r="E695">
        <f>IF('PUNCH LIST'!$W$152="X",'PUNCH LIST'!C152,"")</f>
        <v/>
      </c>
      <c r="F695">
        <f>IF('PUNCH LIST'!$W$152="X",'PUNCH LIST'!E152,"")</f>
        <v/>
      </c>
      <c r="G695">
        <f>IF('PUNCH LIST'!$W$152="X",'PUNCH LIST'!Q152,"")</f>
        <v/>
      </c>
      <c r="H695">
        <f>IF('PUNCH LIST'!$W$152="X","X","")</f>
        <v/>
      </c>
    </row>
    <row r="696" ht="15" customHeight="1" s="130">
      <c r="A696">
        <f>IF('PUNCH LIST'!$W$153="X","PUNCH LIST","")</f>
        <v/>
      </c>
      <c r="B696">
        <f>IF('PUNCH LIST'!$W$153="X",'PUNCH LIST'!B153,"")</f>
        <v/>
      </c>
      <c r="D696">
        <f>IF('PUNCH LIST'!$W$153="X",'PUNCH LIST'!F153,"")</f>
        <v/>
      </c>
      <c r="E696">
        <f>IF('PUNCH LIST'!$W$153="X",'PUNCH LIST'!C153,"")</f>
        <v/>
      </c>
      <c r="F696">
        <f>IF('PUNCH LIST'!$W$153="X",'PUNCH LIST'!E153,"")</f>
        <v/>
      </c>
      <c r="G696">
        <f>IF('PUNCH LIST'!$W$153="X",'PUNCH LIST'!Q153,"")</f>
        <v/>
      </c>
      <c r="H696">
        <f>IF('PUNCH LIST'!$W$153="X","X","")</f>
        <v/>
      </c>
    </row>
    <row r="697" ht="15" customHeight="1" s="130">
      <c r="A697">
        <f>IF('PUNCH LIST'!$W$154="X","PUNCH LIST","")</f>
        <v/>
      </c>
      <c r="B697">
        <f>IF('PUNCH LIST'!$W$154="X",'PUNCH LIST'!B154,"")</f>
        <v/>
      </c>
      <c r="D697">
        <f>IF('PUNCH LIST'!$W$154="X",'PUNCH LIST'!F154,"")</f>
        <v/>
      </c>
      <c r="E697">
        <f>IF('PUNCH LIST'!$W$154="X",'PUNCH LIST'!C154,"")</f>
        <v/>
      </c>
      <c r="F697">
        <f>IF('PUNCH LIST'!$W$154="X",'PUNCH LIST'!E154,"")</f>
        <v/>
      </c>
      <c r="G697">
        <f>IF('PUNCH LIST'!$W$154="X",'PUNCH LIST'!Q154,"")</f>
        <v/>
      </c>
      <c r="H697">
        <f>IF('PUNCH LIST'!$W$154="X","X","")</f>
        <v/>
      </c>
    </row>
    <row r="698" ht="15" customHeight="1" s="130">
      <c r="A698">
        <f>IF('PUNCH LIST'!$W$155="X","PUNCH LIST","")</f>
        <v/>
      </c>
      <c r="B698">
        <f>IF('PUNCH LIST'!$W$155="X",'PUNCH LIST'!B155,"")</f>
        <v/>
      </c>
      <c r="D698">
        <f>IF('PUNCH LIST'!$W$155="X",'PUNCH LIST'!F155,"")</f>
        <v/>
      </c>
      <c r="E698">
        <f>IF('PUNCH LIST'!$W$155="X",'PUNCH LIST'!C155,"")</f>
        <v/>
      </c>
      <c r="F698">
        <f>IF('PUNCH LIST'!$W$155="X",'PUNCH LIST'!E155,"")</f>
        <v/>
      </c>
      <c r="G698">
        <f>IF('PUNCH LIST'!$W$155="X",'PUNCH LIST'!Q155,"")</f>
        <v/>
      </c>
      <c r="H698">
        <f>IF('PUNCH LIST'!$W$155="X","X","")</f>
        <v/>
      </c>
    </row>
    <row r="699" ht="15" customHeight="1" s="130">
      <c r="A699">
        <f>IF('PUNCH LIST'!$W$156="X","PUNCH LIST","")</f>
        <v/>
      </c>
      <c r="B699">
        <f>IF('PUNCH LIST'!$W$156="X",'PUNCH LIST'!B156,"")</f>
        <v/>
      </c>
      <c r="D699">
        <f>IF('PUNCH LIST'!$W$156="X",'PUNCH LIST'!F156,"")</f>
        <v/>
      </c>
      <c r="E699">
        <f>IF('PUNCH LIST'!$W$156="X",'PUNCH LIST'!C156,"")</f>
        <v/>
      </c>
      <c r="F699">
        <f>IF('PUNCH LIST'!$W$156="X",'PUNCH LIST'!E156,"")</f>
        <v/>
      </c>
      <c r="G699">
        <f>IF('PUNCH LIST'!$W$156="X",'PUNCH LIST'!Q156,"")</f>
        <v/>
      </c>
      <c r="H699">
        <f>IF('PUNCH LIST'!$W$156="X","X","")</f>
        <v/>
      </c>
    </row>
    <row r="700" ht="15" customHeight="1" s="130">
      <c r="A700">
        <f>IF('PUNCH LIST'!$W$157="X","PUNCH LIST","")</f>
        <v/>
      </c>
      <c r="B700">
        <f>IF('PUNCH LIST'!$W$157="X",'PUNCH LIST'!B157,"")</f>
        <v/>
      </c>
      <c r="D700">
        <f>IF('PUNCH LIST'!$W$157="X",'PUNCH LIST'!F157,"")</f>
        <v/>
      </c>
      <c r="E700">
        <f>IF('PUNCH LIST'!$W$157="X",'PUNCH LIST'!C157,"")</f>
        <v/>
      </c>
      <c r="F700">
        <f>IF('PUNCH LIST'!$W$157="X",'PUNCH LIST'!E157,"")</f>
        <v/>
      </c>
      <c r="G700">
        <f>IF('PUNCH LIST'!$W$157="X",'PUNCH LIST'!Q157,"")</f>
        <v/>
      </c>
      <c r="H700">
        <f>IF('PUNCH LIST'!$W$157="X","X","")</f>
        <v/>
      </c>
    </row>
    <row r="701" ht="15" customHeight="1" s="130">
      <c r="A701">
        <f>IF('PUNCH LIST'!$W$158="X","PUNCH LIST","")</f>
        <v/>
      </c>
      <c r="B701">
        <f>IF('PUNCH LIST'!$W$158="X",'PUNCH LIST'!B158,"")</f>
        <v/>
      </c>
      <c r="D701">
        <f>IF('PUNCH LIST'!$W$158="X",'PUNCH LIST'!F158,"")</f>
        <v/>
      </c>
      <c r="E701">
        <f>IF('PUNCH LIST'!$W$158="X",'PUNCH LIST'!C158,"")</f>
        <v/>
      </c>
      <c r="F701">
        <f>IF('PUNCH LIST'!$W$158="X",'PUNCH LIST'!E158,"")</f>
        <v/>
      </c>
      <c r="G701">
        <f>IF('PUNCH LIST'!$W$158="X",'PUNCH LIST'!Q158,"")</f>
        <v/>
      </c>
      <c r="H701">
        <f>IF('PUNCH LIST'!$W$158="X","X","")</f>
        <v/>
      </c>
    </row>
    <row r="702" ht="15" customHeight="1" s="130">
      <c r="A702">
        <f>IF('PUNCH LIST'!$W$159="X","PUNCH LIST","")</f>
        <v/>
      </c>
      <c r="B702">
        <f>IF('PUNCH LIST'!$W$159="X",'PUNCH LIST'!B159,"")</f>
        <v/>
      </c>
      <c r="D702">
        <f>IF('PUNCH LIST'!$W$159="X",'PUNCH LIST'!F159,"")</f>
        <v/>
      </c>
      <c r="E702">
        <f>IF('PUNCH LIST'!$W$159="X",'PUNCH LIST'!C159,"")</f>
        <v/>
      </c>
      <c r="F702">
        <f>IF('PUNCH LIST'!$W$159="X",'PUNCH LIST'!E159,"")</f>
        <v/>
      </c>
      <c r="G702">
        <f>IF('PUNCH LIST'!$W$159="X",'PUNCH LIST'!Q159,"")</f>
        <v/>
      </c>
      <c r="H702">
        <f>IF('PUNCH LIST'!$W$159="X","X","")</f>
        <v/>
      </c>
    </row>
    <row r="703" ht="15" customHeight="1" s="130">
      <c r="A703">
        <f>IF('PUNCH LIST'!$W$160="X","PUNCH LIST","")</f>
        <v/>
      </c>
      <c r="B703">
        <f>IF('PUNCH LIST'!$W$160="X",'PUNCH LIST'!B160,"")</f>
        <v/>
      </c>
      <c r="D703">
        <f>IF('PUNCH LIST'!$W$160="X",'PUNCH LIST'!F160,"")</f>
        <v/>
      </c>
      <c r="E703">
        <f>IF('PUNCH LIST'!$W$160="X",'PUNCH LIST'!C160,"")</f>
        <v/>
      </c>
      <c r="F703">
        <f>IF('PUNCH LIST'!$W$160="X",'PUNCH LIST'!E160,"")</f>
        <v/>
      </c>
      <c r="G703">
        <f>IF('PUNCH LIST'!$W$160="X",'PUNCH LIST'!Q160,"")</f>
        <v/>
      </c>
      <c r="H703">
        <f>IF('PUNCH LIST'!$W$160="X","X","")</f>
        <v/>
      </c>
    </row>
    <row r="704" ht="15" customHeight="1" s="130">
      <c r="A704">
        <f>IF('PUNCH LIST'!$W$161="X","PUNCH LIST","")</f>
        <v/>
      </c>
      <c r="B704">
        <f>IF('PUNCH LIST'!$W$161="X",'PUNCH LIST'!B161,"")</f>
        <v/>
      </c>
      <c r="D704">
        <f>IF('PUNCH LIST'!$W$161="X",'PUNCH LIST'!F161,"")</f>
        <v/>
      </c>
      <c r="E704">
        <f>IF('PUNCH LIST'!$W$161="X",'PUNCH LIST'!C161,"")</f>
        <v/>
      </c>
      <c r="F704">
        <f>IF('PUNCH LIST'!$W$161="X",'PUNCH LIST'!E161,"")</f>
        <v/>
      </c>
      <c r="G704">
        <f>IF('PUNCH LIST'!$W$161="X",'PUNCH LIST'!Q161,"")</f>
        <v/>
      </c>
      <c r="H704">
        <f>IF('PUNCH LIST'!$W$161="X","X","")</f>
        <v/>
      </c>
    </row>
    <row r="705" ht="15" customHeight="1" s="130">
      <c r="A705">
        <f>IF('PUNCH LIST'!$W$162="X","PUNCH LIST","")</f>
        <v/>
      </c>
      <c r="B705">
        <f>IF('PUNCH LIST'!$W$162="X",'PUNCH LIST'!B162,"")</f>
        <v/>
      </c>
      <c r="D705">
        <f>IF('PUNCH LIST'!$W$162="X",'PUNCH LIST'!F162,"")</f>
        <v/>
      </c>
      <c r="E705">
        <f>IF('PUNCH LIST'!$W$162="X",'PUNCH LIST'!C162,"")</f>
        <v/>
      </c>
      <c r="F705">
        <f>IF('PUNCH LIST'!$W$162="X",'PUNCH LIST'!E162,"")</f>
        <v/>
      </c>
      <c r="G705">
        <f>IF('PUNCH LIST'!$W$162="X",'PUNCH LIST'!Q162,"")</f>
        <v/>
      </c>
      <c r="H705">
        <f>IF('PUNCH LIST'!$W$162="X","X","")</f>
        <v/>
      </c>
    </row>
    <row r="706" ht="15" customHeight="1" s="130">
      <c r="A706">
        <f>IF('PUNCH LIST'!$W$163="X","PUNCH LIST","")</f>
        <v/>
      </c>
      <c r="B706">
        <f>IF('PUNCH LIST'!$W$163="X",'PUNCH LIST'!B163,"")</f>
        <v/>
      </c>
      <c r="D706">
        <f>IF('PUNCH LIST'!$W$163="X",'PUNCH LIST'!F163,"")</f>
        <v/>
      </c>
      <c r="E706">
        <f>IF('PUNCH LIST'!$W$163="X",'PUNCH LIST'!C163,"")</f>
        <v/>
      </c>
      <c r="F706">
        <f>IF('PUNCH LIST'!$W$163="X",'PUNCH LIST'!E163,"")</f>
        <v/>
      </c>
      <c r="G706">
        <f>IF('PUNCH LIST'!$W$163="X",'PUNCH LIST'!Q163,"")</f>
        <v/>
      </c>
      <c r="H706">
        <f>IF('PUNCH LIST'!$W$163="X","X","")</f>
        <v/>
      </c>
    </row>
    <row r="707" ht="15" customHeight="1" s="130">
      <c r="A707">
        <f>IF('PUNCH LIST'!$W$164="X","PUNCH LIST","")</f>
        <v/>
      </c>
      <c r="B707">
        <f>IF('PUNCH LIST'!$W$164="X",'PUNCH LIST'!B164,"")</f>
        <v/>
      </c>
      <c r="D707">
        <f>IF('PUNCH LIST'!$W$164="X",'PUNCH LIST'!F164,"")</f>
        <v/>
      </c>
      <c r="E707">
        <f>IF('PUNCH LIST'!$W$164="X",'PUNCH LIST'!C164,"")</f>
        <v/>
      </c>
      <c r="F707">
        <f>IF('PUNCH LIST'!$W$164="X",'PUNCH LIST'!E164,"")</f>
        <v/>
      </c>
      <c r="G707">
        <f>IF('PUNCH LIST'!$W$164="X",'PUNCH LIST'!Q164,"")</f>
        <v/>
      </c>
      <c r="H707">
        <f>IF('PUNCH LIST'!$W$164="X","X","")</f>
        <v/>
      </c>
    </row>
    <row r="708" ht="15" customHeight="1" s="130">
      <c r="A708">
        <f>IF('PUNCH LIST'!$W$165="X","PUNCH LIST","")</f>
        <v/>
      </c>
      <c r="B708">
        <f>IF('PUNCH LIST'!$W$165="X",'PUNCH LIST'!B165,"")</f>
        <v/>
      </c>
      <c r="D708">
        <f>IF('PUNCH LIST'!$W$165="X",'PUNCH LIST'!F165,"")</f>
        <v/>
      </c>
      <c r="E708">
        <f>IF('PUNCH LIST'!$W$165="X",'PUNCH LIST'!C165,"")</f>
        <v/>
      </c>
      <c r="F708">
        <f>IF('PUNCH LIST'!$W$165="X",'PUNCH LIST'!E165,"")</f>
        <v/>
      </c>
      <c r="G708">
        <f>IF('PUNCH LIST'!$W$165="X",'PUNCH LIST'!Q165,"")</f>
        <v/>
      </c>
      <c r="H708">
        <f>IF('PUNCH LIST'!$W$165="X","X","")</f>
        <v/>
      </c>
    </row>
    <row r="709" ht="15" customHeight="1" s="130">
      <c r="A709">
        <f>IF('PUNCH LIST'!$W$166="X","PUNCH LIST","")</f>
        <v/>
      </c>
      <c r="B709">
        <f>IF('PUNCH LIST'!$W$166="X",'PUNCH LIST'!B166,"")</f>
        <v/>
      </c>
      <c r="D709">
        <f>IF('PUNCH LIST'!$W$166="X",'PUNCH LIST'!F166,"")</f>
        <v/>
      </c>
      <c r="E709">
        <f>IF('PUNCH LIST'!$W$166="X",'PUNCH LIST'!C166,"")</f>
        <v/>
      </c>
      <c r="F709">
        <f>IF('PUNCH LIST'!$W$166="X",'PUNCH LIST'!E166,"")</f>
        <v/>
      </c>
      <c r="G709">
        <f>IF('PUNCH LIST'!$W$166="X",'PUNCH LIST'!Q166,"")</f>
        <v/>
      </c>
      <c r="H709">
        <f>IF('PUNCH LIST'!$W$166="X","X","")</f>
        <v/>
      </c>
    </row>
    <row r="710" ht="15" customHeight="1" s="130">
      <c r="A710">
        <f>IF('PUNCH LIST'!$W$167="X","PUNCH LIST","")</f>
        <v/>
      </c>
      <c r="B710">
        <f>IF('PUNCH LIST'!$W$167="X",'PUNCH LIST'!B167,"")</f>
        <v/>
      </c>
      <c r="D710">
        <f>IF('PUNCH LIST'!$W$167="X",'PUNCH LIST'!F167,"")</f>
        <v/>
      </c>
      <c r="E710">
        <f>IF('PUNCH LIST'!$W$167="X",'PUNCH LIST'!C167,"")</f>
        <v/>
      </c>
      <c r="F710">
        <f>IF('PUNCH LIST'!$W$167="X",'PUNCH LIST'!E167,"")</f>
        <v/>
      </c>
      <c r="G710">
        <f>IF('PUNCH LIST'!$W$167="X",'PUNCH LIST'!Q167,"")</f>
        <v/>
      </c>
      <c r="H710">
        <f>IF('PUNCH LIST'!$W$167="X","X","")</f>
        <v/>
      </c>
    </row>
    <row r="711" ht="15" customHeight="1" s="130">
      <c r="A711">
        <f>IF('PUNCH LIST'!$W$168="X","PUNCH LIST","")</f>
        <v/>
      </c>
      <c r="B711">
        <f>IF('PUNCH LIST'!$W$168="X",'PUNCH LIST'!B168,"")</f>
        <v/>
      </c>
      <c r="D711">
        <f>IF('PUNCH LIST'!$W$168="X",'PUNCH LIST'!F168,"")</f>
        <v/>
      </c>
      <c r="E711">
        <f>IF('PUNCH LIST'!$W$168="X",'PUNCH LIST'!C168,"")</f>
        <v/>
      </c>
      <c r="F711">
        <f>IF('PUNCH LIST'!$W$168="X",'PUNCH LIST'!E168,"")</f>
        <v/>
      </c>
      <c r="G711">
        <f>IF('PUNCH LIST'!$W$168="X",'PUNCH LIST'!Q168,"")</f>
        <v/>
      </c>
      <c r="H711">
        <f>IF('PUNCH LIST'!$W$168="X","X","")</f>
        <v/>
      </c>
    </row>
    <row r="712" ht="15" customHeight="1" s="130">
      <c r="A712">
        <f>IF('PUNCH LIST'!$W$169="X","PUNCH LIST","")</f>
        <v/>
      </c>
      <c r="B712">
        <f>IF('PUNCH LIST'!$W$169="X",'PUNCH LIST'!B169,"")</f>
        <v/>
      </c>
      <c r="D712">
        <f>IF('PUNCH LIST'!$W$169="X",'PUNCH LIST'!F169,"")</f>
        <v/>
      </c>
      <c r="E712">
        <f>IF('PUNCH LIST'!$W$169="X",'PUNCH LIST'!C169,"")</f>
        <v/>
      </c>
      <c r="F712">
        <f>IF('PUNCH LIST'!$W$169="X",'PUNCH LIST'!E169,"")</f>
        <v/>
      </c>
      <c r="G712">
        <f>IF('PUNCH LIST'!$W$169="X",'PUNCH LIST'!Q169,"")</f>
        <v/>
      </c>
      <c r="H712">
        <f>IF('PUNCH LIST'!$W$169="X","X","")</f>
        <v/>
      </c>
    </row>
    <row r="713" ht="15" customHeight="1" s="130">
      <c r="A713">
        <f>IF('PUNCH LIST'!$W$170="X","PUNCH LIST","")</f>
        <v/>
      </c>
      <c r="B713">
        <f>IF('PUNCH LIST'!$W$170="X",'PUNCH LIST'!B170,"")</f>
        <v/>
      </c>
      <c r="D713">
        <f>IF('PUNCH LIST'!$W$170="X",'PUNCH LIST'!F170,"")</f>
        <v/>
      </c>
      <c r="E713">
        <f>IF('PUNCH LIST'!$W$170="X",'PUNCH LIST'!C170,"")</f>
        <v/>
      </c>
      <c r="F713">
        <f>IF('PUNCH LIST'!$W$170="X",'PUNCH LIST'!E170,"")</f>
        <v/>
      </c>
      <c r="G713">
        <f>IF('PUNCH LIST'!$W$170="X",'PUNCH LIST'!Q170,"")</f>
        <v/>
      </c>
      <c r="H713">
        <f>IF('PUNCH LIST'!$W$170="X","X","")</f>
        <v/>
      </c>
    </row>
    <row r="714" ht="15" customHeight="1" s="130">
      <c r="A714">
        <f>IF('PUNCH LIST'!$W$171="X","PUNCH LIST","")</f>
        <v/>
      </c>
      <c r="B714">
        <f>IF('PUNCH LIST'!$W$171="X",'PUNCH LIST'!B171,"")</f>
        <v/>
      </c>
      <c r="D714">
        <f>IF('PUNCH LIST'!$W$171="X",'PUNCH LIST'!F171,"")</f>
        <v/>
      </c>
      <c r="E714">
        <f>IF('PUNCH LIST'!$W$171="X",'PUNCH LIST'!C171,"")</f>
        <v/>
      </c>
      <c r="F714">
        <f>IF('PUNCH LIST'!$W$171="X",'PUNCH LIST'!E171,"")</f>
        <v/>
      </c>
      <c r="G714">
        <f>IF('PUNCH LIST'!$W$171="X",'PUNCH LIST'!Q171,"")</f>
        <v/>
      </c>
      <c r="H714">
        <f>IF('PUNCH LIST'!$W$171="X","X","")</f>
        <v/>
      </c>
    </row>
    <row r="715" ht="15" customHeight="1" s="130">
      <c r="A715">
        <f>IF('PUNCH LIST'!$W$172="X","PUNCH LIST","")</f>
        <v/>
      </c>
      <c r="B715">
        <f>IF('PUNCH LIST'!$W$172="X",'PUNCH LIST'!B172,"")</f>
        <v/>
      </c>
      <c r="D715">
        <f>IF('PUNCH LIST'!$W$172="X",'PUNCH LIST'!F172,"")</f>
        <v/>
      </c>
      <c r="E715">
        <f>IF('PUNCH LIST'!$W$172="X",'PUNCH LIST'!C172,"")</f>
        <v/>
      </c>
      <c r="F715">
        <f>IF('PUNCH LIST'!$W$172="X",'PUNCH LIST'!E172,"")</f>
        <v/>
      </c>
      <c r="G715">
        <f>IF('PUNCH LIST'!$W$172="X",'PUNCH LIST'!Q172,"")</f>
        <v/>
      </c>
      <c r="H715">
        <f>IF('PUNCH LIST'!$W$172="X","X","")</f>
        <v/>
      </c>
    </row>
    <row r="716" ht="15" customHeight="1" s="130">
      <c r="A716">
        <f>IF('PUNCH LIST'!$W$173="X","PUNCH LIST","")</f>
        <v/>
      </c>
      <c r="B716">
        <f>IF('PUNCH LIST'!$W$173="X",'PUNCH LIST'!B173,"")</f>
        <v/>
      </c>
      <c r="D716">
        <f>IF('PUNCH LIST'!$W$173="X",'PUNCH LIST'!F173,"")</f>
        <v/>
      </c>
      <c r="E716">
        <f>IF('PUNCH LIST'!$W$173="X",'PUNCH LIST'!C173,"")</f>
        <v/>
      </c>
      <c r="F716">
        <f>IF('PUNCH LIST'!$W$173="X",'PUNCH LIST'!E173,"")</f>
        <v/>
      </c>
      <c r="G716">
        <f>IF('PUNCH LIST'!$W$173="X",'PUNCH LIST'!Q173,"")</f>
        <v/>
      </c>
      <c r="H716">
        <f>IF('PUNCH LIST'!$W$173="X","X","")</f>
        <v/>
      </c>
    </row>
    <row r="717" ht="15" customHeight="1" s="130">
      <c r="A717">
        <f>IF('PUNCH LIST'!$W$174="X","PUNCH LIST","")</f>
        <v/>
      </c>
      <c r="B717">
        <f>IF('PUNCH LIST'!$W$174="X",'PUNCH LIST'!B174,"")</f>
        <v/>
      </c>
      <c r="D717">
        <f>IF('PUNCH LIST'!$W$174="X",'PUNCH LIST'!F174,"")</f>
        <v/>
      </c>
      <c r="E717">
        <f>IF('PUNCH LIST'!$W$174="X",'PUNCH LIST'!C174,"")</f>
        <v/>
      </c>
      <c r="F717">
        <f>IF('PUNCH LIST'!$W$174="X",'PUNCH LIST'!E174,"")</f>
        <v/>
      </c>
      <c r="G717">
        <f>IF('PUNCH LIST'!$W$174="X",'PUNCH LIST'!Q174,"")</f>
        <v/>
      </c>
      <c r="H717">
        <f>IF('PUNCH LIST'!$W$174="X","X","")</f>
        <v/>
      </c>
    </row>
    <row r="718" ht="15" customHeight="1" s="130">
      <c r="A718">
        <f>IF('PUNCH LIST'!$W$175="X","PUNCH LIST","")</f>
        <v/>
      </c>
      <c r="B718">
        <f>IF('PUNCH LIST'!$W$175="X",'PUNCH LIST'!B175,"")</f>
        <v/>
      </c>
      <c r="D718">
        <f>IF('PUNCH LIST'!$W$175="X",'PUNCH LIST'!F175,"")</f>
        <v/>
      </c>
      <c r="E718">
        <f>IF('PUNCH LIST'!$W$175="X",'PUNCH LIST'!C175,"")</f>
        <v/>
      </c>
      <c r="F718">
        <f>IF('PUNCH LIST'!$W$175="X",'PUNCH LIST'!E175,"")</f>
        <v/>
      </c>
      <c r="G718">
        <f>IF('PUNCH LIST'!$W$175="X",'PUNCH LIST'!Q175,"")</f>
        <v/>
      </c>
      <c r="H718">
        <f>IF('PUNCH LIST'!$W$175="X","X","")</f>
        <v/>
      </c>
    </row>
    <row r="719" ht="15" customHeight="1" s="130">
      <c r="A719">
        <f>IF('PUNCH LIST'!$W$176="X","PUNCH LIST","")</f>
        <v/>
      </c>
      <c r="B719">
        <f>IF('PUNCH LIST'!$W$176="X",'PUNCH LIST'!B176,"")</f>
        <v/>
      </c>
      <c r="D719">
        <f>IF('PUNCH LIST'!$W$176="X",'PUNCH LIST'!F176,"")</f>
        <v/>
      </c>
      <c r="E719">
        <f>IF('PUNCH LIST'!$W$176="X",'PUNCH LIST'!C176,"")</f>
        <v/>
      </c>
      <c r="F719">
        <f>IF('PUNCH LIST'!$W$176="X",'PUNCH LIST'!E176,"")</f>
        <v/>
      </c>
      <c r="G719">
        <f>IF('PUNCH LIST'!$W$176="X",'PUNCH LIST'!Q176,"")</f>
        <v/>
      </c>
      <c r="H719">
        <f>IF('PUNCH LIST'!$W$176="X","X","")</f>
        <v/>
      </c>
    </row>
    <row r="720" ht="15" customHeight="1" s="130">
      <c r="A720">
        <f>IF('PUNCH LIST'!$W$177="X","PUNCH LIST","")</f>
        <v/>
      </c>
      <c r="B720">
        <f>IF('PUNCH LIST'!$W$177="X",'PUNCH LIST'!B177,"")</f>
        <v/>
      </c>
      <c r="D720">
        <f>IF('PUNCH LIST'!$W$177="X",'PUNCH LIST'!F177,"")</f>
        <v/>
      </c>
      <c r="E720">
        <f>IF('PUNCH LIST'!$W$177="X",'PUNCH LIST'!C177,"")</f>
        <v/>
      </c>
      <c r="F720">
        <f>IF('PUNCH LIST'!$W$177="X",'PUNCH LIST'!E177,"")</f>
        <v/>
      </c>
      <c r="G720">
        <f>IF('PUNCH LIST'!$W$177="X",'PUNCH LIST'!Q177,"")</f>
        <v/>
      </c>
      <c r="H720">
        <f>IF('PUNCH LIST'!$W$177="X","X","")</f>
        <v/>
      </c>
    </row>
    <row r="721" ht="15" customHeight="1" s="130">
      <c r="A721">
        <f>IF('PUNCH LIST'!$W$178="X","PUNCH LIST","")</f>
        <v/>
      </c>
      <c r="B721">
        <f>IF('PUNCH LIST'!$W$178="X",'PUNCH LIST'!B178,"")</f>
        <v/>
      </c>
      <c r="D721">
        <f>IF('PUNCH LIST'!$W$178="X",'PUNCH LIST'!F178,"")</f>
        <v/>
      </c>
      <c r="E721">
        <f>IF('PUNCH LIST'!$W$178="X",'PUNCH LIST'!C178,"")</f>
        <v/>
      </c>
      <c r="F721">
        <f>IF('PUNCH LIST'!$W$178="X",'PUNCH LIST'!E178,"")</f>
        <v/>
      </c>
      <c r="G721">
        <f>IF('PUNCH LIST'!$W$178="X",'PUNCH LIST'!Q178,"")</f>
        <v/>
      </c>
      <c r="H721">
        <f>IF('PUNCH LIST'!$W$178="X","X","")</f>
        <v/>
      </c>
    </row>
    <row r="722" ht="15" customHeight="1" s="130">
      <c r="A722">
        <f>IF('PUNCH LIST'!$W$179="X","PUNCH LIST","")</f>
        <v/>
      </c>
      <c r="B722">
        <f>IF('PUNCH LIST'!$W$179="X",'PUNCH LIST'!B179,"")</f>
        <v/>
      </c>
      <c r="D722">
        <f>IF('PUNCH LIST'!$W$179="X",'PUNCH LIST'!F179,"")</f>
        <v/>
      </c>
      <c r="E722">
        <f>IF('PUNCH LIST'!$W$179="X",'PUNCH LIST'!C179,"")</f>
        <v/>
      </c>
      <c r="F722">
        <f>IF('PUNCH LIST'!$W$179="X",'PUNCH LIST'!E179,"")</f>
        <v/>
      </c>
      <c r="G722">
        <f>IF('PUNCH LIST'!$W$179="X",'PUNCH LIST'!Q179,"")</f>
        <v/>
      </c>
      <c r="H722">
        <f>IF('PUNCH LIST'!$W$179="X","X","")</f>
        <v/>
      </c>
    </row>
    <row r="723" ht="15" customHeight="1" s="130">
      <c r="A723">
        <f>IF('PUNCH LIST'!$W$180="X","PUNCH LIST","")</f>
        <v/>
      </c>
      <c r="B723">
        <f>IF('PUNCH LIST'!$W$180="X",'PUNCH LIST'!B180,"")</f>
        <v/>
      </c>
      <c r="D723">
        <f>IF('PUNCH LIST'!$W$180="X",'PUNCH LIST'!F180,"")</f>
        <v/>
      </c>
      <c r="E723">
        <f>IF('PUNCH LIST'!$W$180="X",'PUNCH LIST'!C180,"")</f>
        <v/>
      </c>
      <c r="F723">
        <f>IF('PUNCH LIST'!$W$180="X",'PUNCH LIST'!E180,"")</f>
        <v/>
      </c>
      <c r="G723">
        <f>IF('PUNCH LIST'!$W$180="X",'PUNCH LIST'!Q180,"")</f>
        <v/>
      </c>
      <c r="H723">
        <f>IF('PUNCH LIST'!$W$180="X","X","")</f>
        <v/>
      </c>
    </row>
    <row r="724" ht="15" customHeight="1" s="130">
      <c r="A724">
        <f>IF('PUNCH LIST'!$W$181="X","PUNCH LIST","")</f>
        <v/>
      </c>
      <c r="B724">
        <f>IF('PUNCH LIST'!$W$181="X",'PUNCH LIST'!B181,"")</f>
        <v/>
      </c>
      <c r="D724">
        <f>IF('PUNCH LIST'!$W$181="X",'PUNCH LIST'!F181,"")</f>
        <v/>
      </c>
      <c r="E724">
        <f>IF('PUNCH LIST'!$W$181="X",'PUNCH LIST'!C181,"")</f>
        <v/>
      </c>
      <c r="F724">
        <f>IF('PUNCH LIST'!$W$181="X",'PUNCH LIST'!E181,"")</f>
        <v/>
      </c>
      <c r="G724">
        <f>IF('PUNCH LIST'!$W$181="X",'PUNCH LIST'!Q181,"")</f>
        <v/>
      </c>
      <c r="H724">
        <f>IF('PUNCH LIST'!$W$181="X","X","")</f>
        <v/>
      </c>
    </row>
    <row r="725" ht="15" customHeight="1" s="130">
      <c r="A725">
        <f>IF('PUNCH LIST'!$W$182="X","PUNCH LIST","")</f>
        <v/>
      </c>
      <c r="B725">
        <f>IF('PUNCH LIST'!$W$182="X",'PUNCH LIST'!B182,"")</f>
        <v/>
      </c>
      <c r="D725">
        <f>IF('PUNCH LIST'!$W$182="X",'PUNCH LIST'!F182,"")</f>
        <v/>
      </c>
      <c r="E725">
        <f>IF('PUNCH LIST'!$W$182="X",'PUNCH LIST'!C182,"")</f>
        <v/>
      </c>
      <c r="F725">
        <f>IF('PUNCH LIST'!$W$182="X",'PUNCH LIST'!E182,"")</f>
        <v/>
      </c>
      <c r="G725">
        <f>IF('PUNCH LIST'!$W$182="X",'PUNCH LIST'!Q182,"")</f>
        <v/>
      </c>
      <c r="H725">
        <f>IF('PUNCH LIST'!$W$182="X","X","")</f>
        <v/>
      </c>
    </row>
    <row r="726" ht="15" customHeight="1" s="130">
      <c r="A726">
        <f>IF('PUNCH LIST'!$W$183="X","PUNCH LIST","")</f>
        <v/>
      </c>
      <c r="B726">
        <f>IF('PUNCH LIST'!$W$183="X",'PUNCH LIST'!B183,"")</f>
        <v/>
      </c>
      <c r="D726">
        <f>IF('PUNCH LIST'!$W$183="X",'PUNCH LIST'!F183,"")</f>
        <v/>
      </c>
      <c r="E726">
        <f>IF('PUNCH LIST'!$W$183="X",'PUNCH LIST'!C183,"")</f>
        <v/>
      </c>
      <c r="F726">
        <f>IF('PUNCH LIST'!$W$183="X",'PUNCH LIST'!E183,"")</f>
        <v/>
      </c>
      <c r="G726">
        <f>IF('PUNCH LIST'!$W$183="X",'PUNCH LIST'!Q183,"")</f>
        <v/>
      </c>
      <c r="H726">
        <f>IF('PUNCH LIST'!$W$183="X","X","")</f>
        <v/>
      </c>
    </row>
    <row r="727" ht="15" customHeight="1" s="130">
      <c r="A727">
        <f>IF('PUNCH LIST'!$W$184="X","PUNCH LIST","")</f>
        <v/>
      </c>
      <c r="B727">
        <f>IF('PUNCH LIST'!$W$184="X",'PUNCH LIST'!B184,"")</f>
        <v/>
      </c>
      <c r="D727">
        <f>IF('PUNCH LIST'!$W$184="X",'PUNCH LIST'!F184,"")</f>
        <v/>
      </c>
      <c r="E727">
        <f>IF('PUNCH LIST'!$W$184="X",'PUNCH LIST'!C184,"")</f>
        <v/>
      </c>
      <c r="F727">
        <f>IF('PUNCH LIST'!$W$184="X",'PUNCH LIST'!E184,"")</f>
        <v/>
      </c>
      <c r="G727">
        <f>IF('PUNCH LIST'!$W$184="X",'PUNCH LIST'!Q184,"")</f>
        <v/>
      </c>
      <c r="H727">
        <f>IF('PUNCH LIST'!$W$184="X","X","")</f>
        <v/>
      </c>
    </row>
    <row r="728" ht="15" customHeight="1" s="130">
      <c r="A728">
        <f>IF('PUNCH LIST'!$W$185="X","PUNCH LIST","")</f>
        <v/>
      </c>
      <c r="B728">
        <f>IF('PUNCH LIST'!$W$185="X",'PUNCH LIST'!B185,"")</f>
        <v/>
      </c>
      <c r="D728">
        <f>IF('PUNCH LIST'!$W$185="X",'PUNCH LIST'!F185,"")</f>
        <v/>
      </c>
      <c r="E728">
        <f>IF('PUNCH LIST'!$W$185="X",'PUNCH LIST'!C185,"")</f>
        <v/>
      </c>
      <c r="F728">
        <f>IF('PUNCH LIST'!$W$185="X",'PUNCH LIST'!E185,"")</f>
        <v/>
      </c>
      <c r="G728">
        <f>IF('PUNCH LIST'!$W$185="X",'PUNCH LIST'!Q185,"")</f>
        <v/>
      </c>
      <c r="H728">
        <f>IF('PUNCH LIST'!$W$185="X","X","")</f>
        <v/>
      </c>
    </row>
    <row r="729" ht="15" customHeight="1" s="130">
      <c r="A729">
        <f>IF('PUNCH LIST'!$W$186="X","PUNCH LIST","")</f>
        <v/>
      </c>
      <c r="B729">
        <f>IF('PUNCH LIST'!$W$186="X",'PUNCH LIST'!B186,"")</f>
        <v/>
      </c>
      <c r="D729">
        <f>IF('PUNCH LIST'!$W$186="X",'PUNCH LIST'!F186,"")</f>
        <v/>
      </c>
      <c r="E729">
        <f>IF('PUNCH LIST'!$W$186="X",'PUNCH LIST'!C186,"")</f>
        <v/>
      </c>
      <c r="F729">
        <f>IF('PUNCH LIST'!$W$186="X",'PUNCH LIST'!E186,"")</f>
        <v/>
      </c>
      <c r="G729">
        <f>IF('PUNCH LIST'!$W$186="X",'PUNCH LIST'!Q186,"")</f>
        <v/>
      </c>
      <c r="H729">
        <f>IF('PUNCH LIST'!$W$186="X","X","")</f>
        <v/>
      </c>
    </row>
    <row r="730" ht="15" customHeight="1" s="130">
      <c r="A730">
        <f>IF('PUNCH LIST'!$W$187="X","PUNCH LIST","")</f>
        <v/>
      </c>
      <c r="B730">
        <f>IF('PUNCH LIST'!$W$187="X",'PUNCH LIST'!B187,"")</f>
        <v/>
      </c>
      <c r="D730">
        <f>IF('PUNCH LIST'!$W$187="X",'PUNCH LIST'!F187,"")</f>
        <v/>
      </c>
      <c r="E730">
        <f>IF('PUNCH LIST'!$W$187="X",'PUNCH LIST'!C187,"")</f>
        <v/>
      </c>
      <c r="F730">
        <f>IF('PUNCH LIST'!$W$187="X",'PUNCH LIST'!E187,"")</f>
        <v/>
      </c>
      <c r="G730">
        <f>IF('PUNCH LIST'!$W$187="X",'PUNCH LIST'!Q187,"")</f>
        <v/>
      </c>
      <c r="H730">
        <f>IF('PUNCH LIST'!$W$187="X","X","")</f>
        <v/>
      </c>
    </row>
    <row r="731" ht="15" customHeight="1" s="130">
      <c r="A731">
        <f>IF('PUNCH LIST'!$W$188="X","PUNCH LIST","")</f>
        <v/>
      </c>
      <c r="B731">
        <f>IF('PUNCH LIST'!$W$188="X",'PUNCH LIST'!B188,"")</f>
        <v/>
      </c>
      <c r="D731">
        <f>IF('PUNCH LIST'!$W$188="X",'PUNCH LIST'!F188,"")</f>
        <v/>
      </c>
      <c r="E731">
        <f>IF('PUNCH LIST'!$W$188="X",'PUNCH LIST'!C188,"")</f>
        <v/>
      </c>
      <c r="F731">
        <f>IF('PUNCH LIST'!$W$188="X",'PUNCH LIST'!E188,"")</f>
        <v/>
      </c>
      <c r="G731">
        <f>IF('PUNCH LIST'!$W$188="X",'PUNCH LIST'!Q188,"")</f>
        <v/>
      </c>
      <c r="H731">
        <f>IF('PUNCH LIST'!$W$188="X","X","")</f>
        <v/>
      </c>
    </row>
    <row r="732" ht="15" customHeight="1" s="130">
      <c r="A732">
        <f>IF('PUNCH LIST'!$W$189="X","PUNCH LIST","")</f>
        <v/>
      </c>
      <c r="B732">
        <f>IF('PUNCH LIST'!$W$189="X",'PUNCH LIST'!B189,"")</f>
        <v/>
      </c>
      <c r="D732">
        <f>IF('PUNCH LIST'!$W$189="X",'PUNCH LIST'!F189,"")</f>
        <v/>
      </c>
      <c r="E732">
        <f>IF('PUNCH LIST'!$W$189="X",'PUNCH LIST'!C189,"")</f>
        <v/>
      </c>
      <c r="F732">
        <f>IF('PUNCH LIST'!$W$189="X",'PUNCH LIST'!E189,"")</f>
        <v/>
      </c>
      <c r="G732">
        <f>IF('PUNCH LIST'!$W$189="X",'PUNCH LIST'!Q189,"")</f>
        <v/>
      </c>
      <c r="H732">
        <f>IF('PUNCH LIST'!$W$189="X","X","")</f>
        <v/>
      </c>
    </row>
    <row r="733" ht="15" customHeight="1" s="130">
      <c r="A733">
        <f>IF('PUNCH LIST'!$W$190="X","PUNCH LIST","")</f>
        <v/>
      </c>
      <c r="B733">
        <f>IF('PUNCH LIST'!$W$190="X",'PUNCH LIST'!B190,"")</f>
        <v/>
      </c>
      <c r="D733">
        <f>IF('PUNCH LIST'!$W$190="X",'PUNCH LIST'!F190,"")</f>
        <v/>
      </c>
      <c r="E733">
        <f>IF('PUNCH LIST'!$W$190="X",'PUNCH LIST'!C190,"")</f>
        <v/>
      </c>
      <c r="F733">
        <f>IF('PUNCH LIST'!$W$190="X",'PUNCH LIST'!E190,"")</f>
        <v/>
      </c>
      <c r="G733">
        <f>IF('PUNCH LIST'!$W$190="X",'PUNCH LIST'!Q190,"")</f>
        <v/>
      </c>
      <c r="H733">
        <f>IF('PUNCH LIST'!$W$190="X","X","")</f>
        <v/>
      </c>
    </row>
    <row r="734" ht="15" customHeight="1" s="130">
      <c r="A734">
        <f>IF('PUNCH LIST'!$W$191="X","PUNCH LIST","")</f>
        <v/>
      </c>
      <c r="B734">
        <f>IF('PUNCH LIST'!$W$191="X",'PUNCH LIST'!B191,"")</f>
        <v/>
      </c>
      <c r="D734">
        <f>IF('PUNCH LIST'!$W$191="X",'PUNCH LIST'!F191,"")</f>
        <v/>
      </c>
      <c r="E734">
        <f>IF('PUNCH LIST'!$W$191="X",'PUNCH LIST'!C191,"")</f>
        <v/>
      </c>
      <c r="F734">
        <f>IF('PUNCH LIST'!$W$191="X",'PUNCH LIST'!E191,"")</f>
        <v/>
      </c>
      <c r="G734">
        <f>IF('PUNCH LIST'!$W$191="X",'PUNCH LIST'!Q191,"")</f>
        <v/>
      </c>
      <c r="H734">
        <f>IF('PUNCH LIST'!$W$191="X","X","")</f>
        <v/>
      </c>
    </row>
    <row r="735" ht="15" customHeight="1" s="130">
      <c r="A735">
        <f>IF('PUNCH LIST'!$W$192="X","PUNCH LIST","")</f>
        <v/>
      </c>
      <c r="B735">
        <f>IF('PUNCH LIST'!$W$192="X",'PUNCH LIST'!B192,"")</f>
        <v/>
      </c>
      <c r="D735">
        <f>IF('PUNCH LIST'!$W$192="X",'PUNCH LIST'!F192,"")</f>
        <v/>
      </c>
      <c r="E735">
        <f>IF('PUNCH LIST'!$W$192="X",'PUNCH LIST'!C192,"")</f>
        <v/>
      </c>
      <c r="F735">
        <f>IF('PUNCH LIST'!$W$192="X",'PUNCH LIST'!E192,"")</f>
        <v/>
      </c>
      <c r="G735">
        <f>IF('PUNCH LIST'!$W$192="X",'PUNCH LIST'!Q192,"")</f>
        <v/>
      </c>
      <c r="H735">
        <f>IF('PUNCH LIST'!$W$192="X","X","")</f>
        <v/>
      </c>
    </row>
    <row r="736" ht="15" customHeight="1" s="130">
      <c r="A736">
        <f>IF('PUNCH LIST'!$W$193="X","PUNCH LIST","")</f>
        <v/>
      </c>
      <c r="B736">
        <f>IF('PUNCH LIST'!$W$193="X",'PUNCH LIST'!B193,"")</f>
        <v/>
      </c>
      <c r="D736">
        <f>IF('PUNCH LIST'!$W$193="X",'PUNCH LIST'!F193,"")</f>
        <v/>
      </c>
      <c r="E736">
        <f>IF('PUNCH LIST'!$W$193="X",'PUNCH LIST'!C193,"")</f>
        <v/>
      </c>
      <c r="F736">
        <f>IF('PUNCH LIST'!$W$193="X",'PUNCH LIST'!E193,"")</f>
        <v/>
      </c>
      <c r="G736">
        <f>IF('PUNCH LIST'!$W$193="X",'PUNCH LIST'!Q193,"")</f>
        <v/>
      </c>
      <c r="H736">
        <f>IF('PUNCH LIST'!$W$193="X","X","")</f>
        <v/>
      </c>
    </row>
    <row r="737" ht="15" customHeight="1" s="130">
      <c r="A737">
        <f>IF('PUNCH LIST'!$W$194="X","PUNCH LIST","")</f>
        <v/>
      </c>
      <c r="B737">
        <f>IF('PUNCH LIST'!$W$194="X",'PUNCH LIST'!B194,"")</f>
        <v/>
      </c>
      <c r="D737">
        <f>IF('PUNCH LIST'!$W$194="X",'PUNCH LIST'!F194,"")</f>
        <v/>
      </c>
      <c r="E737">
        <f>IF('PUNCH LIST'!$W$194="X",'PUNCH LIST'!C194,"")</f>
        <v/>
      </c>
      <c r="F737">
        <f>IF('PUNCH LIST'!$W$194="X",'PUNCH LIST'!E194,"")</f>
        <v/>
      </c>
      <c r="G737">
        <f>IF('PUNCH LIST'!$W$194="X",'PUNCH LIST'!Q194,"")</f>
        <v/>
      </c>
      <c r="H737">
        <f>IF('PUNCH LIST'!$W$194="X","X","")</f>
        <v/>
      </c>
    </row>
    <row r="738" ht="15" customHeight="1" s="130">
      <c r="A738">
        <f>IF('PUNCH LIST'!$W$195="X","PUNCH LIST","")</f>
        <v/>
      </c>
      <c r="B738">
        <f>IF('PUNCH LIST'!$W$195="X",'PUNCH LIST'!B195,"")</f>
        <v/>
      </c>
      <c r="D738">
        <f>IF('PUNCH LIST'!$W$195="X",'PUNCH LIST'!F195,"")</f>
        <v/>
      </c>
      <c r="E738">
        <f>IF('PUNCH LIST'!$W$195="X",'PUNCH LIST'!C195,"")</f>
        <v/>
      </c>
      <c r="F738">
        <f>IF('PUNCH LIST'!$W$195="X",'PUNCH LIST'!E195,"")</f>
        <v/>
      </c>
      <c r="G738">
        <f>IF('PUNCH LIST'!$W$195="X",'PUNCH LIST'!Q195,"")</f>
        <v/>
      </c>
      <c r="H738">
        <f>IF('PUNCH LIST'!$W$195="X","X","")</f>
        <v/>
      </c>
    </row>
    <row r="739" ht="15" customHeight="1" s="130">
      <c r="A739">
        <f>IF('PUNCH LIST'!$W$196="X","PUNCH LIST","")</f>
        <v/>
      </c>
      <c r="B739">
        <f>IF('PUNCH LIST'!$W$196="X",'PUNCH LIST'!B196,"")</f>
        <v/>
      </c>
      <c r="D739">
        <f>IF('PUNCH LIST'!$W$196="X",'PUNCH LIST'!F196,"")</f>
        <v/>
      </c>
      <c r="E739">
        <f>IF('PUNCH LIST'!$W$196="X",'PUNCH LIST'!C196,"")</f>
        <v/>
      </c>
      <c r="F739">
        <f>IF('PUNCH LIST'!$W$196="X",'PUNCH LIST'!E196,"")</f>
        <v/>
      </c>
      <c r="G739">
        <f>IF('PUNCH LIST'!$W$196="X",'PUNCH LIST'!Q196,"")</f>
        <v/>
      </c>
      <c r="H739">
        <f>IF('PUNCH LIST'!$W$196="X","X","")</f>
        <v/>
      </c>
    </row>
    <row r="740" ht="15" customHeight="1" s="130">
      <c r="A740">
        <f>IF('PUNCH LIST'!$W$197="X","PUNCH LIST","")</f>
        <v/>
      </c>
      <c r="B740">
        <f>IF('PUNCH LIST'!$W$197="X",'PUNCH LIST'!B197,"")</f>
        <v/>
      </c>
      <c r="D740">
        <f>IF('PUNCH LIST'!$W$197="X",'PUNCH LIST'!F197,"")</f>
        <v/>
      </c>
      <c r="E740">
        <f>IF('PUNCH LIST'!$W$197="X",'PUNCH LIST'!C197,"")</f>
        <v/>
      </c>
      <c r="F740">
        <f>IF('PUNCH LIST'!$W$197="X",'PUNCH LIST'!E197,"")</f>
        <v/>
      </c>
      <c r="G740">
        <f>IF('PUNCH LIST'!$W$197="X",'PUNCH LIST'!Q197,"")</f>
        <v/>
      </c>
      <c r="H740">
        <f>IF('PUNCH LIST'!$W$197="X","X","")</f>
        <v/>
      </c>
    </row>
    <row r="741" ht="15" customHeight="1" s="130">
      <c r="A741">
        <f>IF('PUNCH LIST'!$W$198="X","PUNCH LIST","")</f>
        <v/>
      </c>
      <c r="B741">
        <f>IF('PUNCH LIST'!$W$198="X",'PUNCH LIST'!B198,"")</f>
        <v/>
      </c>
      <c r="D741">
        <f>IF('PUNCH LIST'!$W$198="X",'PUNCH LIST'!F198,"")</f>
        <v/>
      </c>
      <c r="E741">
        <f>IF('PUNCH LIST'!$W$198="X",'PUNCH LIST'!C198,"")</f>
        <v/>
      </c>
      <c r="F741">
        <f>IF('PUNCH LIST'!$W$198="X",'PUNCH LIST'!E198,"")</f>
        <v/>
      </c>
      <c r="G741">
        <f>IF('PUNCH LIST'!$W$198="X",'PUNCH LIST'!Q198,"")</f>
        <v/>
      </c>
      <c r="H741">
        <f>IF('PUNCH LIST'!$W$198="X","X","")</f>
        <v/>
      </c>
    </row>
    <row r="742" ht="15" customHeight="1" s="130">
      <c r="A742">
        <f>IF('PUNCH LIST'!$W$199="X","PUNCH LIST","")</f>
        <v/>
      </c>
      <c r="B742">
        <f>IF('PUNCH LIST'!$W$199="X",'PUNCH LIST'!B199,"")</f>
        <v/>
      </c>
      <c r="D742">
        <f>IF('PUNCH LIST'!$W$199="X",'PUNCH LIST'!F199,"")</f>
        <v/>
      </c>
      <c r="E742">
        <f>IF('PUNCH LIST'!$W$199="X",'PUNCH LIST'!C199,"")</f>
        <v/>
      </c>
      <c r="F742">
        <f>IF('PUNCH LIST'!$W$199="X",'PUNCH LIST'!E199,"")</f>
        <v/>
      </c>
      <c r="G742">
        <f>IF('PUNCH LIST'!$W$199="X",'PUNCH LIST'!Q199,"")</f>
        <v/>
      </c>
      <c r="H742">
        <f>IF('PUNCH LIST'!$W$199="X","X","")</f>
        <v/>
      </c>
    </row>
    <row r="743" ht="15" customHeight="1" s="130">
      <c r="A743">
        <f>IF('PUNCH LIST'!$W$200="X","PUNCH LIST","")</f>
        <v/>
      </c>
      <c r="B743">
        <f>IF('PUNCH LIST'!$W$200="X",'PUNCH LIST'!B200,"")</f>
        <v/>
      </c>
      <c r="D743">
        <f>IF('PUNCH LIST'!$W$200="X",'PUNCH LIST'!F200,"")</f>
        <v/>
      </c>
      <c r="E743">
        <f>IF('PUNCH LIST'!$W$200="X",'PUNCH LIST'!C200,"")</f>
        <v/>
      </c>
      <c r="F743">
        <f>IF('PUNCH LIST'!$W$200="X",'PUNCH LIST'!E200,"")</f>
        <v/>
      </c>
      <c r="G743">
        <f>IF('PUNCH LIST'!$W$200="X",'PUNCH LIST'!Q200,"")</f>
        <v/>
      </c>
      <c r="H743">
        <f>IF('PUNCH LIST'!$W$200="X","X","")</f>
        <v/>
      </c>
    </row>
    <row r="744" ht="15" customHeight="1" s="130">
      <c r="A744">
        <f>IF('PUNCH LIST'!$W$201="X","PUNCH LIST","")</f>
        <v/>
      </c>
      <c r="B744">
        <f>IF('PUNCH LIST'!$W$201="X",'PUNCH LIST'!B201,"")</f>
        <v/>
      </c>
      <c r="D744">
        <f>IF('PUNCH LIST'!$W$201="X",'PUNCH LIST'!F201,"")</f>
        <v/>
      </c>
      <c r="E744">
        <f>IF('PUNCH LIST'!$W$201="X",'PUNCH LIST'!C201,"")</f>
        <v/>
      </c>
      <c r="F744">
        <f>IF('PUNCH LIST'!$W$201="X",'PUNCH LIST'!E201,"")</f>
        <v/>
      </c>
      <c r="G744">
        <f>IF('PUNCH LIST'!$W$201="X",'PUNCH LIST'!Q201,"")</f>
        <v/>
      </c>
      <c r="H744">
        <f>IF('PUNCH LIST'!$W$201="X","X","")</f>
        <v/>
      </c>
    </row>
    <row r="745" ht="15" customHeight="1" s="130">
      <c r="A745">
        <f>IF('PUNCH LIST'!$W$202="X","PUNCH LIST","")</f>
        <v/>
      </c>
      <c r="B745">
        <f>IF('PUNCH LIST'!$W$202="X",'PUNCH LIST'!B202,"")</f>
        <v/>
      </c>
      <c r="D745">
        <f>IF('PUNCH LIST'!$W$202="X",'PUNCH LIST'!F202,"")</f>
        <v/>
      </c>
      <c r="E745">
        <f>IF('PUNCH LIST'!$W$202="X",'PUNCH LIST'!C202,"")</f>
        <v/>
      </c>
      <c r="F745">
        <f>IF('PUNCH LIST'!$W$202="X",'PUNCH LIST'!E202,"")</f>
        <v/>
      </c>
      <c r="G745">
        <f>IF('PUNCH LIST'!$W$202="X",'PUNCH LIST'!Q202,"")</f>
        <v/>
      </c>
      <c r="H745">
        <f>IF('PUNCH LIST'!$W$202="X","X","")</f>
        <v/>
      </c>
    </row>
    <row r="746" ht="15" customHeight="1" s="130">
      <c r="A746">
        <f>IF('PUNCH LIST'!$W$203="X","PUNCH LIST","")</f>
        <v/>
      </c>
      <c r="B746">
        <f>IF('PUNCH LIST'!$W$203="X",'PUNCH LIST'!B203,"")</f>
        <v/>
      </c>
      <c r="D746">
        <f>IF('PUNCH LIST'!$W$203="X",'PUNCH LIST'!F203,"")</f>
        <v/>
      </c>
      <c r="E746">
        <f>IF('PUNCH LIST'!$W$203="X",'PUNCH LIST'!C203,"")</f>
        <v/>
      </c>
      <c r="F746">
        <f>IF('PUNCH LIST'!$W$203="X",'PUNCH LIST'!E203,"")</f>
        <v/>
      </c>
      <c r="G746">
        <f>IF('PUNCH LIST'!$W$203="X",'PUNCH LIST'!Q203,"")</f>
        <v/>
      </c>
      <c r="H746">
        <f>IF('PUNCH LIST'!$W$203="X","X","")</f>
        <v/>
      </c>
    </row>
    <row r="747" ht="15" customHeight="1" s="130">
      <c r="A747">
        <f>IF('PUNCH LIST'!$W$204="X","PUNCH LIST","")</f>
        <v/>
      </c>
      <c r="B747">
        <f>IF('PUNCH LIST'!$W$204="X",'PUNCH LIST'!B204,"")</f>
        <v/>
      </c>
      <c r="D747">
        <f>IF('PUNCH LIST'!$W$204="X",'PUNCH LIST'!F204,"")</f>
        <v/>
      </c>
      <c r="E747">
        <f>IF('PUNCH LIST'!$W$204="X",'PUNCH LIST'!C204,"")</f>
        <v/>
      </c>
      <c r="F747">
        <f>IF('PUNCH LIST'!$W$204="X",'PUNCH LIST'!E204,"")</f>
        <v/>
      </c>
      <c r="G747">
        <f>IF('PUNCH LIST'!$W$204="X",'PUNCH LIST'!Q204,"")</f>
        <v/>
      </c>
      <c r="H747">
        <f>IF('PUNCH LIST'!$W$204="X","X","")</f>
        <v/>
      </c>
    </row>
    <row r="748" ht="15" customHeight="1" s="130">
      <c r="A748">
        <f>IF('PUNCH LIST'!$W$205="X","PUNCH LIST","")</f>
        <v/>
      </c>
      <c r="B748">
        <f>IF('PUNCH LIST'!$W$205="X",'PUNCH LIST'!B205,"")</f>
        <v/>
      </c>
      <c r="D748">
        <f>IF('PUNCH LIST'!$W$205="X",'PUNCH LIST'!F205,"")</f>
        <v/>
      </c>
      <c r="E748">
        <f>IF('PUNCH LIST'!$W$205="X",'PUNCH LIST'!C205,"")</f>
        <v/>
      </c>
      <c r="F748">
        <f>IF('PUNCH LIST'!$W$205="X",'PUNCH LIST'!E205,"")</f>
        <v/>
      </c>
      <c r="G748">
        <f>IF('PUNCH LIST'!$W$205="X",'PUNCH LIST'!Q205,"")</f>
        <v/>
      </c>
      <c r="H748">
        <f>IF('PUNCH LIST'!$W$205="X","X","")</f>
        <v/>
      </c>
    </row>
    <row r="749" ht="15" customHeight="1" s="130">
      <c r="A749">
        <f>IF('PUNCH LIST'!$W$206="X","PUNCH LIST","")</f>
        <v/>
      </c>
      <c r="B749">
        <f>IF('PUNCH LIST'!$W$206="X",'PUNCH LIST'!B206,"")</f>
        <v/>
      </c>
      <c r="D749">
        <f>IF('PUNCH LIST'!$W$206="X",'PUNCH LIST'!F206,"")</f>
        <v/>
      </c>
      <c r="E749">
        <f>IF('PUNCH LIST'!$W$206="X",'PUNCH LIST'!C206,"")</f>
        <v/>
      </c>
      <c r="F749">
        <f>IF('PUNCH LIST'!$W$206="X",'PUNCH LIST'!E206,"")</f>
        <v/>
      </c>
      <c r="G749">
        <f>IF('PUNCH LIST'!$W$206="X",'PUNCH LIST'!Q206,"")</f>
        <v/>
      </c>
      <c r="H749">
        <f>IF('PUNCH LIST'!$W$206="X","X","")</f>
        <v/>
      </c>
    </row>
    <row r="750" ht="15" customHeight="1" s="130">
      <c r="A750">
        <f>IF('PUNCH LIST'!$W$207="X","PUNCH LIST","")</f>
        <v/>
      </c>
      <c r="B750">
        <f>IF('PUNCH LIST'!$W$207="X",'PUNCH LIST'!B207,"")</f>
        <v/>
      </c>
      <c r="D750">
        <f>IF('PUNCH LIST'!$W$207="X",'PUNCH LIST'!F207,"")</f>
        <v/>
      </c>
      <c r="E750">
        <f>IF('PUNCH LIST'!$W$207="X",'PUNCH LIST'!C207,"")</f>
        <v/>
      </c>
      <c r="F750">
        <f>IF('PUNCH LIST'!$W$207="X",'PUNCH LIST'!E207,"")</f>
        <v/>
      </c>
      <c r="G750">
        <f>IF('PUNCH LIST'!$W$207="X",'PUNCH LIST'!Q207,"")</f>
        <v/>
      </c>
      <c r="H750">
        <f>IF('PUNCH LIST'!$W$207="X","X","")</f>
        <v/>
      </c>
    </row>
    <row r="751" ht="15" customHeight="1" s="130">
      <c r="A751">
        <f>IF('PUNCH LIST'!$W$208="X","PUNCH LIST","")</f>
        <v/>
      </c>
      <c r="B751">
        <f>IF('PUNCH LIST'!$W$208="X",'PUNCH LIST'!B208,"")</f>
        <v/>
      </c>
      <c r="D751">
        <f>IF('PUNCH LIST'!$W$208="X",'PUNCH LIST'!F208,"")</f>
        <v/>
      </c>
      <c r="E751">
        <f>IF('PUNCH LIST'!$W$208="X",'PUNCH LIST'!C208,"")</f>
        <v/>
      </c>
      <c r="F751">
        <f>IF('PUNCH LIST'!$W$208="X",'PUNCH LIST'!E208,"")</f>
        <v/>
      </c>
      <c r="G751">
        <f>IF('PUNCH LIST'!$W$208="X",'PUNCH LIST'!Q208,"")</f>
        <v/>
      </c>
      <c r="H751">
        <f>IF('PUNCH LIST'!$W$208="X","X","")</f>
        <v/>
      </c>
    </row>
    <row r="752" ht="15" customHeight="1" s="130">
      <c r="A752">
        <f>IF('PUNCH LIST'!$W$209="X","PUNCH LIST","")</f>
        <v/>
      </c>
      <c r="B752">
        <f>IF('PUNCH LIST'!$W$209="X",'PUNCH LIST'!B209,"")</f>
        <v/>
      </c>
      <c r="D752">
        <f>IF('PUNCH LIST'!$W$209="X",'PUNCH LIST'!F209,"")</f>
        <v/>
      </c>
      <c r="E752">
        <f>IF('PUNCH LIST'!$W$209="X",'PUNCH LIST'!C209,"")</f>
        <v/>
      </c>
      <c r="F752">
        <f>IF('PUNCH LIST'!$W$209="X",'PUNCH LIST'!E209,"")</f>
        <v/>
      </c>
      <c r="G752">
        <f>IF('PUNCH LIST'!$W$209="X",'PUNCH LIST'!Q209,"")</f>
        <v/>
      </c>
      <c r="H752">
        <f>IF('PUNCH LIST'!$W$209="X","X","")</f>
        <v/>
      </c>
    </row>
    <row r="753" ht="15" customHeight="1" s="130">
      <c r="A753">
        <f>IF('PUNCH LIST'!$W$210="X","PUNCH LIST","")</f>
        <v/>
      </c>
      <c r="B753">
        <f>IF('PUNCH LIST'!$W$210="X",'PUNCH LIST'!B210,"")</f>
        <v/>
      </c>
      <c r="D753">
        <f>IF('PUNCH LIST'!$W$210="X",'PUNCH LIST'!F210,"")</f>
        <v/>
      </c>
      <c r="E753">
        <f>IF('PUNCH LIST'!$W$210="X",'PUNCH LIST'!C210,"")</f>
        <v/>
      </c>
      <c r="F753">
        <f>IF('PUNCH LIST'!$W$210="X",'PUNCH LIST'!E210,"")</f>
        <v/>
      </c>
      <c r="G753">
        <f>IF('PUNCH LIST'!$W$210="X",'PUNCH LIST'!Q210,"")</f>
        <v/>
      </c>
      <c r="H753">
        <f>IF('PUNCH LIST'!$W$210="X","X","")</f>
        <v/>
      </c>
    </row>
    <row r="754" ht="15" customHeight="1" s="130">
      <c r="A754">
        <f>IF('PUNCH LIST'!$W$211="X","PUNCH LIST","")</f>
        <v/>
      </c>
      <c r="B754">
        <f>IF('PUNCH LIST'!$W$211="X",'PUNCH LIST'!B211,"")</f>
        <v/>
      </c>
      <c r="D754">
        <f>IF('PUNCH LIST'!$W$211="X",'PUNCH LIST'!F211,"")</f>
        <v/>
      </c>
      <c r="E754">
        <f>IF('PUNCH LIST'!$W$211="X",'PUNCH LIST'!C211,"")</f>
        <v/>
      </c>
      <c r="F754">
        <f>IF('PUNCH LIST'!$W$211="X",'PUNCH LIST'!E211,"")</f>
        <v/>
      </c>
      <c r="G754">
        <f>IF('PUNCH LIST'!$W$211="X",'PUNCH LIST'!Q211,"")</f>
        <v/>
      </c>
      <c r="H754">
        <f>IF('PUNCH LIST'!$W$211="X","X","")</f>
        <v/>
      </c>
    </row>
    <row r="755" ht="15" customHeight="1" s="130">
      <c r="A755">
        <f>IF('PUNCH LIST'!$W$212="X","PUNCH LIST","")</f>
        <v/>
      </c>
      <c r="B755">
        <f>IF('PUNCH LIST'!$W$212="X",'PUNCH LIST'!B212,"")</f>
        <v/>
      </c>
      <c r="D755">
        <f>IF('PUNCH LIST'!$W$212="X",'PUNCH LIST'!F212,"")</f>
        <v/>
      </c>
      <c r="E755">
        <f>IF('PUNCH LIST'!$W$212="X",'PUNCH LIST'!C212,"")</f>
        <v/>
      </c>
      <c r="F755">
        <f>IF('PUNCH LIST'!$W$212="X",'PUNCH LIST'!E212,"")</f>
        <v/>
      </c>
      <c r="G755">
        <f>IF('PUNCH LIST'!$W$212="X",'PUNCH LIST'!Q212,"")</f>
        <v/>
      </c>
      <c r="H755">
        <f>IF('PUNCH LIST'!$W$212="X","X","")</f>
        <v/>
      </c>
    </row>
    <row r="756" ht="15" customHeight="1" s="130">
      <c r="A756">
        <f>IF('PUNCH LIST'!$W$213="X","PUNCH LIST","")</f>
        <v/>
      </c>
      <c r="B756">
        <f>IF('PUNCH LIST'!$W$213="X",'PUNCH LIST'!B213,"")</f>
        <v/>
      </c>
      <c r="D756">
        <f>IF('PUNCH LIST'!$W$213="X",'PUNCH LIST'!F213,"")</f>
        <v/>
      </c>
      <c r="E756">
        <f>IF('PUNCH LIST'!$W$213="X",'PUNCH LIST'!C213,"")</f>
        <v/>
      </c>
      <c r="F756">
        <f>IF('PUNCH LIST'!$W$213="X",'PUNCH LIST'!E213,"")</f>
        <v/>
      </c>
      <c r="G756">
        <f>IF('PUNCH LIST'!$W$213="X",'PUNCH LIST'!Q213,"")</f>
        <v/>
      </c>
      <c r="H756">
        <f>IF('PUNCH LIST'!$W$213="X","X","")</f>
        <v/>
      </c>
    </row>
    <row r="757" ht="15" customHeight="1" s="130">
      <c r="A757">
        <f>IF('PUNCH LIST'!$W$214="X","PUNCH LIST","")</f>
        <v/>
      </c>
      <c r="B757">
        <f>IF('PUNCH LIST'!$W$214="X",'PUNCH LIST'!B214,"")</f>
        <v/>
      </c>
      <c r="D757">
        <f>IF('PUNCH LIST'!$W$214="X",'PUNCH LIST'!F214,"")</f>
        <v/>
      </c>
      <c r="E757">
        <f>IF('PUNCH LIST'!$W$214="X",'PUNCH LIST'!C214,"")</f>
        <v/>
      </c>
      <c r="F757">
        <f>IF('PUNCH LIST'!$W$214="X",'PUNCH LIST'!E214,"")</f>
        <v/>
      </c>
      <c r="G757">
        <f>IF('PUNCH LIST'!$W$214="X",'PUNCH LIST'!Q214,"")</f>
        <v/>
      </c>
      <c r="H757">
        <f>IF('PUNCH LIST'!$W$214="X","X","")</f>
        <v/>
      </c>
    </row>
    <row r="758" ht="15" customHeight="1" s="130">
      <c r="A758">
        <f>IF('PUNCH LIST'!$W$215="X","PUNCH LIST","")</f>
        <v/>
      </c>
      <c r="B758">
        <f>IF('PUNCH LIST'!$W$215="X",'PUNCH LIST'!B215,"")</f>
        <v/>
      </c>
      <c r="D758">
        <f>IF('PUNCH LIST'!$W$215="X",'PUNCH LIST'!F215,"")</f>
        <v/>
      </c>
      <c r="E758">
        <f>IF('PUNCH LIST'!$W$215="X",'PUNCH LIST'!C215,"")</f>
        <v/>
      </c>
      <c r="F758">
        <f>IF('PUNCH LIST'!$W$215="X",'PUNCH LIST'!E215,"")</f>
        <v/>
      </c>
      <c r="G758">
        <f>IF('PUNCH LIST'!$W$215="X",'PUNCH LIST'!Q215,"")</f>
        <v/>
      </c>
      <c r="H758">
        <f>IF('PUNCH LIST'!$W$215="X","X","")</f>
        <v/>
      </c>
    </row>
    <row r="759" ht="15" customHeight="1" s="130">
      <c r="A759">
        <f>IF('PUNCH LIST'!$W$216="X","PUNCH LIST","")</f>
        <v/>
      </c>
      <c r="B759">
        <f>IF('PUNCH LIST'!$W$216="X",'PUNCH LIST'!B216,"")</f>
        <v/>
      </c>
      <c r="D759">
        <f>IF('PUNCH LIST'!$W$216="X",'PUNCH LIST'!F216,"")</f>
        <v/>
      </c>
      <c r="E759">
        <f>IF('PUNCH LIST'!$W$216="X",'PUNCH LIST'!C216,"")</f>
        <v/>
      </c>
      <c r="F759">
        <f>IF('PUNCH LIST'!$W$216="X",'PUNCH LIST'!E216,"")</f>
        <v/>
      </c>
      <c r="G759">
        <f>IF('PUNCH LIST'!$W$216="X",'PUNCH LIST'!Q216,"")</f>
        <v/>
      </c>
      <c r="H759">
        <f>IF('PUNCH LIST'!$W$216="X","X","")</f>
        <v/>
      </c>
    </row>
    <row r="760" ht="15" customHeight="1" s="130">
      <c r="A760">
        <f>IF('PUNCH LIST'!$W$217="X","PUNCH LIST","")</f>
        <v/>
      </c>
      <c r="B760">
        <f>IF('PUNCH LIST'!$W$217="X",'PUNCH LIST'!B217,"")</f>
        <v/>
      </c>
      <c r="D760">
        <f>IF('PUNCH LIST'!$W$217="X",'PUNCH LIST'!F217,"")</f>
        <v/>
      </c>
      <c r="E760">
        <f>IF('PUNCH LIST'!$W$217="X",'PUNCH LIST'!C217,"")</f>
        <v/>
      </c>
      <c r="F760">
        <f>IF('PUNCH LIST'!$W$217="X",'PUNCH LIST'!E217,"")</f>
        <v/>
      </c>
      <c r="G760">
        <f>IF('PUNCH LIST'!$W$217="X",'PUNCH LIST'!Q217,"")</f>
        <v/>
      </c>
      <c r="H760">
        <f>IF('PUNCH LIST'!$W$217="X","X","")</f>
        <v/>
      </c>
    </row>
    <row r="761" ht="15" customHeight="1" s="130">
      <c r="A761">
        <f>IF('PUNCH LIST'!$W$218="X","PUNCH LIST","")</f>
        <v/>
      </c>
      <c r="B761">
        <f>IF('PUNCH LIST'!$W$218="X",'PUNCH LIST'!B218,"")</f>
        <v/>
      </c>
      <c r="D761">
        <f>IF('PUNCH LIST'!$W$218="X",'PUNCH LIST'!F218,"")</f>
        <v/>
      </c>
      <c r="E761">
        <f>IF('PUNCH LIST'!$W$218="X",'PUNCH LIST'!C218,"")</f>
        <v/>
      </c>
      <c r="F761">
        <f>IF('PUNCH LIST'!$W$218="X",'PUNCH LIST'!E218,"")</f>
        <v/>
      </c>
      <c r="G761">
        <f>IF('PUNCH LIST'!$W$218="X",'PUNCH LIST'!Q218,"")</f>
        <v/>
      </c>
      <c r="H761">
        <f>IF('PUNCH LIST'!$W$218="X","X","")</f>
        <v/>
      </c>
    </row>
    <row r="762" ht="15" customHeight="1" s="130">
      <c r="A762">
        <f>IF('PUNCH LIST'!$W$219="X","PUNCH LIST","")</f>
        <v/>
      </c>
      <c r="B762">
        <f>IF('PUNCH LIST'!$W$219="X",'PUNCH LIST'!B219,"")</f>
        <v/>
      </c>
      <c r="D762">
        <f>IF('PUNCH LIST'!$W$219="X",'PUNCH LIST'!F219,"")</f>
        <v/>
      </c>
      <c r="E762">
        <f>IF('PUNCH LIST'!$W$219="X",'PUNCH LIST'!C219,"")</f>
        <v/>
      </c>
      <c r="F762">
        <f>IF('PUNCH LIST'!$W$219="X",'PUNCH LIST'!E219,"")</f>
        <v/>
      </c>
      <c r="G762">
        <f>IF('PUNCH LIST'!$W$219="X",'PUNCH LIST'!Q219,"")</f>
        <v/>
      </c>
      <c r="H762">
        <f>IF('PUNCH LIST'!$W$219="X","X","")</f>
        <v/>
      </c>
    </row>
    <row r="763" ht="15" customHeight="1" s="130">
      <c r="A763">
        <f>IF('PUNCH LIST'!$W$220="X","PUNCH LIST","")</f>
        <v/>
      </c>
      <c r="B763">
        <f>IF('PUNCH LIST'!$W$220="X",'PUNCH LIST'!B220,"")</f>
        <v/>
      </c>
      <c r="D763">
        <f>IF('PUNCH LIST'!$W$220="X",'PUNCH LIST'!F220,"")</f>
        <v/>
      </c>
      <c r="E763">
        <f>IF('PUNCH LIST'!$W$220="X",'PUNCH LIST'!C220,"")</f>
        <v/>
      </c>
      <c r="F763">
        <f>IF('PUNCH LIST'!$W$220="X",'PUNCH LIST'!E220,"")</f>
        <v/>
      </c>
      <c r="G763">
        <f>IF('PUNCH LIST'!$W$220="X",'PUNCH LIST'!Q220,"")</f>
        <v/>
      </c>
      <c r="H763">
        <f>IF('PUNCH LIST'!$W$220="X","X","")</f>
        <v/>
      </c>
    </row>
    <row r="764" ht="15" customHeight="1" s="130">
      <c r="A764">
        <f>IF('PUNCH LIST'!$W$221="X","PUNCH LIST","")</f>
        <v/>
      </c>
      <c r="B764">
        <f>IF('PUNCH LIST'!$W$221="X",'PUNCH LIST'!B221,"")</f>
        <v/>
      </c>
      <c r="D764">
        <f>IF('PUNCH LIST'!$W$221="X",'PUNCH LIST'!F221,"")</f>
        <v/>
      </c>
      <c r="E764">
        <f>IF('PUNCH LIST'!$W$221="X",'PUNCH LIST'!C221,"")</f>
        <v/>
      </c>
      <c r="F764">
        <f>IF('PUNCH LIST'!$W$221="X",'PUNCH LIST'!E221,"")</f>
        <v/>
      </c>
      <c r="G764">
        <f>IF('PUNCH LIST'!$W$221="X",'PUNCH LIST'!Q221,"")</f>
        <v/>
      </c>
      <c r="H764">
        <f>IF('PUNCH LIST'!$W$221="X","X","")</f>
        <v/>
      </c>
    </row>
    <row r="765" ht="15" customHeight="1" s="130">
      <c r="A765">
        <f>IF('PUNCH LIST'!$W$222="X","PUNCH LIST","")</f>
        <v/>
      </c>
      <c r="B765">
        <f>IF('PUNCH LIST'!$W$222="X",'PUNCH LIST'!B222,"")</f>
        <v/>
      </c>
      <c r="D765">
        <f>IF('PUNCH LIST'!$W$222="X",'PUNCH LIST'!F222,"")</f>
        <v/>
      </c>
      <c r="E765">
        <f>IF('PUNCH LIST'!$W$222="X",'PUNCH LIST'!C222,"")</f>
        <v/>
      </c>
      <c r="F765">
        <f>IF('PUNCH LIST'!$W$222="X",'PUNCH LIST'!E222,"")</f>
        <v/>
      </c>
      <c r="G765">
        <f>IF('PUNCH LIST'!$W$222="X",'PUNCH LIST'!Q222,"")</f>
        <v/>
      </c>
      <c r="H765">
        <f>IF('PUNCH LIST'!$W$222="X","X","")</f>
        <v/>
      </c>
    </row>
    <row r="766" ht="15" customHeight="1" s="130">
      <c r="A766">
        <f>IF('PUNCH LIST'!$W$223="X","PUNCH LIST","")</f>
        <v/>
      </c>
      <c r="B766">
        <f>IF('PUNCH LIST'!$W$223="X",'PUNCH LIST'!B223,"")</f>
        <v/>
      </c>
      <c r="D766">
        <f>IF('PUNCH LIST'!$W$223="X",'PUNCH LIST'!F223,"")</f>
        <v/>
      </c>
      <c r="E766">
        <f>IF('PUNCH LIST'!$W$223="X",'PUNCH LIST'!C223,"")</f>
        <v/>
      </c>
      <c r="F766">
        <f>IF('PUNCH LIST'!$W$223="X",'PUNCH LIST'!E223,"")</f>
        <v/>
      </c>
      <c r="G766">
        <f>IF('PUNCH LIST'!$W$223="X",'PUNCH LIST'!Q223,"")</f>
        <v/>
      </c>
      <c r="H766">
        <f>IF('PUNCH LIST'!$W$223="X","X","")</f>
        <v/>
      </c>
    </row>
    <row r="767" ht="15" customHeight="1" s="130">
      <c r="A767">
        <f>IF('PUNCH LIST'!$W$224="X","PUNCH LIST","")</f>
        <v/>
      </c>
      <c r="B767">
        <f>IF('PUNCH LIST'!$W$224="X",'PUNCH LIST'!B224,"")</f>
        <v/>
      </c>
      <c r="D767">
        <f>IF('PUNCH LIST'!$W$224="X",'PUNCH LIST'!F224,"")</f>
        <v/>
      </c>
      <c r="E767">
        <f>IF('PUNCH LIST'!$W$224="X",'PUNCH LIST'!C224,"")</f>
        <v/>
      </c>
      <c r="F767">
        <f>IF('PUNCH LIST'!$W$224="X",'PUNCH LIST'!E224,"")</f>
        <v/>
      </c>
      <c r="G767">
        <f>IF('PUNCH LIST'!$W$224="X",'PUNCH LIST'!Q224,"")</f>
        <v/>
      </c>
      <c r="H767">
        <f>IF('PUNCH LIST'!$W$224="X","X","")</f>
        <v/>
      </c>
    </row>
    <row r="768" ht="15" customHeight="1" s="130">
      <c r="A768">
        <f>IF('PUNCH LIST'!$W$225="X","PUNCH LIST","")</f>
        <v/>
      </c>
      <c r="B768">
        <f>IF('PUNCH LIST'!$W$225="X",'PUNCH LIST'!B225,"")</f>
        <v/>
      </c>
      <c r="D768">
        <f>IF('PUNCH LIST'!$W$225="X",'PUNCH LIST'!F225,"")</f>
        <v/>
      </c>
      <c r="E768">
        <f>IF('PUNCH LIST'!$W$225="X",'PUNCH LIST'!C225,"")</f>
        <v/>
      </c>
      <c r="F768">
        <f>IF('PUNCH LIST'!$W$225="X",'PUNCH LIST'!E225,"")</f>
        <v/>
      </c>
      <c r="G768">
        <f>IF('PUNCH LIST'!$W$225="X",'PUNCH LIST'!Q225,"")</f>
        <v/>
      </c>
      <c r="H768">
        <f>IF('PUNCH LIST'!$W$225="X","X","")</f>
        <v/>
      </c>
    </row>
    <row r="769" ht="15" customHeight="1" s="130">
      <c r="A769">
        <f>IF('PUNCH LIST'!$W$226="X","PUNCH LIST","")</f>
        <v/>
      </c>
      <c r="B769">
        <f>IF('PUNCH LIST'!$W$226="X",'PUNCH LIST'!B226,"")</f>
        <v/>
      </c>
      <c r="D769">
        <f>IF('PUNCH LIST'!$W$226="X",'PUNCH LIST'!F226,"")</f>
        <v/>
      </c>
      <c r="E769">
        <f>IF('PUNCH LIST'!$W$226="X",'PUNCH LIST'!C226,"")</f>
        <v/>
      </c>
      <c r="F769">
        <f>IF('PUNCH LIST'!$W$226="X",'PUNCH LIST'!E226,"")</f>
        <v/>
      </c>
      <c r="G769">
        <f>IF('PUNCH LIST'!$W$226="X",'PUNCH LIST'!Q226,"")</f>
        <v/>
      </c>
      <c r="H769">
        <f>IF('PUNCH LIST'!$W$226="X","X","")</f>
        <v/>
      </c>
    </row>
    <row r="770" ht="15" customHeight="1" s="130">
      <c r="A770">
        <f>IF('PUNCH LIST'!$W$227="X","PUNCH LIST","")</f>
        <v/>
      </c>
      <c r="B770">
        <f>IF('PUNCH LIST'!$W$227="X",'PUNCH LIST'!B227,"")</f>
        <v/>
      </c>
      <c r="D770">
        <f>IF('PUNCH LIST'!$W$227="X",'PUNCH LIST'!F227,"")</f>
        <v/>
      </c>
      <c r="E770">
        <f>IF('PUNCH LIST'!$W$227="X",'PUNCH LIST'!C227,"")</f>
        <v/>
      </c>
      <c r="F770">
        <f>IF('PUNCH LIST'!$W$227="X",'PUNCH LIST'!E227,"")</f>
        <v/>
      </c>
      <c r="G770">
        <f>IF('PUNCH LIST'!$W$227="X",'PUNCH LIST'!Q227,"")</f>
        <v/>
      </c>
      <c r="H770">
        <f>IF('PUNCH LIST'!$W$227="X","X","")</f>
        <v/>
      </c>
    </row>
    <row r="771" ht="15" customHeight="1" s="130">
      <c r="A771">
        <f>IF('PUNCH LIST'!$W$228="X","PUNCH LIST","")</f>
        <v/>
      </c>
      <c r="B771">
        <f>IF('PUNCH LIST'!$W$228="X",'PUNCH LIST'!B228,"")</f>
        <v/>
      </c>
      <c r="D771">
        <f>IF('PUNCH LIST'!$W$228="X",'PUNCH LIST'!F228,"")</f>
        <v/>
      </c>
      <c r="E771">
        <f>IF('PUNCH LIST'!$W$228="X",'PUNCH LIST'!C228,"")</f>
        <v/>
      </c>
      <c r="F771">
        <f>IF('PUNCH LIST'!$W$228="X",'PUNCH LIST'!E228,"")</f>
        <v/>
      </c>
      <c r="G771">
        <f>IF('PUNCH LIST'!$W$228="X",'PUNCH LIST'!Q228,"")</f>
        <v/>
      </c>
      <c r="H771">
        <f>IF('PUNCH LIST'!$W$228="X","X","")</f>
        <v/>
      </c>
    </row>
    <row r="772" ht="15" customHeight="1" s="130">
      <c r="A772">
        <f>IF('PUNCH LIST'!$W$229="X","PUNCH LIST","")</f>
        <v/>
      </c>
      <c r="B772">
        <f>IF('PUNCH LIST'!$W$229="X",'PUNCH LIST'!B229,"")</f>
        <v/>
      </c>
      <c r="D772">
        <f>IF('PUNCH LIST'!$W$229="X",'PUNCH LIST'!F229,"")</f>
        <v/>
      </c>
      <c r="E772">
        <f>IF('PUNCH LIST'!$W$229="X",'PUNCH LIST'!C229,"")</f>
        <v/>
      </c>
      <c r="F772">
        <f>IF('PUNCH LIST'!$W$229="X",'PUNCH LIST'!E229,"")</f>
        <v/>
      </c>
      <c r="G772">
        <f>IF('PUNCH LIST'!$W$229="X",'PUNCH LIST'!Q229,"")</f>
        <v/>
      </c>
      <c r="H772">
        <f>IF('PUNCH LIST'!$W$229="X","X","")</f>
        <v/>
      </c>
    </row>
    <row r="773" ht="15" customHeight="1" s="130">
      <c r="A773">
        <f>IF('PUNCH LIST'!$W$230="X","PUNCH LIST","")</f>
        <v/>
      </c>
      <c r="B773">
        <f>IF('PUNCH LIST'!$W$230="X",'PUNCH LIST'!B230,"")</f>
        <v/>
      </c>
      <c r="D773">
        <f>IF('PUNCH LIST'!$W$230="X",'PUNCH LIST'!F230,"")</f>
        <v/>
      </c>
      <c r="E773">
        <f>IF('PUNCH LIST'!$W$230="X",'PUNCH LIST'!C230,"")</f>
        <v/>
      </c>
      <c r="F773">
        <f>IF('PUNCH LIST'!$W$230="X",'PUNCH LIST'!E230,"")</f>
        <v/>
      </c>
      <c r="G773">
        <f>IF('PUNCH LIST'!$W$230="X",'PUNCH LIST'!Q230,"")</f>
        <v/>
      </c>
      <c r="H773">
        <f>IF('PUNCH LIST'!$W$230="X","X","")</f>
        <v/>
      </c>
    </row>
    <row r="774" ht="15" customHeight="1" s="130">
      <c r="A774">
        <f>IF('PUNCH LIST'!$W$231="X","PUNCH LIST","")</f>
        <v/>
      </c>
      <c r="B774">
        <f>IF('PUNCH LIST'!$W$231="X",'PUNCH LIST'!B231,"")</f>
        <v/>
      </c>
      <c r="D774">
        <f>IF('PUNCH LIST'!$W$231="X",'PUNCH LIST'!F231,"")</f>
        <v/>
      </c>
      <c r="E774">
        <f>IF('PUNCH LIST'!$W$231="X",'PUNCH LIST'!C231,"")</f>
        <v/>
      </c>
      <c r="F774">
        <f>IF('PUNCH LIST'!$W$231="X",'PUNCH LIST'!E231,"")</f>
        <v/>
      </c>
      <c r="G774">
        <f>IF('PUNCH LIST'!$W$231="X",'PUNCH LIST'!Q231,"")</f>
        <v/>
      </c>
      <c r="H774">
        <f>IF('PUNCH LIST'!$W$231="X","X","")</f>
        <v/>
      </c>
    </row>
    <row r="775" ht="15" customHeight="1" s="130">
      <c r="A775">
        <f>IF('PUNCH LIST'!$W$232="X","PUNCH LIST","")</f>
        <v/>
      </c>
      <c r="B775">
        <f>IF('PUNCH LIST'!$W$232="X",'PUNCH LIST'!B232,"")</f>
        <v/>
      </c>
      <c r="D775">
        <f>IF('PUNCH LIST'!$W$232="X",'PUNCH LIST'!F232,"")</f>
        <v/>
      </c>
      <c r="E775">
        <f>IF('PUNCH LIST'!$W$232="X",'PUNCH LIST'!C232,"")</f>
        <v/>
      </c>
      <c r="F775">
        <f>IF('PUNCH LIST'!$W$232="X",'PUNCH LIST'!E232,"")</f>
        <v/>
      </c>
      <c r="G775">
        <f>IF('PUNCH LIST'!$W$232="X",'PUNCH LIST'!Q232,"")</f>
        <v/>
      </c>
      <c r="H775">
        <f>IF('PUNCH LIST'!$W$232="X","X","")</f>
        <v/>
      </c>
    </row>
    <row r="776" ht="15" customHeight="1" s="130">
      <c r="A776">
        <f>IF('PUNCH LIST'!$W$233="X","PUNCH LIST","")</f>
        <v/>
      </c>
      <c r="B776">
        <f>IF('PUNCH LIST'!$W$233="X",'PUNCH LIST'!B233,"")</f>
        <v/>
      </c>
      <c r="D776">
        <f>IF('PUNCH LIST'!$W$233="X",'PUNCH LIST'!F233,"")</f>
        <v/>
      </c>
      <c r="E776">
        <f>IF('PUNCH LIST'!$W$233="X",'PUNCH LIST'!C233,"")</f>
        <v/>
      </c>
      <c r="F776">
        <f>IF('PUNCH LIST'!$W$233="X",'PUNCH LIST'!E233,"")</f>
        <v/>
      </c>
      <c r="G776">
        <f>IF('PUNCH LIST'!$W$233="X",'PUNCH LIST'!Q233,"")</f>
        <v/>
      </c>
      <c r="H776">
        <f>IF('PUNCH LIST'!$W$233="X","X","")</f>
        <v/>
      </c>
    </row>
    <row r="777" ht="15" customHeight="1" s="130">
      <c r="A777">
        <f>IF('PUNCH LIST'!$W$234="X","PUNCH LIST","")</f>
        <v/>
      </c>
      <c r="B777">
        <f>IF('PUNCH LIST'!$W$234="X",'PUNCH LIST'!B234,"")</f>
        <v/>
      </c>
      <c r="D777">
        <f>IF('PUNCH LIST'!$W$234="X",'PUNCH LIST'!F234,"")</f>
        <v/>
      </c>
      <c r="E777">
        <f>IF('PUNCH LIST'!$W$234="X",'PUNCH LIST'!C234,"")</f>
        <v/>
      </c>
      <c r="F777">
        <f>IF('PUNCH LIST'!$W$234="X",'PUNCH LIST'!E234,"")</f>
        <v/>
      </c>
      <c r="G777">
        <f>IF('PUNCH LIST'!$W$234="X",'PUNCH LIST'!Q234,"")</f>
        <v/>
      </c>
      <c r="H777">
        <f>IF('PUNCH LIST'!$W$234="X","X","")</f>
        <v/>
      </c>
    </row>
    <row r="778" ht="15" customHeight="1" s="130">
      <c r="A778">
        <f>IF('PUNCH LIST'!$W$235="X","PUNCH LIST","")</f>
        <v/>
      </c>
      <c r="B778">
        <f>IF('PUNCH LIST'!$W$235="X",'PUNCH LIST'!B235,"")</f>
        <v/>
      </c>
      <c r="D778">
        <f>IF('PUNCH LIST'!$W$235="X",'PUNCH LIST'!F235,"")</f>
        <v/>
      </c>
      <c r="E778">
        <f>IF('PUNCH LIST'!$W$235="X",'PUNCH LIST'!C235,"")</f>
        <v/>
      </c>
      <c r="F778">
        <f>IF('PUNCH LIST'!$W$235="X",'PUNCH LIST'!E235,"")</f>
        <v/>
      </c>
      <c r="G778">
        <f>IF('PUNCH LIST'!$W$235="X",'PUNCH LIST'!Q235,"")</f>
        <v/>
      </c>
      <c r="H778">
        <f>IF('PUNCH LIST'!$W$235="X","X","")</f>
        <v/>
      </c>
    </row>
    <row r="779" ht="15" customHeight="1" s="130">
      <c r="A779">
        <f>IF('PUNCH LIST'!$W$236="X","PUNCH LIST","")</f>
        <v/>
      </c>
      <c r="B779">
        <f>IF('PUNCH LIST'!$W$236="X",'PUNCH LIST'!B236,"")</f>
        <v/>
      </c>
      <c r="D779">
        <f>IF('PUNCH LIST'!$W$236="X",'PUNCH LIST'!F236,"")</f>
        <v/>
      </c>
      <c r="E779">
        <f>IF('PUNCH LIST'!$W$236="X",'PUNCH LIST'!C236,"")</f>
        <v/>
      </c>
      <c r="F779">
        <f>IF('PUNCH LIST'!$W$236="X",'PUNCH LIST'!E236,"")</f>
        <v/>
      </c>
      <c r="G779">
        <f>IF('PUNCH LIST'!$W$236="X",'PUNCH LIST'!Q236,"")</f>
        <v/>
      </c>
      <c r="H779">
        <f>IF('PUNCH LIST'!$W$236="X","X","")</f>
        <v/>
      </c>
    </row>
    <row r="780" ht="15" customHeight="1" s="130">
      <c r="A780">
        <f>IF('PUNCH LIST'!$W$237="X","PUNCH LIST","")</f>
        <v/>
      </c>
      <c r="B780">
        <f>IF('PUNCH LIST'!$W$237="X",'PUNCH LIST'!B237,"")</f>
        <v/>
      </c>
      <c r="D780">
        <f>IF('PUNCH LIST'!$W$237="X",'PUNCH LIST'!F237,"")</f>
        <v/>
      </c>
      <c r="E780">
        <f>IF('PUNCH LIST'!$W$237="X",'PUNCH LIST'!C237,"")</f>
        <v/>
      </c>
      <c r="F780">
        <f>IF('PUNCH LIST'!$W$237="X",'PUNCH LIST'!E237,"")</f>
        <v/>
      </c>
      <c r="G780">
        <f>IF('PUNCH LIST'!$W$237="X",'PUNCH LIST'!Q237,"")</f>
        <v/>
      </c>
      <c r="H780">
        <f>IF('PUNCH LIST'!$W$237="X","X","")</f>
        <v/>
      </c>
    </row>
    <row r="781" ht="15" customHeight="1" s="130">
      <c r="A781">
        <f>IF('PUNCH LIST'!$W$238="X","PUNCH LIST","")</f>
        <v/>
      </c>
      <c r="B781">
        <f>IF('PUNCH LIST'!$W$238="X",'PUNCH LIST'!B238,"")</f>
        <v/>
      </c>
      <c r="D781">
        <f>IF('PUNCH LIST'!$W$238="X",'PUNCH LIST'!F238,"")</f>
        <v/>
      </c>
      <c r="E781">
        <f>IF('PUNCH LIST'!$W$238="X",'PUNCH LIST'!C238,"")</f>
        <v/>
      </c>
      <c r="F781">
        <f>IF('PUNCH LIST'!$W$238="X",'PUNCH LIST'!E238,"")</f>
        <v/>
      </c>
      <c r="G781">
        <f>IF('PUNCH LIST'!$W$238="X",'PUNCH LIST'!Q238,"")</f>
        <v/>
      </c>
      <c r="H781">
        <f>IF('PUNCH LIST'!$W$238="X","X","")</f>
        <v/>
      </c>
    </row>
    <row r="782" ht="15" customHeight="1" s="130">
      <c r="A782">
        <f>IF('PUNCH LIST'!$W$239="X","PUNCH LIST","")</f>
        <v/>
      </c>
      <c r="B782">
        <f>IF('PUNCH LIST'!$W$239="X",'PUNCH LIST'!B239,"")</f>
        <v/>
      </c>
      <c r="D782">
        <f>IF('PUNCH LIST'!$W$239="X",'PUNCH LIST'!F239,"")</f>
        <v/>
      </c>
      <c r="E782">
        <f>IF('PUNCH LIST'!$W$239="X",'PUNCH LIST'!C239,"")</f>
        <v/>
      </c>
      <c r="F782">
        <f>IF('PUNCH LIST'!$W$239="X",'PUNCH LIST'!E239,"")</f>
        <v/>
      </c>
      <c r="G782">
        <f>IF('PUNCH LIST'!$W$239="X",'PUNCH LIST'!Q239,"")</f>
        <v/>
      </c>
      <c r="H782">
        <f>IF('PUNCH LIST'!$W$239="X","X","")</f>
        <v/>
      </c>
    </row>
    <row r="783" ht="15" customHeight="1" s="130">
      <c r="A783">
        <f>IF('PUNCH LIST'!$W$240="X","PUNCH LIST","")</f>
        <v/>
      </c>
      <c r="B783">
        <f>IF('PUNCH LIST'!$W$240="X",'PUNCH LIST'!B240,"")</f>
        <v/>
      </c>
      <c r="D783">
        <f>IF('PUNCH LIST'!$W$240="X",'PUNCH LIST'!F240,"")</f>
        <v/>
      </c>
      <c r="E783">
        <f>IF('PUNCH LIST'!$W$240="X",'PUNCH LIST'!C240,"")</f>
        <v/>
      </c>
      <c r="F783">
        <f>IF('PUNCH LIST'!$W$240="X",'PUNCH LIST'!E240,"")</f>
        <v/>
      </c>
      <c r="G783">
        <f>IF('PUNCH LIST'!$W$240="X",'PUNCH LIST'!Q240,"")</f>
        <v/>
      </c>
      <c r="H783">
        <f>IF('PUNCH LIST'!$W$240="X","X","")</f>
        <v/>
      </c>
    </row>
    <row r="784" ht="15" customHeight="1" s="130">
      <c r="A784">
        <f>IF('PUNCH LIST'!$W$241="X","PUNCH LIST","")</f>
        <v/>
      </c>
      <c r="B784">
        <f>IF('PUNCH LIST'!$W$241="X",'PUNCH LIST'!B241,"")</f>
        <v/>
      </c>
      <c r="D784">
        <f>IF('PUNCH LIST'!$W$241="X",'PUNCH LIST'!F241,"")</f>
        <v/>
      </c>
      <c r="E784">
        <f>IF('PUNCH LIST'!$W$241="X",'PUNCH LIST'!C241,"")</f>
        <v/>
      </c>
      <c r="F784">
        <f>IF('PUNCH LIST'!$W$241="X",'PUNCH LIST'!E241,"")</f>
        <v/>
      </c>
      <c r="G784">
        <f>IF('PUNCH LIST'!$W$241="X",'PUNCH LIST'!Q241,"")</f>
        <v/>
      </c>
      <c r="H784">
        <f>IF('PUNCH LIST'!$W$241="X","X","")</f>
        <v/>
      </c>
    </row>
    <row r="785" ht="15" customHeight="1" s="130">
      <c r="A785">
        <f>IF('PUNCH LIST'!$W$242="X","PUNCH LIST","")</f>
        <v/>
      </c>
      <c r="B785">
        <f>IF('PUNCH LIST'!$W$242="X",'PUNCH LIST'!B242,"")</f>
        <v/>
      </c>
      <c r="D785">
        <f>IF('PUNCH LIST'!$W$242="X",'PUNCH LIST'!F242,"")</f>
        <v/>
      </c>
      <c r="E785">
        <f>IF('PUNCH LIST'!$W$242="X",'PUNCH LIST'!C242,"")</f>
        <v/>
      </c>
      <c r="F785">
        <f>IF('PUNCH LIST'!$W$242="X",'PUNCH LIST'!E242,"")</f>
        <v/>
      </c>
      <c r="G785">
        <f>IF('PUNCH LIST'!$W$242="X",'PUNCH LIST'!Q242,"")</f>
        <v/>
      </c>
      <c r="H785">
        <f>IF('PUNCH LIST'!$W$242="X","X","")</f>
        <v/>
      </c>
    </row>
    <row r="786" ht="15" customHeight="1" s="130">
      <c r="A786">
        <f>IF('PUNCH LIST'!$W$243="X","PUNCH LIST","")</f>
        <v/>
      </c>
      <c r="B786">
        <f>IF('PUNCH LIST'!$W$243="X",'PUNCH LIST'!B243,"")</f>
        <v/>
      </c>
      <c r="D786">
        <f>IF('PUNCH LIST'!$W$243="X",'PUNCH LIST'!F243,"")</f>
        <v/>
      </c>
      <c r="E786">
        <f>IF('PUNCH LIST'!$W$243="X",'PUNCH LIST'!C243,"")</f>
        <v/>
      </c>
      <c r="F786">
        <f>IF('PUNCH LIST'!$W$243="X",'PUNCH LIST'!E243,"")</f>
        <v/>
      </c>
      <c r="G786">
        <f>IF('PUNCH LIST'!$W$243="X",'PUNCH LIST'!Q243,"")</f>
        <v/>
      </c>
      <c r="H786">
        <f>IF('PUNCH LIST'!$W$243="X","X","")</f>
        <v/>
      </c>
    </row>
    <row r="787" ht="15" customHeight="1" s="130">
      <c r="A787">
        <f>IF('PUNCH LIST'!$W$244="X","PUNCH LIST","")</f>
        <v/>
      </c>
      <c r="B787">
        <f>IF('PUNCH LIST'!$W$244="X",'PUNCH LIST'!B244,"")</f>
        <v/>
      </c>
      <c r="D787">
        <f>IF('PUNCH LIST'!$W$244="X",'PUNCH LIST'!F244,"")</f>
        <v/>
      </c>
      <c r="E787">
        <f>IF('PUNCH LIST'!$W$244="X",'PUNCH LIST'!C244,"")</f>
        <v/>
      </c>
      <c r="F787">
        <f>IF('PUNCH LIST'!$W$244="X",'PUNCH LIST'!E244,"")</f>
        <v/>
      </c>
      <c r="G787">
        <f>IF('PUNCH LIST'!$W$244="X",'PUNCH LIST'!Q244,"")</f>
        <v/>
      </c>
      <c r="H787">
        <f>IF('PUNCH LIST'!$W$244="X","X","")</f>
        <v/>
      </c>
    </row>
    <row r="788" ht="15" customHeight="1" s="130">
      <c r="A788">
        <f>IF('PUNCH LIST'!$W$245="X","PUNCH LIST","")</f>
        <v/>
      </c>
      <c r="B788">
        <f>IF('PUNCH LIST'!$W$245="X",'PUNCH LIST'!B245,"")</f>
        <v/>
      </c>
      <c r="D788">
        <f>IF('PUNCH LIST'!$W$245="X",'PUNCH LIST'!F245,"")</f>
        <v/>
      </c>
      <c r="E788">
        <f>IF('PUNCH LIST'!$W$245="X",'PUNCH LIST'!C245,"")</f>
        <v/>
      </c>
      <c r="F788">
        <f>IF('PUNCH LIST'!$W$245="X",'PUNCH LIST'!E245,"")</f>
        <v/>
      </c>
      <c r="G788">
        <f>IF('PUNCH LIST'!$W$245="X",'PUNCH LIST'!Q245,"")</f>
        <v/>
      </c>
      <c r="H788">
        <f>IF('PUNCH LIST'!$W$245="X","X","")</f>
        <v/>
      </c>
    </row>
    <row r="789" ht="15" customHeight="1" s="130">
      <c r="A789">
        <f>IF('PUNCH LIST'!$W$246="X","PUNCH LIST","")</f>
        <v/>
      </c>
      <c r="B789">
        <f>IF('PUNCH LIST'!$W$246="X",'PUNCH LIST'!B246,"")</f>
        <v/>
      </c>
      <c r="D789">
        <f>IF('PUNCH LIST'!$W$246="X",'PUNCH LIST'!F246,"")</f>
        <v/>
      </c>
      <c r="E789">
        <f>IF('PUNCH LIST'!$W$246="X",'PUNCH LIST'!C246,"")</f>
        <v/>
      </c>
      <c r="F789">
        <f>IF('PUNCH LIST'!$W$246="X",'PUNCH LIST'!E246,"")</f>
        <v/>
      </c>
      <c r="G789">
        <f>IF('PUNCH LIST'!$W$246="X",'PUNCH LIST'!Q246,"")</f>
        <v/>
      </c>
      <c r="H789">
        <f>IF('PUNCH LIST'!$W$246="X","X","")</f>
        <v/>
      </c>
    </row>
    <row r="790" ht="15" customHeight="1" s="130">
      <c r="A790">
        <f>IF('PUNCH LIST'!$W$247="X","PUNCH LIST","")</f>
        <v/>
      </c>
      <c r="B790">
        <f>IF('PUNCH LIST'!$W$247="X",'PUNCH LIST'!B247,"")</f>
        <v/>
      </c>
      <c r="D790">
        <f>IF('PUNCH LIST'!$W$247="X",'PUNCH LIST'!F247,"")</f>
        <v/>
      </c>
      <c r="E790">
        <f>IF('PUNCH LIST'!$W$247="X",'PUNCH LIST'!C247,"")</f>
        <v/>
      </c>
      <c r="F790">
        <f>IF('PUNCH LIST'!$W$247="X",'PUNCH LIST'!E247,"")</f>
        <v/>
      </c>
      <c r="G790">
        <f>IF('PUNCH LIST'!$W$247="X",'PUNCH LIST'!Q247,"")</f>
        <v/>
      </c>
      <c r="H790">
        <f>IF('PUNCH LIST'!$W$247="X","X","")</f>
        <v/>
      </c>
    </row>
    <row r="791" ht="15" customHeight="1" s="130">
      <c r="A791">
        <f>IF('PUNCH LIST'!$W$248="X","PUNCH LIST","")</f>
        <v/>
      </c>
      <c r="B791">
        <f>IF('PUNCH LIST'!$W$248="X",'PUNCH LIST'!B248,"")</f>
        <v/>
      </c>
      <c r="D791">
        <f>IF('PUNCH LIST'!$W$248="X",'PUNCH LIST'!F248,"")</f>
        <v/>
      </c>
      <c r="E791">
        <f>IF('PUNCH LIST'!$W$248="X",'PUNCH LIST'!C248,"")</f>
        <v/>
      </c>
      <c r="F791">
        <f>IF('PUNCH LIST'!$W$248="X",'PUNCH LIST'!E248,"")</f>
        <v/>
      </c>
      <c r="G791">
        <f>IF('PUNCH LIST'!$W$248="X",'PUNCH LIST'!Q248,"")</f>
        <v/>
      </c>
      <c r="H791">
        <f>IF('PUNCH LIST'!$W$248="X","X","")</f>
        <v/>
      </c>
    </row>
    <row r="792" ht="15" customHeight="1" s="130">
      <c r="A792">
        <f>IF('PUNCH LIST'!$W$249="X","PUNCH LIST","")</f>
        <v/>
      </c>
      <c r="B792">
        <f>IF('PUNCH LIST'!$W$249="X",'PUNCH LIST'!B249,"")</f>
        <v/>
      </c>
      <c r="D792">
        <f>IF('PUNCH LIST'!$W$249="X",'PUNCH LIST'!F249,"")</f>
        <v/>
      </c>
      <c r="E792">
        <f>IF('PUNCH LIST'!$W$249="X",'PUNCH LIST'!C249,"")</f>
        <v/>
      </c>
      <c r="F792">
        <f>IF('PUNCH LIST'!$W$249="X",'PUNCH LIST'!E249,"")</f>
        <v/>
      </c>
      <c r="G792">
        <f>IF('PUNCH LIST'!$W$249="X",'PUNCH LIST'!Q249,"")</f>
        <v/>
      </c>
      <c r="H792">
        <f>IF('PUNCH LIST'!$W$249="X","X","")</f>
        <v/>
      </c>
    </row>
    <row r="793" ht="15" customHeight="1" s="130">
      <c r="A793">
        <f>IF('PUNCH LIST'!$W$250="X","PUNCH LIST","")</f>
        <v/>
      </c>
      <c r="B793">
        <f>IF('PUNCH LIST'!$W$250="X",'PUNCH LIST'!B250,"")</f>
        <v/>
      </c>
      <c r="D793">
        <f>IF('PUNCH LIST'!$W$250="X",'PUNCH LIST'!F250,"")</f>
        <v/>
      </c>
      <c r="E793">
        <f>IF('PUNCH LIST'!$W$250="X",'PUNCH LIST'!C250,"")</f>
        <v/>
      </c>
      <c r="F793">
        <f>IF('PUNCH LIST'!$W$250="X",'PUNCH LIST'!E250,"")</f>
        <v/>
      </c>
      <c r="G793">
        <f>IF('PUNCH LIST'!$W$250="X",'PUNCH LIST'!Q250,"")</f>
        <v/>
      </c>
      <c r="H793">
        <f>IF('PUNCH LIST'!$W$250="X","X","")</f>
        <v/>
      </c>
    </row>
    <row r="794" ht="15" customHeight="1" s="130">
      <c r="A794">
        <f>IF('PUNCH LIST'!$W$251="X","PUNCH LIST","")</f>
        <v/>
      </c>
      <c r="B794">
        <f>IF('PUNCH LIST'!$W$251="X",'PUNCH LIST'!B251,"")</f>
        <v/>
      </c>
      <c r="D794">
        <f>IF('PUNCH LIST'!$W$251="X",'PUNCH LIST'!F251,"")</f>
        <v/>
      </c>
      <c r="E794">
        <f>IF('PUNCH LIST'!$W$251="X",'PUNCH LIST'!C251,"")</f>
        <v/>
      </c>
      <c r="F794">
        <f>IF('PUNCH LIST'!$W$251="X",'PUNCH LIST'!E251,"")</f>
        <v/>
      </c>
      <c r="G794">
        <f>IF('PUNCH LIST'!$W$251="X",'PUNCH LIST'!Q251,"")</f>
        <v/>
      </c>
      <c r="H794">
        <f>IF('PUNCH LIST'!$W$251="X","X","")</f>
        <v/>
      </c>
    </row>
    <row r="795" ht="15" customHeight="1" s="130">
      <c r="A795">
        <f>IF('PUNCH LIST'!$W$252="X","PUNCH LIST","")</f>
        <v/>
      </c>
      <c r="B795">
        <f>IF('PUNCH LIST'!$W$252="X",'PUNCH LIST'!B252,"")</f>
        <v/>
      </c>
      <c r="D795">
        <f>IF('PUNCH LIST'!$W$252="X",'PUNCH LIST'!F252,"")</f>
        <v/>
      </c>
      <c r="E795">
        <f>IF('PUNCH LIST'!$W$252="X",'PUNCH LIST'!C252,"")</f>
        <v/>
      </c>
      <c r="F795">
        <f>IF('PUNCH LIST'!$W$252="X",'PUNCH LIST'!E252,"")</f>
        <v/>
      </c>
      <c r="G795">
        <f>IF('PUNCH LIST'!$W$252="X",'PUNCH LIST'!Q252,"")</f>
        <v/>
      </c>
      <c r="H795">
        <f>IF('PUNCH LIST'!$W$252="X","X","")</f>
        <v/>
      </c>
    </row>
    <row r="796" ht="15" customHeight="1" s="130">
      <c r="A796">
        <f>IF('PUNCH LIST'!$W$253="X","PUNCH LIST","")</f>
        <v/>
      </c>
      <c r="B796">
        <f>IF('PUNCH LIST'!$W$253="X",'PUNCH LIST'!B253,"")</f>
        <v/>
      </c>
      <c r="D796">
        <f>IF('PUNCH LIST'!$W$253="X",'PUNCH LIST'!F253,"")</f>
        <v/>
      </c>
      <c r="E796">
        <f>IF('PUNCH LIST'!$W$253="X",'PUNCH LIST'!C253,"")</f>
        <v/>
      </c>
      <c r="F796">
        <f>IF('PUNCH LIST'!$W$253="X",'PUNCH LIST'!E253,"")</f>
        <v/>
      </c>
      <c r="G796">
        <f>IF('PUNCH LIST'!$W$253="X",'PUNCH LIST'!Q253,"")</f>
        <v/>
      </c>
      <c r="H796">
        <f>IF('PUNCH LIST'!$W$253="X","X","")</f>
        <v/>
      </c>
    </row>
    <row r="797" ht="15" customHeight="1" s="130">
      <c r="A797">
        <f>IF('PUNCH LIST'!$W$254="X","PUNCH LIST","")</f>
        <v/>
      </c>
      <c r="B797">
        <f>IF('PUNCH LIST'!$W$254="X",'PUNCH LIST'!B254,"")</f>
        <v/>
      </c>
      <c r="D797">
        <f>IF('PUNCH LIST'!$W$254="X",'PUNCH LIST'!F254,"")</f>
        <v/>
      </c>
      <c r="E797">
        <f>IF('PUNCH LIST'!$W$254="X",'PUNCH LIST'!C254,"")</f>
        <v/>
      </c>
      <c r="F797">
        <f>IF('PUNCH LIST'!$W$254="X",'PUNCH LIST'!E254,"")</f>
        <v/>
      </c>
      <c r="G797">
        <f>IF('PUNCH LIST'!$W$254="X",'PUNCH LIST'!Q254,"")</f>
        <v/>
      </c>
      <c r="H797">
        <f>IF('PUNCH LIST'!$W$254="X","X","")</f>
        <v/>
      </c>
    </row>
    <row r="798" ht="15" customHeight="1" s="130">
      <c r="A798">
        <f>IF('PUNCH LIST'!$W$255="X","PUNCH LIST","")</f>
        <v/>
      </c>
      <c r="B798">
        <f>IF('PUNCH LIST'!$W$255="X",'PUNCH LIST'!B255,"")</f>
        <v/>
      </c>
      <c r="D798">
        <f>IF('PUNCH LIST'!$W$255="X",'PUNCH LIST'!F255,"")</f>
        <v/>
      </c>
      <c r="E798">
        <f>IF('PUNCH LIST'!$W$255="X",'PUNCH LIST'!C255,"")</f>
        <v/>
      </c>
      <c r="F798">
        <f>IF('PUNCH LIST'!$W$255="X",'PUNCH LIST'!E255,"")</f>
        <v/>
      </c>
      <c r="G798">
        <f>IF('PUNCH LIST'!$W$255="X",'PUNCH LIST'!Q255,"")</f>
        <v/>
      </c>
      <c r="H798">
        <f>IF('PUNCH LIST'!$W$255="X","X","")</f>
        <v/>
      </c>
    </row>
    <row r="799" ht="15" customHeight="1" s="130">
      <c r="A799">
        <f>IF('PUNCH LIST'!$W$256="X","PUNCH LIST","")</f>
        <v/>
      </c>
      <c r="B799">
        <f>IF('PUNCH LIST'!$W$256="X",'PUNCH LIST'!B256,"")</f>
        <v/>
      </c>
      <c r="D799">
        <f>IF('PUNCH LIST'!$W$256="X",'PUNCH LIST'!F256,"")</f>
        <v/>
      </c>
      <c r="E799">
        <f>IF('PUNCH LIST'!$W$256="X",'PUNCH LIST'!C256,"")</f>
        <v/>
      </c>
      <c r="F799">
        <f>IF('PUNCH LIST'!$W$256="X",'PUNCH LIST'!E256,"")</f>
        <v/>
      </c>
      <c r="G799">
        <f>IF('PUNCH LIST'!$W$256="X",'PUNCH LIST'!Q256,"")</f>
        <v/>
      </c>
      <c r="H799">
        <f>IF('PUNCH LIST'!$W$256="X","X","")</f>
        <v/>
      </c>
    </row>
    <row r="800" ht="15" customHeight="1" s="130">
      <c r="A800">
        <f>IF('PUNCH LIST'!$W$257="X","PUNCH LIST","")</f>
        <v/>
      </c>
      <c r="B800">
        <f>IF('PUNCH LIST'!$W$257="X",'PUNCH LIST'!B257,"")</f>
        <v/>
      </c>
      <c r="D800">
        <f>IF('PUNCH LIST'!$W$257="X",'PUNCH LIST'!F257,"")</f>
        <v/>
      </c>
      <c r="E800">
        <f>IF('PUNCH LIST'!$W$257="X",'PUNCH LIST'!C257,"")</f>
        <v/>
      </c>
      <c r="F800">
        <f>IF('PUNCH LIST'!$W$257="X",'PUNCH LIST'!E257,"")</f>
        <v/>
      </c>
      <c r="G800">
        <f>IF('PUNCH LIST'!$W$257="X",'PUNCH LIST'!Q257,"")</f>
        <v/>
      </c>
      <c r="H800">
        <f>IF('PUNCH LIST'!$W$257="X","X","")</f>
        <v/>
      </c>
    </row>
    <row r="801" ht="15" customHeight="1" s="130">
      <c r="A801">
        <f>IF('PUNCH LIST'!$W$258="X","PUNCH LIST","")</f>
        <v/>
      </c>
      <c r="B801">
        <f>IF('PUNCH LIST'!$W$258="X",'PUNCH LIST'!B258,"")</f>
        <v/>
      </c>
      <c r="D801">
        <f>IF('PUNCH LIST'!$W$258="X",'PUNCH LIST'!F258,"")</f>
        <v/>
      </c>
      <c r="E801">
        <f>IF('PUNCH LIST'!$W$258="X",'PUNCH LIST'!C258,"")</f>
        <v/>
      </c>
      <c r="F801">
        <f>IF('PUNCH LIST'!$W$258="X",'PUNCH LIST'!E258,"")</f>
        <v/>
      </c>
      <c r="G801">
        <f>IF('PUNCH LIST'!$W$258="X",'PUNCH LIST'!Q258,"")</f>
        <v/>
      </c>
      <c r="H801">
        <f>IF('PUNCH LIST'!$W$258="X","X","")</f>
        <v/>
      </c>
    </row>
    <row r="802" ht="15" customHeight="1" s="130">
      <c r="A802">
        <f>IF('PUNCH LIST'!$W$259="X","PUNCH LIST","")</f>
        <v/>
      </c>
      <c r="B802">
        <f>IF('PUNCH LIST'!$W$259="X",'PUNCH LIST'!B259,"")</f>
        <v/>
      </c>
      <c r="D802">
        <f>IF('PUNCH LIST'!$W$259="X",'PUNCH LIST'!F259,"")</f>
        <v/>
      </c>
      <c r="E802">
        <f>IF('PUNCH LIST'!$W$259="X",'PUNCH LIST'!C259,"")</f>
        <v/>
      </c>
      <c r="F802">
        <f>IF('PUNCH LIST'!$W$259="X",'PUNCH LIST'!E259,"")</f>
        <v/>
      </c>
      <c r="G802">
        <f>IF('PUNCH LIST'!$W$259="X",'PUNCH LIST'!Q259,"")</f>
        <v/>
      </c>
      <c r="H802">
        <f>IF('PUNCH LIST'!$W$259="X","X","")</f>
        <v/>
      </c>
    </row>
    <row r="803" ht="15" customHeight="1" s="130">
      <c r="A803">
        <f>IF('PUNCH LIST'!$W$260="X","PUNCH LIST","")</f>
        <v/>
      </c>
      <c r="B803">
        <f>IF('PUNCH LIST'!$W$260="X",'PUNCH LIST'!B260,"")</f>
        <v/>
      </c>
      <c r="D803">
        <f>IF('PUNCH LIST'!$W$260="X",'PUNCH LIST'!F260,"")</f>
        <v/>
      </c>
      <c r="E803">
        <f>IF('PUNCH LIST'!$W$260="X",'PUNCH LIST'!C260,"")</f>
        <v/>
      </c>
      <c r="F803">
        <f>IF('PUNCH LIST'!$W$260="X",'PUNCH LIST'!E260,"")</f>
        <v/>
      </c>
      <c r="G803">
        <f>IF('PUNCH LIST'!$W$260="X",'PUNCH LIST'!Q260,"")</f>
        <v/>
      </c>
      <c r="H803">
        <f>IF('PUNCH LIST'!$W$260="X","X","")</f>
        <v/>
      </c>
    </row>
    <row r="804" ht="15" customHeight="1" s="130">
      <c r="A804">
        <f>IF('PUNCH LIST'!$W$261="X","PUNCH LIST","")</f>
        <v/>
      </c>
      <c r="B804">
        <f>IF('PUNCH LIST'!$W$261="X",'PUNCH LIST'!B261,"")</f>
        <v/>
      </c>
      <c r="D804">
        <f>IF('PUNCH LIST'!$W$261="X",'PUNCH LIST'!F261,"")</f>
        <v/>
      </c>
      <c r="E804">
        <f>IF('PUNCH LIST'!$W$261="X",'PUNCH LIST'!C261,"")</f>
        <v/>
      </c>
      <c r="F804">
        <f>IF('PUNCH LIST'!$W$261="X",'PUNCH LIST'!E261,"")</f>
        <v/>
      </c>
      <c r="G804">
        <f>IF('PUNCH LIST'!$W$261="X",'PUNCH LIST'!Q261,"")</f>
        <v/>
      </c>
      <c r="H804">
        <f>IF('PUNCH LIST'!$W$261="X","X","")</f>
        <v/>
      </c>
    </row>
    <row r="805" ht="15" customHeight="1" s="130">
      <c r="A805">
        <f>IF('PUNCH LIST'!$W$262="X","PUNCH LIST","")</f>
        <v/>
      </c>
      <c r="B805">
        <f>IF('PUNCH LIST'!$W$262="X",'PUNCH LIST'!B262,"")</f>
        <v/>
      </c>
      <c r="D805">
        <f>IF('PUNCH LIST'!$W$262="X",'PUNCH LIST'!F262,"")</f>
        <v/>
      </c>
      <c r="E805">
        <f>IF('PUNCH LIST'!$W$262="X",'PUNCH LIST'!C262,"")</f>
        <v/>
      </c>
      <c r="F805">
        <f>IF('PUNCH LIST'!$W$262="X",'PUNCH LIST'!E262,"")</f>
        <v/>
      </c>
      <c r="G805">
        <f>IF('PUNCH LIST'!$W$262="X",'PUNCH LIST'!Q262,"")</f>
        <v/>
      </c>
      <c r="H805">
        <f>IF('PUNCH LIST'!$W$262="X","X","")</f>
        <v/>
      </c>
    </row>
    <row r="806" ht="15" customHeight="1" s="130">
      <c r="A806">
        <f>IF('PUNCH LIST'!$W$263="X","PUNCH LIST","")</f>
        <v/>
      </c>
      <c r="B806">
        <f>IF('PUNCH LIST'!$W$263="X",'PUNCH LIST'!B263,"")</f>
        <v/>
      </c>
      <c r="D806">
        <f>IF('PUNCH LIST'!$W$263="X",'PUNCH LIST'!F263,"")</f>
        <v/>
      </c>
      <c r="E806">
        <f>IF('PUNCH LIST'!$W$263="X",'PUNCH LIST'!C263,"")</f>
        <v/>
      </c>
      <c r="F806">
        <f>IF('PUNCH LIST'!$W$263="X",'PUNCH LIST'!E263,"")</f>
        <v/>
      </c>
      <c r="G806">
        <f>IF('PUNCH LIST'!$W$263="X",'PUNCH LIST'!Q263,"")</f>
        <v/>
      </c>
      <c r="H806">
        <f>IF('PUNCH LIST'!$W$263="X","X","")</f>
        <v/>
      </c>
    </row>
    <row r="807" ht="15" customHeight="1" s="130">
      <c r="A807">
        <f>IF('PUNCH LIST'!$W$264="X","PUNCH LIST","")</f>
        <v/>
      </c>
      <c r="B807">
        <f>IF('PUNCH LIST'!$W$264="X",'PUNCH LIST'!B264,"")</f>
        <v/>
      </c>
      <c r="D807">
        <f>IF('PUNCH LIST'!$W$264="X",'PUNCH LIST'!F264,"")</f>
        <v/>
      </c>
      <c r="E807">
        <f>IF('PUNCH LIST'!$W$264="X",'PUNCH LIST'!C264,"")</f>
        <v/>
      </c>
      <c r="F807">
        <f>IF('PUNCH LIST'!$W$264="X",'PUNCH LIST'!E264,"")</f>
        <v/>
      </c>
      <c r="G807">
        <f>IF('PUNCH LIST'!$W$264="X",'PUNCH LIST'!Q264,"")</f>
        <v/>
      </c>
      <c r="H807">
        <f>IF('PUNCH LIST'!$W$264="X","X","")</f>
        <v/>
      </c>
    </row>
    <row r="808" ht="15" customHeight="1" s="130">
      <c r="A808">
        <f>IF('PUNCH LIST'!$W$265="X","PUNCH LIST","")</f>
        <v/>
      </c>
      <c r="B808">
        <f>IF('PUNCH LIST'!$W$265="X",'PUNCH LIST'!B265,"")</f>
        <v/>
      </c>
      <c r="D808">
        <f>IF('PUNCH LIST'!$W$265="X",'PUNCH LIST'!F265,"")</f>
        <v/>
      </c>
      <c r="E808">
        <f>IF('PUNCH LIST'!$W$265="X",'PUNCH LIST'!C265,"")</f>
        <v/>
      </c>
      <c r="F808">
        <f>IF('PUNCH LIST'!$W$265="X",'PUNCH LIST'!E265,"")</f>
        <v/>
      </c>
      <c r="G808">
        <f>IF('PUNCH LIST'!$W$265="X",'PUNCH LIST'!Q265,"")</f>
        <v/>
      </c>
      <c r="H808">
        <f>IF('PUNCH LIST'!$W$265="X","X","")</f>
        <v/>
      </c>
    </row>
    <row r="809" ht="15" customHeight="1" s="130">
      <c r="A809">
        <f>IF('PUNCH LIST'!$W$266="X","PUNCH LIST","")</f>
        <v/>
      </c>
      <c r="B809">
        <f>IF('PUNCH LIST'!$W$266="X",'PUNCH LIST'!B266,"")</f>
        <v/>
      </c>
      <c r="D809">
        <f>IF('PUNCH LIST'!$W$266="X",'PUNCH LIST'!F266,"")</f>
        <v/>
      </c>
      <c r="E809">
        <f>IF('PUNCH LIST'!$W$266="X",'PUNCH LIST'!C266,"")</f>
        <v/>
      </c>
      <c r="F809">
        <f>IF('PUNCH LIST'!$W$266="X",'PUNCH LIST'!E266,"")</f>
        <v/>
      </c>
      <c r="G809">
        <f>IF('PUNCH LIST'!$W$266="X",'PUNCH LIST'!Q266,"")</f>
        <v/>
      </c>
      <c r="H809">
        <f>IF('PUNCH LIST'!$W$266="X","X","")</f>
        <v/>
      </c>
    </row>
    <row r="810" ht="15" customHeight="1" s="130">
      <c r="A810">
        <f>IF('PUNCH LIST'!$W$267="X","PUNCH LIST","")</f>
        <v/>
      </c>
      <c r="B810">
        <f>IF('PUNCH LIST'!$W$267="X",'PUNCH LIST'!B267,"")</f>
        <v/>
      </c>
      <c r="D810">
        <f>IF('PUNCH LIST'!$W$267="X",'PUNCH LIST'!F267,"")</f>
        <v/>
      </c>
      <c r="E810">
        <f>IF('PUNCH LIST'!$W$267="X",'PUNCH LIST'!C267,"")</f>
        <v/>
      </c>
      <c r="F810">
        <f>IF('PUNCH LIST'!$W$267="X",'PUNCH LIST'!E267,"")</f>
        <v/>
      </c>
      <c r="G810">
        <f>IF('PUNCH LIST'!$W$267="X",'PUNCH LIST'!Q267,"")</f>
        <v/>
      </c>
      <c r="H810">
        <f>IF('PUNCH LIST'!$W$267="X","X","")</f>
        <v/>
      </c>
    </row>
    <row r="811" ht="15" customHeight="1" s="130">
      <c r="A811">
        <f>IF('PUNCH LIST'!$W$268="X","PUNCH LIST","")</f>
        <v/>
      </c>
      <c r="B811">
        <f>IF('PUNCH LIST'!$W$268="X",'PUNCH LIST'!B268,"")</f>
        <v/>
      </c>
      <c r="D811">
        <f>IF('PUNCH LIST'!$W$268="X",'PUNCH LIST'!F268,"")</f>
        <v/>
      </c>
      <c r="E811">
        <f>IF('PUNCH LIST'!$W$268="X",'PUNCH LIST'!C268,"")</f>
        <v/>
      </c>
      <c r="F811">
        <f>IF('PUNCH LIST'!$W$268="X",'PUNCH LIST'!E268,"")</f>
        <v/>
      </c>
      <c r="G811">
        <f>IF('PUNCH LIST'!$W$268="X",'PUNCH LIST'!Q268,"")</f>
        <v/>
      </c>
      <c r="H811">
        <f>IF('PUNCH LIST'!$W$268="X","X","")</f>
        <v/>
      </c>
    </row>
    <row r="812" ht="15" customHeight="1" s="130">
      <c r="A812">
        <f>IF('PUNCH LIST'!$W$269="X","PUNCH LIST","")</f>
        <v/>
      </c>
      <c r="B812">
        <f>IF('PUNCH LIST'!$W$269="X",'PUNCH LIST'!B269,"")</f>
        <v/>
      </c>
      <c r="D812">
        <f>IF('PUNCH LIST'!$W$269="X",'PUNCH LIST'!F269,"")</f>
        <v/>
      </c>
      <c r="E812">
        <f>IF('PUNCH LIST'!$W$269="X",'PUNCH LIST'!C269,"")</f>
        <v/>
      </c>
      <c r="F812">
        <f>IF('PUNCH LIST'!$W$269="X",'PUNCH LIST'!E269,"")</f>
        <v/>
      </c>
      <c r="G812">
        <f>IF('PUNCH LIST'!$W$269="X",'PUNCH LIST'!Q269,"")</f>
        <v/>
      </c>
      <c r="H812">
        <f>IF('PUNCH LIST'!$W$269="X","X","")</f>
        <v/>
      </c>
    </row>
    <row r="813" ht="15" customHeight="1" s="130">
      <c r="A813">
        <f>IF('PUNCH LIST'!$W$270="X","PUNCH LIST","")</f>
        <v/>
      </c>
      <c r="B813">
        <f>IF('PUNCH LIST'!$W$270="X",'PUNCH LIST'!B270,"")</f>
        <v/>
      </c>
      <c r="D813">
        <f>IF('PUNCH LIST'!$W$270="X",'PUNCH LIST'!F270,"")</f>
        <v/>
      </c>
      <c r="E813">
        <f>IF('PUNCH LIST'!$W$270="X",'PUNCH LIST'!C270,"")</f>
        <v/>
      </c>
      <c r="F813">
        <f>IF('PUNCH LIST'!$W$270="X",'PUNCH LIST'!E270,"")</f>
        <v/>
      </c>
      <c r="G813">
        <f>IF('PUNCH LIST'!$W$270="X",'PUNCH LIST'!Q270,"")</f>
        <v/>
      </c>
      <c r="H813">
        <f>IF('PUNCH LIST'!$W$270="X","X","")</f>
        <v/>
      </c>
    </row>
    <row r="814" ht="15" customHeight="1" s="130">
      <c r="A814">
        <f>IF('PUNCH LIST'!$W$271="X","PUNCH LIST","")</f>
        <v/>
      </c>
      <c r="B814">
        <f>IF('PUNCH LIST'!$W$271="X",'PUNCH LIST'!B271,"")</f>
        <v/>
      </c>
      <c r="D814">
        <f>IF('PUNCH LIST'!$W$271="X",'PUNCH LIST'!F271,"")</f>
        <v/>
      </c>
      <c r="E814">
        <f>IF('PUNCH LIST'!$W$271="X",'PUNCH LIST'!C271,"")</f>
        <v/>
      </c>
      <c r="F814">
        <f>IF('PUNCH LIST'!$W$271="X",'PUNCH LIST'!E271,"")</f>
        <v/>
      </c>
      <c r="G814">
        <f>IF('PUNCH LIST'!$W$271="X",'PUNCH LIST'!Q271,"")</f>
        <v/>
      </c>
      <c r="H814">
        <f>IF('PUNCH LIST'!$W$271="X","X","")</f>
        <v/>
      </c>
    </row>
    <row r="815" ht="15" customHeight="1" s="130">
      <c r="A815">
        <f>IF('PUNCH LIST'!$W$272="X","PUNCH LIST","")</f>
        <v/>
      </c>
      <c r="B815">
        <f>IF('PUNCH LIST'!$W$272="X",'PUNCH LIST'!B272,"")</f>
        <v/>
      </c>
      <c r="D815">
        <f>IF('PUNCH LIST'!$W$272="X",'PUNCH LIST'!F272,"")</f>
        <v/>
      </c>
      <c r="E815">
        <f>IF('PUNCH LIST'!$W$272="X",'PUNCH LIST'!C272,"")</f>
        <v/>
      </c>
      <c r="F815">
        <f>IF('PUNCH LIST'!$W$272="X",'PUNCH LIST'!E272,"")</f>
        <v/>
      </c>
      <c r="G815">
        <f>IF('PUNCH LIST'!$W$272="X",'PUNCH LIST'!Q272,"")</f>
        <v/>
      </c>
      <c r="H815">
        <f>IF('PUNCH LIST'!$W$272="X","X","")</f>
        <v/>
      </c>
    </row>
    <row r="816" ht="15" customHeight="1" s="130">
      <c r="A816">
        <f>IF('PUNCH LIST'!$W$273="X","PUNCH LIST","")</f>
        <v/>
      </c>
      <c r="B816">
        <f>IF('PUNCH LIST'!$W$273="X",'PUNCH LIST'!B273,"")</f>
        <v/>
      </c>
      <c r="D816">
        <f>IF('PUNCH LIST'!$W$273="X",'PUNCH LIST'!F273,"")</f>
        <v/>
      </c>
      <c r="E816">
        <f>IF('PUNCH LIST'!$W$273="X",'PUNCH LIST'!C273,"")</f>
        <v/>
      </c>
      <c r="F816">
        <f>IF('PUNCH LIST'!$W$273="X",'PUNCH LIST'!E273,"")</f>
        <v/>
      </c>
      <c r="G816">
        <f>IF('PUNCH LIST'!$W$273="X",'PUNCH LIST'!Q273,"")</f>
        <v/>
      </c>
      <c r="H816">
        <f>IF('PUNCH LIST'!$W$273="X","X","")</f>
        <v/>
      </c>
    </row>
    <row r="817" ht="15" customHeight="1" s="130">
      <c r="A817">
        <f>IF('PUNCH LIST'!$W$274="X","PUNCH LIST","")</f>
        <v/>
      </c>
      <c r="B817">
        <f>IF('PUNCH LIST'!$W$274="X",'PUNCH LIST'!B274,"")</f>
        <v/>
      </c>
      <c r="D817">
        <f>IF('PUNCH LIST'!$W$274="X",'PUNCH LIST'!F274,"")</f>
        <v/>
      </c>
      <c r="E817">
        <f>IF('PUNCH LIST'!$W$274="X",'PUNCH LIST'!C274,"")</f>
        <v/>
      </c>
      <c r="F817">
        <f>IF('PUNCH LIST'!$W$274="X",'PUNCH LIST'!E274,"")</f>
        <v/>
      </c>
      <c r="G817">
        <f>IF('PUNCH LIST'!$W$274="X",'PUNCH LIST'!Q274,"")</f>
        <v/>
      </c>
      <c r="H817">
        <f>IF('PUNCH LIST'!$W$274="X","X","")</f>
        <v/>
      </c>
    </row>
    <row r="818" ht="15" customHeight="1" s="130">
      <c r="A818">
        <f>IF('PUNCH LIST'!$W$275="X","PUNCH LIST","")</f>
        <v/>
      </c>
      <c r="B818">
        <f>IF('PUNCH LIST'!$W$275="X",'PUNCH LIST'!B275,"")</f>
        <v/>
      </c>
      <c r="D818">
        <f>IF('PUNCH LIST'!$W$275="X",'PUNCH LIST'!F275,"")</f>
        <v/>
      </c>
      <c r="E818">
        <f>IF('PUNCH LIST'!$W$275="X",'PUNCH LIST'!C275,"")</f>
        <v/>
      </c>
      <c r="F818">
        <f>IF('PUNCH LIST'!$W$275="X",'PUNCH LIST'!E275,"")</f>
        <v/>
      </c>
      <c r="G818">
        <f>IF('PUNCH LIST'!$W$275="X",'PUNCH LIST'!Q275,"")</f>
        <v/>
      </c>
      <c r="H818">
        <f>IF('PUNCH LIST'!$W$275="X","X","")</f>
        <v/>
      </c>
    </row>
    <row r="819" ht="15" customHeight="1" s="130">
      <c r="A819">
        <f>IF('PUNCH LIST'!$W$276="X","PUNCH LIST","")</f>
        <v/>
      </c>
      <c r="B819">
        <f>IF('PUNCH LIST'!$W$276="X",'PUNCH LIST'!B276,"")</f>
        <v/>
      </c>
      <c r="D819">
        <f>IF('PUNCH LIST'!$W$276="X",'PUNCH LIST'!F276,"")</f>
        <v/>
      </c>
      <c r="E819">
        <f>IF('PUNCH LIST'!$W$276="X",'PUNCH LIST'!C276,"")</f>
        <v/>
      </c>
      <c r="F819">
        <f>IF('PUNCH LIST'!$W$276="X",'PUNCH LIST'!E276,"")</f>
        <v/>
      </c>
      <c r="G819">
        <f>IF('PUNCH LIST'!$W$276="X",'PUNCH LIST'!Q276,"")</f>
        <v/>
      </c>
      <c r="H819">
        <f>IF('PUNCH LIST'!$W$276="X","X","")</f>
        <v/>
      </c>
    </row>
    <row r="820" ht="15" customHeight="1" s="130">
      <c r="A820">
        <f>IF('PUNCH LIST'!$W$277="X","PUNCH LIST","")</f>
        <v/>
      </c>
      <c r="B820">
        <f>IF('PUNCH LIST'!$W$277="X",'PUNCH LIST'!B277,"")</f>
        <v/>
      </c>
      <c r="D820">
        <f>IF('PUNCH LIST'!$W$277="X",'PUNCH LIST'!F277,"")</f>
        <v/>
      </c>
      <c r="E820">
        <f>IF('PUNCH LIST'!$W$277="X",'PUNCH LIST'!C277,"")</f>
        <v/>
      </c>
      <c r="F820">
        <f>IF('PUNCH LIST'!$W$277="X",'PUNCH LIST'!E277,"")</f>
        <v/>
      </c>
      <c r="G820">
        <f>IF('PUNCH LIST'!$W$277="X",'PUNCH LIST'!Q277,"")</f>
        <v/>
      </c>
      <c r="H820">
        <f>IF('PUNCH LIST'!$W$277="X","X","")</f>
        <v/>
      </c>
    </row>
    <row r="821" ht="15" customHeight="1" s="130">
      <c r="A821">
        <f>IF('PUNCH LIST'!$W$278="X","PUNCH LIST","")</f>
        <v/>
      </c>
      <c r="B821">
        <f>IF('PUNCH LIST'!$W$278="X",'PUNCH LIST'!B278,"")</f>
        <v/>
      </c>
      <c r="D821">
        <f>IF('PUNCH LIST'!$W$278="X",'PUNCH LIST'!F278,"")</f>
        <v/>
      </c>
      <c r="E821">
        <f>IF('PUNCH LIST'!$W$278="X",'PUNCH LIST'!C278,"")</f>
        <v/>
      </c>
      <c r="F821">
        <f>IF('PUNCH LIST'!$W$278="X",'PUNCH LIST'!E278,"")</f>
        <v/>
      </c>
      <c r="G821">
        <f>IF('PUNCH LIST'!$W$278="X",'PUNCH LIST'!Q278,"")</f>
        <v/>
      </c>
      <c r="H821">
        <f>IF('PUNCH LIST'!$W$278="X","X","")</f>
        <v/>
      </c>
    </row>
    <row r="822" ht="15" customHeight="1" s="130">
      <c r="A822">
        <f>IF('PUNCH LIST'!$W$279="X","PUNCH LIST","")</f>
        <v/>
      </c>
      <c r="B822">
        <f>IF('PUNCH LIST'!$W$279="X",'PUNCH LIST'!B279,"")</f>
        <v/>
      </c>
      <c r="D822">
        <f>IF('PUNCH LIST'!$W$279="X",'PUNCH LIST'!F279,"")</f>
        <v/>
      </c>
      <c r="E822">
        <f>IF('PUNCH LIST'!$W$279="X",'PUNCH LIST'!C279,"")</f>
        <v/>
      </c>
      <c r="F822">
        <f>IF('PUNCH LIST'!$W$279="X",'PUNCH LIST'!E279,"")</f>
        <v/>
      </c>
      <c r="G822">
        <f>IF('PUNCH LIST'!$W$279="X",'PUNCH LIST'!Q279,"")</f>
        <v/>
      </c>
      <c r="H822">
        <f>IF('PUNCH LIST'!$W$279="X","X","")</f>
        <v/>
      </c>
    </row>
    <row r="823" ht="15" customHeight="1" s="130">
      <c r="A823">
        <f>IF('PUNCH LIST'!$W$280="X","PUNCH LIST","")</f>
        <v/>
      </c>
      <c r="B823">
        <f>IF('PUNCH LIST'!$W$280="X",'PUNCH LIST'!B280,"")</f>
        <v/>
      </c>
      <c r="D823">
        <f>IF('PUNCH LIST'!$W$280="X",'PUNCH LIST'!F280,"")</f>
        <v/>
      </c>
      <c r="E823">
        <f>IF('PUNCH LIST'!$W$280="X",'PUNCH LIST'!C280,"")</f>
        <v/>
      </c>
      <c r="F823">
        <f>IF('PUNCH LIST'!$W$280="X",'PUNCH LIST'!E280,"")</f>
        <v/>
      </c>
      <c r="G823">
        <f>IF('PUNCH LIST'!$W$280="X",'PUNCH LIST'!Q280,"")</f>
        <v/>
      </c>
      <c r="H823">
        <f>IF('PUNCH LIST'!$W$280="X","X","")</f>
        <v/>
      </c>
    </row>
    <row r="824" ht="15" customHeight="1" s="130">
      <c r="A824">
        <f>IF('PUNCH LIST'!$W$281="X","PUNCH LIST","")</f>
        <v/>
      </c>
      <c r="B824">
        <f>IF('PUNCH LIST'!$W$281="X",'PUNCH LIST'!B281,"")</f>
        <v/>
      </c>
      <c r="D824">
        <f>IF('PUNCH LIST'!$W$281="X",'PUNCH LIST'!F281,"")</f>
        <v/>
      </c>
      <c r="E824">
        <f>IF('PUNCH LIST'!$W$281="X",'PUNCH LIST'!C281,"")</f>
        <v/>
      </c>
      <c r="F824">
        <f>IF('PUNCH LIST'!$W$281="X",'PUNCH LIST'!E281,"")</f>
        <v/>
      </c>
      <c r="G824">
        <f>IF('PUNCH LIST'!$W$281="X",'PUNCH LIST'!Q281,"")</f>
        <v/>
      </c>
      <c r="H824">
        <f>IF('PUNCH LIST'!$W$281="X","X","")</f>
        <v/>
      </c>
    </row>
    <row r="825" ht="15" customHeight="1" s="130">
      <c r="A825">
        <f>IF('PUNCH LIST'!$W$282="X","PUNCH LIST","")</f>
        <v/>
      </c>
      <c r="B825">
        <f>IF('PUNCH LIST'!$W$282="X",'PUNCH LIST'!B282,"")</f>
        <v/>
      </c>
      <c r="D825">
        <f>IF('PUNCH LIST'!$W$282="X",'PUNCH LIST'!F282,"")</f>
        <v/>
      </c>
      <c r="E825">
        <f>IF('PUNCH LIST'!$W$282="X",'PUNCH LIST'!C282,"")</f>
        <v/>
      </c>
      <c r="F825">
        <f>IF('PUNCH LIST'!$W$282="X",'PUNCH LIST'!E282,"")</f>
        <v/>
      </c>
      <c r="G825">
        <f>IF('PUNCH LIST'!$W$282="X",'PUNCH LIST'!Q282,"")</f>
        <v/>
      </c>
      <c r="H825">
        <f>IF('PUNCH LIST'!$W$282="X","X","")</f>
        <v/>
      </c>
    </row>
    <row r="826" ht="15" customHeight="1" s="130">
      <c r="A826">
        <f>IF('PUNCH LIST'!$W$283="X","PUNCH LIST","")</f>
        <v/>
      </c>
      <c r="B826">
        <f>IF('PUNCH LIST'!$W$283="X",'PUNCH LIST'!B283,"")</f>
        <v/>
      </c>
      <c r="D826">
        <f>IF('PUNCH LIST'!$W$283="X",'PUNCH LIST'!F283,"")</f>
        <v/>
      </c>
      <c r="E826">
        <f>IF('PUNCH LIST'!$W$283="X",'PUNCH LIST'!C283,"")</f>
        <v/>
      </c>
      <c r="F826">
        <f>IF('PUNCH LIST'!$W$283="X",'PUNCH LIST'!E283,"")</f>
        <v/>
      </c>
      <c r="G826">
        <f>IF('PUNCH LIST'!$W$283="X",'PUNCH LIST'!Q283,"")</f>
        <v/>
      </c>
      <c r="H826">
        <f>IF('PUNCH LIST'!$W$283="X","X","")</f>
        <v/>
      </c>
    </row>
    <row r="827" ht="15" customHeight="1" s="130">
      <c r="A827">
        <f>IF('PUNCH LIST'!$W$284="X","PUNCH LIST","")</f>
        <v/>
      </c>
      <c r="B827">
        <f>IF('PUNCH LIST'!$W$284="X",'PUNCH LIST'!B284,"")</f>
        <v/>
      </c>
      <c r="D827">
        <f>IF('PUNCH LIST'!$W$284="X",'PUNCH LIST'!F284,"")</f>
        <v/>
      </c>
      <c r="E827">
        <f>IF('PUNCH LIST'!$W$284="X",'PUNCH LIST'!C284,"")</f>
        <v/>
      </c>
      <c r="F827">
        <f>IF('PUNCH LIST'!$W$284="X",'PUNCH LIST'!E284,"")</f>
        <v/>
      </c>
      <c r="G827">
        <f>IF('PUNCH LIST'!$W$284="X",'PUNCH LIST'!Q284,"")</f>
        <v/>
      </c>
      <c r="H827">
        <f>IF('PUNCH LIST'!$W$284="X","X","")</f>
        <v/>
      </c>
    </row>
    <row r="828" ht="15" customHeight="1" s="130">
      <c r="A828">
        <f>IF('PUNCH LIST'!$W$285="X","PUNCH LIST","")</f>
        <v/>
      </c>
      <c r="B828">
        <f>IF('PUNCH LIST'!$W$285="X",'PUNCH LIST'!B285,"")</f>
        <v/>
      </c>
      <c r="D828">
        <f>IF('PUNCH LIST'!$W$285="X",'PUNCH LIST'!F285,"")</f>
        <v/>
      </c>
      <c r="E828">
        <f>IF('PUNCH LIST'!$W$285="X",'PUNCH LIST'!C285,"")</f>
        <v/>
      </c>
      <c r="F828">
        <f>IF('PUNCH LIST'!$W$285="X",'PUNCH LIST'!E285,"")</f>
        <v/>
      </c>
      <c r="G828">
        <f>IF('PUNCH LIST'!$W$285="X",'PUNCH LIST'!Q285,"")</f>
        <v/>
      </c>
      <c r="H828">
        <f>IF('PUNCH LIST'!$W$285="X","X","")</f>
        <v/>
      </c>
    </row>
    <row r="829" ht="15" customHeight="1" s="130">
      <c r="A829">
        <f>IF('PUNCH LIST'!$W$286="X","PUNCH LIST","")</f>
        <v/>
      </c>
      <c r="B829">
        <f>IF('PUNCH LIST'!$W$286="X",'PUNCH LIST'!B286,"")</f>
        <v/>
      </c>
      <c r="D829">
        <f>IF('PUNCH LIST'!$W$286="X",'PUNCH LIST'!F286,"")</f>
        <v/>
      </c>
      <c r="E829">
        <f>IF('PUNCH LIST'!$W$286="X",'PUNCH LIST'!C286,"")</f>
        <v/>
      </c>
      <c r="F829">
        <f>IF('PUNCH LIST'!$W$286="X",'PUNCH LIST'!E286,"")</f>
        <v/>
      </c>
      <c r="G829">
        <f>IF('PUNCH LIST'!$W$286="X",'PUNCH LIST'!Q286,"")</f>
        <v/>
      </c>
      <c r="H829">
        <f>IF('PUNCH LIST'!$W$286="X","X","")</f>
        <v/>
      </c>
    </row>
    <row r="830" ht="15" customHeight="1" s="130">
      <c r="A830">
        <f>IF('PUNCH LIST'!$W$287="X","PUNCH LIST","")</f>
        <v/>
      </c>
      <c r="B830">
        <f>IF('PUNCH LIST'!$W$287="X",'PUNCH LIST'!B287,"")</f>
        <v/>
      </c>
      <c r="D830">
        <f>IF('PUNCH LIST'!$W$287="X",'PUNCH LIST'!F287,"")</f>
        <v/>
      </c>
      <c r="E830">
        <f>IF('PUNCH LIST'!$W$287="X",'PUNCH LIST'!C287,"")</f>
        <v/>
      </c>
      <c r="F830">
        <f>IF('PUNCH LIST'!$W$287="X",'PUNCH LIST'!E287,"")</f>
        <v/>
      </c>
      <c r="G830">
        <f>IF('PUNCH LIST'!$W$287="X",'PUNCH LIST'!Q287,"")</f>
        <v/>
      </c>
      <c r="H830">
        <f>IF('PUNCH LIST'!$W$287="X","X","")</f>
        <v/>
      </c>
    </row>
    <row r="831" ht="15" customHeight="1" s="130">
      <c r="A831">
        <f>IF('PUNCH LIST'!$W$288="X","PUNCH LIST","")</f>
        <v/>
      </c>
      <c r="B831">
        <f>IF('PUNCH LIST'!$W$288="X",'PUNCH LIST'!B288,"")</f>
        <v/>
      </c>
      <c r="D831">
        <f>IF('PUNCH LIST'!$W$288="X",'PUNCH LIST'!F288,"")</f>
        <v/>
      </c>
      <c r="E831">
        <f>IF('PUNCH LIST'!$W$288="X",'PUNCH LIST'!C288,"")</f>
        <v/>
      </c>
      <c r="F831">
        <f>IF('PUNCH LIST'!$W$288="X",'PUNCH LIST'!E288,"")</f>
        <v/>
      </c>
      <c r="G831">
        <f>IF('PUNCH LIST'!$W$288="X",'PUNCH LIST'!Q288,"")</f>
        <v/>
      </c>
      <c r="H831">
        <f>IF('PUNCH LIST'!$W$288="X","X","")</f>
        <v/>
      </c>
    </row>
    <row r="832" ht="15" customHeight="1" s="130">
      <c r="A832">
        <f>IF('PUNCH LIST'!$W$289="X","PUNCH LIST","")</f>
        <v/>
      </c>
      <c r="B832">
        <f>IF('PUNCH LIST'!$W$289="X",'PUNCH LIST'!B289,"")</f>
        <v/>
      </c>
      <c r="D832">
        <f>IF('PUNCH LIST'!$W$289="X",'PUNCH LIST'!F289,"")</f>
        <v/>
      </c>
      <c r="E832">
        <f>IF('PUNCH LIST'!$W$289="X",'PUNCH LIST'!C289,"")</f>
        <v/>
      </c>
      <c r="F832">
        <f>IF('PUNCH LIST'!$W$289="X",'PUNCH LIST'!E289,"")</f>
        <v/>
      </c>
      <c r="G832">
        <f>IF('PUNCH LIST'!$W$289="X",'PUNCH LIST'!Q289,"")</f>
        <v/>
      </c>
      <c r="H832">
        <f>IF('PUNCH LIST'!$W$289="X","X","")</f>
        <v/>
      </c>
    </row>
    <row r="833" ht="15" customHeight="1" s="130">
      <c r="A833">
        <f>IF('PUNCH LIST'!$W$290="X","PUNCH LIST","")</f>
        <v/>
      </c>
      <c r="B833">
        <f>IF('PUNCH LIST'!$W$290="X",'PUNCH LIST'!B290,"")</f>
        <v/>
      </c>
      <c r="D833">
        <f>IF('PUNCH LIST'!$W$290="X",'PUNCH LIST'!F290,"")</f>
        <v/>
      </c>
      <c r="E833">
        <f>IF('PUNCH LIST'!$W$290="X",'PUNCH LIST'!C290,"")</f>
        <v/>
      </c>
      <c r="F833">
        <f>IF('PUNCH LIST'!$W$290="X",'PUNCH LIST'!E290,"")</f>
        <v/>
      </c>
      <c r="G833">
        <f>IF('PUNCH LIST'!$W$290="X",'PUNCH LIST'!Q290,"")</f>
        <v/>
      </c>
      <c r="H833">
        <f>IF('PUNCH LIST'!$W$290="X","X","")</f>
        <v/>
      </c>
    </row>
    <row r="834" ht="15" customHeight="1" s="130">
      <c r="A834">
        <f>IF('PUNCH LIST'!$W$291="X","PUNCH LIST","")</f>
        <v/>
      </c>
      <c r="B834">
        <f>IF('PUNCH LIST'!$W$291="X",'PUNCH LIST'!B291,"")</f>
        <v/>
      </c>
      <c r="D834">
        <f>IF('PUNCH LIST'!$W$291="X",'PUNCH LIST'!F291,"")</f>
        <v/>
      </c>
      <c r="E834">
        <f>IF('PUNCH LIST'!$W$291="X",'PUNCH LIST'!C291,"")</f>
        <v/>
      </c>
      <c r="F834">
        <f>IF('PUNCH LIST'!$W$291="X",'PUNCH LIST'!E291,"")</f>
        <v/>
      </c>
      <c r="G834">
        <f>IF('PUNCH LIST'!$W$291="X",'PUNCH LIST'!Q291,"")</f>
        <v/>
      </c>
      <c r="H834">
        <f>IF('PUNCH LIST'!$W$291="X","X","")</f>
        <v/>
      </c>
    </row>
    <row r="835" ht="15" customHeight="1" s="130">
      <c r="A835">
        <f>IF('PUNCH LIST'!$W$292="X","PUNCH LIST","")</f>
        <v/>
      </c>
      <c r="B835">
        <f>IF('PUNCH LIST'!$W$292="X",'PUNCH LIST'!B292,"")</f>
        <v/>
      </c>
      <c r="D835">
        <f>IF('PUNCH LIST'!$W$292="X",'PUNCH LIST'!F292,"")</f>
        <v/>
      </c>
      <c r="E835">
        <f>IF('PUNCH LIST'!$W$292="X",'PUNCH LIST'!C292,"")</f>
        <v/>
      </c>
      <c r="F835">
        <f>IF('PUNCH LIST'!$W$292="X",'PUNCH LIST'!E292,"")</f>
        <v/>
      </c>
      <c r="G835">
        <f>IF('PUNCH LIST'!$W$292="X",'PUNCH LIST'!Q292,"")</f>
        <v/>
      </c>
      <c r="H835">
        <f>IF('PUNCH LIST'!$W$292="X","X","")</f>
        <v/>
      </c>
    </row>
    <row r="836" ht="15" customHeight="1" s="130">
      <c r="A836">
        <f>IF('PUNCH LIST'!$W$293="X","PUNCH LIST","")</f>
        <v/>
      </c>
      <c r="B836">
        <f>IF('PUNCH LIST'!$W$293="X",'PUNCH LIST'!B293,"")</f>
        <v/>
      </c>
      <c r="D836">
        <f>IF('PUNCH LIST'!$W$293="X",'PUNCH LIST'!F293,"")</f>
        <v/>
      </c>
      <c r="E836">
        <f>IF('PUNCH LIST'!$W$293="X",'PUNCH LIST'!C293,"")</f>
        <v/>
      </c>
      <c r="F836">
        <f>IF('PUNCH LIST'!$W$293="X",'PUNCH LIST'!E293,"")</f>
        <v/>
      </c>
      <c r="G836">
        <f>IF('PUNCH LIST'!$W$293="X",'PUNCH LIST'!Q293,"")</f>
        <v/>
      </c>
      <c r="H836">
        <f>IF('PUNCH LIST'!$W$293="X","X","")</f>
        <v/>
      </c>
    </row>
    <row r="837" ht="15" customHeight="1" s="130">
      <c r="A837">
        <f>IF('PUNCH LIST'!$W$294="X","PUNCH LIST","")</f>
        <v/>
      </c>
      <c r="B837">
        <f>IF('PUNCH LIST'!$W$294="X",'PUNCH LIST'!B294,"")</f>
        <v/>
      </c>
      <c r="D837">
        <f>IF('PUNCH LIST'!$W$294="X",'PUNCH LIST'!F294,"")</f>
        <v/>
      </c>
      <c r="E837">
        <f>IF('PUNCH LIST'!$W$294="X",'PUNCH LIST'!C294,"")</f>
        <v/>
      </c>
      <c r="F837">
        <f>IF('PUNCH LIST'!$W$294="X",'PUNCH LIST'!E294,"")</f>
        <v/>
      </c>
      <c r="G837">
        <f>IF('PUNCH LIST'!$W$294="X",'PUNCH LIST'!Q294,"")</f>
        <v/>
      </c>
      <c r="H837">
        <f>IF('PUNCH LIST'!$W$294="X","X","")</f>
        <v/>
      </c>
    </row>
    <row r="838" ht="15" customHeight="1" s="130">
      <c r="A838">
        <f>IF('PUNCH LIST'!$W$295="X","PUNCH LIST","")</f>
        <v/>
      </c>
      <c r="B838">
        <f>IF('PUNCH LIST'!$W$295="X",'PUNCH LIST'!B295,"")</f>
        <v/>
      </c>
      <c r="D838">
        <f>IF('PUNCH LIST'!$W$295="X",'PUNCH LIST'!F295,"")</f>
        <v/>
      </c>
      <c r="E838">
        <f>IF('PUNCH LIST'!$W$295="X",'PUNCH LIST'!C295,"")</f>
        <v/>
      </c>
      <c r="F838">
        <f>IF('PUNCH LIST'!$W$295="X",'PUNCH LIST'!E295,"")</f>
        <v/>
      </c>
      <c r="G838">
        <f>IF('PUNCH LIST'!$W$295="X",'PUNCH LIST'!Q295,"")</f>
        <v/>
      </c>
      <c r="H838">
        <f>IF('PUNCH LIST'!$W$295="X","X","")</f>
        <v/>
      </c>
    </row>
    <row r="839" ht="15" customHeight="1" s="130">
      <c r="A839">
        <f>IF('PUNCH LIST'!$W$296="X","PUNCH LIST","")</f>
        <v/>
      </c>
      <c r="B839">
        <f>IF('PUNCH LIST'!$W$296="X",'PUNCH LIST'!B296,"")</f>
        <v/>
      </c>
      <c r="D839">
        <f>IF('PUNCH LIST'!$W$296="X",'PUNCH LIST'!F296,"")</f>
        <v/>
      </c>
      <c r="E839">
        <f>IF('PUNCH LIST'!$W$296="X",'PUNCH LIST'!C296,"")</f>
        <v/>
      </c>
      <c r="F839">
        <f>IF('PUNCH LIST'!$W$296="X",'PUNCH LIST'!E296,"")</f>
        <v/>
      </c>
      <c r="G839">
        <f>IF('PUNCH LIST'!$W$296="X",'PUNCH LIST'!Q296,"")</f>
        <v/>
      </c>
      <c r="H839">
        <f>IF('PUNCH LIST'!$W$296="X","X","")</f>
        <v/>
      </c>
    </row>
    <row r="840" ht="15" customHeight="1" s="130">
      <c r="A840">
        <f>IF('PUNCH LIST'!$W$297="X","PUNCH LIST","")</f>
        <v/>
      </c>
      <c r="B840">
        <f>IF('PUNCH LIST'!$W$297="X",'PUNCH LIST'!B297,"")</f>
        <v/>
      </c>
      <c r="D840">
        <f>IF('PUNCH LIST'!$W$297="X",'PUNCH LIST'!F297,"")</f>
        <v/>
      </c>
      <c r="E840">
        <f>IF('PUNCH LIST'!$W$297="X",'PUNCH LIST'!C297,"")</f>
        <v/>
      </c>
      <c r="F840">
        <f>IF('PUNCH LIST'!$W$297="X",'PUNCH LIST'!E297,"")</f>
        <v/>
      </c>
      <c r="G840">
        <f>IF('PUNCH LIST'!$W$297="X",'PUNCH LIST'!Q297,"")</f>
        <v/>
      </c>
      <c r="H840">
        <f>IF('PUNCH LIST'!$W$297="X","X","")</f>
        <v/>
      </c>
    </row>
    <row r="841" ht="15" customHeight="1" s="130">
      <c r="A841">
        <f>IF('PUNCH LIST'!$W$298="X","PUNCH LIST","")</f>
        <v/>
      </c>
      <c r="B841">
        <f>IF('PUNCH LIST'!$W$298="X",'PUNCH LIST'!B298,"")</f>
        <v/>
      </c>
      <c r="D841">
        <f>IF('PUNCH LIST'!$W$298="X",'PUNCH LIST'!F298,"")</f>
        <v/>
      </c>
      <c r="E841">
        <f>IF('PUNCH LIST'!$W$298="X",'PUNCH LIST'!C298,"")</f>
        <v/>
      </c>
      <c r="F841">
        <f>IF('PUNCH LIST'!$W$298="X",'PUNCH LIST'!E298,"")</f>
        <v/>
      </c>
      <c r="G841">
        <f>IF('PUNCH LIST'!$W$298="X",'PUNCH LIST'!Q298,"")</f>
        <v/>
      </c>
      <c r="H841">
        <f>IF('PUNCH LIST'!$W$298="X","X","")</f>
        <v/>
      </c>
    </row>
    <row r="842" ht="15" customHeight="1" s="130">
      <c r="A842">
        <f>IF('PUNCH LIST'!$W$299="X","PUNCH LIST","")</f>
        <v/>
      </c>
      <c r="B842">
        <f>IF('PUNCH LIST'!$W$299="X",'PUNCH LIST'!B299,"")</f>
        <v/>
      </c>
      <c r="D842">
        <f>IF('PUNCH LIST'!$W$299="X",'PUNCH LIST'!F299,"")</f>
        <v/>
      </c>
      <c r="E842">
        <f>IF('PUNCH LIST'!$W$299="X",'PUNCH LIST'!C299,"")</f>
        <v/>
      </c>
      <c r="F842">
        <f>IF('PUNCH LIST'!$W$299="X",'PUNCH LIST'!E299,"")</f>
        <v/>
      </c>
      <c r="G842">
        <f>IF('PUNCH LIST'!$W$299="X",'PUNCH LIST'!Q299,"")</f>
        <v/>
      </c>
      <c r="H842">
        <f>IF('PUNCH LIST'!$W$299="X","X","")</f>
        <v/>
      </c>
    </row>
    <row r="843" ht="15" customHeight="1" s="130">
      <c r="A843">
        <f>IF('PUNCH LIST'!$W$300="X","PUNCH LIST","")</f>
        <v/>
      </c>
      <c r="B843">
        <f>IF('PUNCH LIST'!$W$300="X",'PUNCH LIST'!B300,"")</f>
        <v/>
      </c>
      <c r="D843">
        <f>IF('PUNCH LIST'!$W$300="X",'PUNCH LIST'!F300,"")</f>
        <v/>
      </c>
      <c r="E843">
        <f>IF('PUNCH LIST'!$W$300="X",'PUNCH LIST'!C300,"")</f>
        <v/>
      </c>
      <c r="F843">
        <f>IF('PUNCH LIST'!$W$300="X",'PUNCH LIST'!E300,"")</f>
        <v/>
      </c>
      <c r="G843">
        <f>IF('PUNCH LIST'!$W$300="X",'PUNCH LIST'!Q300,"")</f>
        <v/>
      </c>
      <c r="H843">
        <f>IF('PUNCH LIST'!$W$300="X","X","")</f>
        <v/>
      </c>
    </row>
    <row r="844" ht="15" customHeight="1" s="130">
      <c r="A844">
        <f>IF('PUNCH LIST'!$W$301="X","PUNCH LIST","")</f>
        <v/>
      </c>
      <c r="B844">
        <f>IF('PUNCH LIST'!$W$301="X",'PUNCH LIST'!B301,"")</f>
        <v/>
      </c>
      <c r="D844">
        <f>IF('PUNCH LIST'!$W$301="X",'PUNCH LIST'!F301,"")</f>
        <v/>
      </c>
      <c r="E844">
        <f>IF('PUNCH LIST'!$W$301="X",'PUNCH LIST'!C301,"")</f>
        <v/>
      </c>
      <c r="F844">
        <f>IF('PUNCH LIST'!$W$301="X",'PUNCH LIST'!E301,"")</f>
        <v/>
      </c>
      <c r="G844">
        <f>IF('PUNCH LIST'!$W$301="X",'PUNCH LIST'!Q301,"")</f>
        <v/>
      </c>
      <c r="H844">
        <f>IF('PUNCH LIST'!$W$301="X","X","")</f>
        <v/>
      </c>
    </row>
    <row r="845" ht="15" customHeight="1" s="130">
      <c r="A845">
        <f>IF('PUNCH LIST'!$W$302="X","PUNCH LIST","")</f>
        <v/>
      </c>
      <c r="B845">
        <f>IF('PUNCH LIST'!$W$302="X",'PUNCH LIST'!B302,"")</f>
        <v/>
      </c>
      <c r="D845">
        <f>IF('PUNCH LIST'!$W$302="X",'PUNCH LIST'!F302,"")</f>
        <v/>
      </c>
      <c r="E845">
        <f>IF('PUNCH LIST'!$W$302="X",'PUNCH LIST'!C302,"")</f>
        <v/>
      </c>
      <c r="F845">
        <f>IF('PUNCH LIST'!$W$302="X",'PUNCH LIST'!E302,"")</f>
        <v/>
      </c>
      <c r="G845">
        <f>IF('PUNCH LIST'!$W$302="X",'PUNCH LIST'!Q302,"")</f>
        <v/>
      </c>
      <c r="H845">
        <f>IF('PUNCH LIST'!$W$302="X","X","")</f>
        <v/>
      </c>
    </row>
    <row r="846" ht="15" customHeight="1" s="130">
      <c r="A846">
        <f>IF('PUNCH LIST'!$W$303="X","PUNCH LIST","")</f>
        <v/>
      </c>
      <c r="B846">
        <f>IF('PUNCH LIST'!$W$303="X",'PUNCH LIST'!B303,"")</f>
        <v/>
      </c>
      <c r="D846">
        <f>IF('PUNCH LIST'!$W$303="X",'PUNCH LIST'!F303,"")</f>
        <v/>
      </c>
      <c r="E846">
        <f>IF('PUNCH LIST'!$W$303="X",'PUNCH LIST'!C303,"")</f>
        <v/>
      </c>
      <c r="F846">
        <f>IF('PUNCH LIST'!$W$303="X",'PUNCH LIST'!E303,"")</f>
        <v/>
      </c>
      <c r="G846">
        <f>IF('PUNCH LIST'!$W$303="X",'PUNCH LIST'!Q303,"")</f>
        <v/>
      </c>
      <c r="H846">
        <f>IF('PUNCH LIST'!$W$303="X","X","")</f>
        <v/>
      </c>
    </row>
    <row r="847" ht="15" customHeight="1" s="130">
      <c r="A847">
        <f>IF('PUNCH LIST'!$W$304="X","PUNCH LIST","")</f>
        <v/>
      </c>
      <c r="B847">
        <f>IF('PUNCH LIST'!$W$304="X",'PUNCH LIST'!B304,"")</f>
        <v/>
      </c>
      <c r="D847">
        <f>IF('PUNCH LIST'!$W$304="X",'PUNCH LIST'!F304,"")</f>
        <v/>
      </c>
      <c r="E847">
        <f>IF('PUNCH LIST'!$W$304="X",'PUNCH LIST'!C304,"")</f>
        <v/>
      </c>
      <c r="F847">
        <f>IF('PUNCH LIST'!$W$304="X",'PUNCH LIST'!E304,"")</f>
        <v/>
      </c>
      <c r="G847">
        <f>IF('PUNCH LIST'!$W$304="X",'PUNCH LIST'!Q304,"")</f>
        <v/>
      </c>
      <c r="H847">
        <f>IF('PUNCH LIST'!$W$304="X","X","")</f>
        <v/>
      </c>
    </row>
    <row r="848" ht="15" customHeight="1" s="130">
      <c r="A848">
        <f>IF('PUNCH LIST'!$W$305="X","PUNCH LIST","")</f>
        <v/>
      </c>
      <c r="B848">
        <f>IF('PUNCH LIST'!$W$305="X",'PUNCH LIST'!B305,"")</f>
        <v/>
      </c>
      <c r="D848">
        <f>IF('PUNCH LIST'!$W$305="X",'PUNCH LIST'!F305,"")</f>
        <v/>
      </c>
      <c r="E848">
        <f>IF('PUNCH LIST'!$W$305="X",'PUNCH LIST'!C305,"")</f>
        <v/>
      </c>
      <c r="F848">
        <f>IF('PUNCH LIST'!$W$305="X",'PUNCH LIST'!E305,"")</f>
        <v/>
      </c>
      <c r="G848">
        <f>IF('PUNCH LIST'!$W$305="X",'PUNCH LIST'!Q305,"")</f>
        <v/>
      </c>
      <c r="H848">
        <f>IF('PUNCH LIST'!$W$305="X","X","")</f>
        <v/>
      </c>
    </row>
    <row r="849" ht="15" customHeight="1" s="130">
      <c r="A849">
        <f>IF('PUNCH LIST'!$W$306="X","PUNCH LIST","")</f>
        <v/>
      </c>
      <c r="B849">
        <f>IF('PUNCH LIST'!$W$306="X",'PUNCH LIST'!B306,"")</f>
        <v/>
      </c>
      <c r="D849">
        <f>IF('PUNCH LIST'!$W$306="X",'PUNCH LIST'!F306,"")</f>
        <v/>
      </c>
      <c r="E849">
        <f>IF('PUNCH LIST'!$W$306="X",'PUNCH LIST'!C306,"")</f>
        <v/>
      </c>
      <c r="F849">
        <f>IF('PUNCH LIST'!$W$306="X",'PUNCH LIST'!E306,"")</f>
        <v/>
      </c>
      <c r="G849">
        <f>IF('PUNCH LIST'!$W$306="X",'PUNCH LIST'!Q306,"")</f>
        <v/>
      </c>
      <c r="H849">
        <f>IF('PUNCH LIST'!$W$306="X","X","")</f>
        <v/>
      </c>
    </row>
    <row r="850" ht="15" customHeight="1" s="130">
      <c r="A850">
        <f>IF('PUNCH LIST'!$W$307="X","PUNCH LIST","")</f>
        <v/>
      </c>
      <c r="B850">
        <f>IF('PUNCH LIST'!$W$307="X",'PUNCH LIST'!B307,"")</f>
        <v/>
      </c>
      <c r="D850">
        <f>IF('PUNCH LIST'!$W$307="X",'PUNCH LIST'!F307,"")</f>
        <v/>
      </c>
      <c r="E850">
        <f>IF('PUNCH LIST'!$W$307="X",'PUNCH LIST'!C307,"")</f>
        <v/>
      </c>
      <c r="F850">
        <f>IF('PUNCH LIST'!$W$307="X",'PUNCH LIST'!E307,"")</f>
        <v/>
      </c>
      <c r="G850">
        <f>IF('PUNCH LIST'!$W$307="X",'PUNCH LIST'!Q307,"")</f>
        <v/>
      </c>
      <c r="H850">
        <f>IF('PUNCH LIST'!$W$307="X","X","")</f>
        <v/>
      </c>
    </row>
    <row r="851" ht="15" customHeight="1" s="130">
      <c r="A851">
        <f>IF('PUNCH LIST'!$W$308="X","PUNCH LIST","")</f>
        <v/>
      </c>
      <c r="B851">
        <f>IF('PUNCH LIST'!$W$308="X",'PUNCH LIST'!B308,"")</f>
        <v/>
      </c>
      <c r="D851">
        <f>IF('PUNCH LIST'!$W$308="X",'PUNCH LIST'!F308,"")</f>
        <v/>
      </c>
      <c r="E851">
        <f>IF('PUNCH LIST'!$W$308="X",'PUNCH LIST'!C308,"")</f>
        <v/>
      </c>
      <c r="F851">
        <f>IF('PUNCH LIST'!$W$308="X",'PUNCH LIST'!E308,"")</f>
        <v/>
      </c>
      <c r="G851">
        <f>IF('PUNCH LIST'!$W$308="X",'PUNCH LIST'!Q308,"")</f>
        <v/>
      </c>
      <c r="H851">
        <f>IF('PUNCH LIST'!$W$308="X","X","")</f>
        <v/>
      </c>
    </row>
    <row r="852" ht="15" customHeight="1" s="130">
      <c r="A852">
        <f>IF('PUNCH LIST'!$W$309="X","PUNCH LIST","")</f>
        <v/>
      </c>
      <c r="B852">
        <f>IF('PUNCH LIST'!$W$309="X",'PUNCH LIST'!B309,"")</f>
        <v/>
      </c>
      <c r="D852">
        <f>IF('PUNCH LIST'!$W$309="X",'PUNCH LIST'!F309,"")</f>
        <v/>
      </c>
      <c r="E852">
        <f>IF('PUNCH LIST'!$W$309="X",'PUNCH LIST'!C309,"")</f>
        <v/>
      </c>
      <c r="F852">
        <f>IF('PUNCH LIST'!$W$309="X",'PUNCH LIST'!E309,"")</f>
        <v/>
      </c>
      <c r="G852">
        <f>IF('PUNCH LIST'!$W$309="X",'PUNCH LIST'!Q309,"")</f>
        <v/>
      </c>
      <c r="H852">
        <f>IF('PUNCH LIST'!$W$309="X","X","")</f>
        <v/>
      </c>
    </row>
    <row r="853" ht="15" customHeight="1" s="130">
      <c r="A853">
        <f>IF('PUNCH LIST'!$W$310="X","PUNCH LIST","")</f>
        <v/>
      </c>
      <c r="B853">
        <f>IF('PUNCH LIST'!$W$310="X",'PUNCH LIST'!B310,"")</f>
        <v/>
      </c>
      <c r="D853">
        <f>IF('PUNCH LIST'!$W$310="X",'PUNCH LIST'!F310,"")</f>
        <v/>
      </c>
      <c r="E853">
        <f>IF('PUNCH LIST'!$W$310="X",'PUNCH LIST'!C310,"")</f>
        <v/>
      </c>
      <c r="F853">
        <f>IF('PUNCH LIST'!$W$310="X",'PUNCH LIST'!E310,"")</f>
        <v/>
      </c>
      <c r="G853">
        <f>IF('PUNCH LIST'!$W$310="X",'PUNCH LIST'!Q310,"")</f>
        <v/>
      </c>
      <c r="H853">
        <f>IF('PUNCH LIST'!$W$310="X","X","")</f>
        <v/>
      </c>
    </row>
    <row r="854" ht="15" customHeight="1" s="130">
      <c r="A854">
        <f>IF('PUNCH LIST'!$W$311="X","PUNCH LIST","")</f>
        <v/>
      </c>
      <c r="B854">
        <f>IF('PUNCH LIST'!$W$311="X",'PUNCH LIST'!B311,"")</f>
        <v/>
      </c>
      <c r="D854">
        <f>IF('PUNCH LIST'!$W$311="X",'PUNCH LIST'!F311,"")</f>
        <v/>
      </c>
      <c r="E854">
        <f>IF('PUNCH LIST'!$W$311="X",'PUNCH LIST'!C311,"")</f>
        <v/>
      </c>
      <c r="F854">
        <f>IF('PUNCH LIST'!$W$311="X",'PUNCH LIST'!E311,"")</f>
        <v/>
      </c>
      <c r="G854">
        <f>IF('PUNCH LIST'!$W$311="X",'PUNCH LIST'!Q311,"")</f>
        <v/>
      </c>
      <c r="H854">
        <f>IF('PUNCH LIST'!$W$311="X","X","")</f>
        <v/>
      </c>
    </row>
    <row r="855" ht="15" customHeight="1" s="130">
      <c r="A855">
        <f>IF('PUNCH LIST'!$W$312="X","PUNCH LIST","")</f>
        <v/>
      </c>
      <c r="B855">
        <f>IF('PUNCH LIST'!$W$312="X",'PUNCH LIST'!B312,"")</f>
        <v/>
      </c>
      <c r="D855">
        <f>IF('PUNCH LIST'!$W$312="X",'PUNCH LIST'!F312,"")</f>
        <v/>
      </c>
      <c r="E855">
        <f>IF('PUNCH LIST'!$W$312="X",'PUNCH LIST'!C312,"")</f>
        <v/>
      </c>
      <c r="F855">
        <f>IF('PUNCH LIST'!$W$312="X",'PUNCH LIST'!E312,"")</f>
        <v/>
      </c>
      <c r="G855">
        <f>IF('PUNCH LIST'!$W$312="X",'PUNCH LIST'!Q312,"")</f>
        <v/>
      </c>
      <c r="H855">
        <f>IF('PUNCH LIST'!$W$312="X","X","")</f>
        <v/>
      </c>
    </row>
    <row r="856" ht="15" customHeight="1" s="130">
      <c r="A856">
        <f>IF('PUNCH LIST'!$W$313="X","PUNCH LIST","")</f>
        <v/>
      </c>
      <c r="B856">
        <f>IF('PUNCH LIST'!$W$313="X",'PUNCH LIST'!B313,"")</f>
        <v/>
      </c>
      <c r="D856">
        <f>IF('PUNCH LIST'!$W$313="X",'PUNCH LIST'!F313,"")</f>
        <v/>
      </c>
      <c r="E856">
        <f>IF('PUNCH LIST'!$W$313="X",'PUNCH LIST'!C313,"")</f>
        <v/>
      </c>
      <c r="F856">
        <f>IF('PUNCH LIST'!$W$313="X",'PUNCH LIST'!E313,"")</f>
        <v/>
      </c>
      <c r="G856">
        <f>IF('PUNCH LIST'!$W$313="X",'PUNCH LIST'!Q313,"")</f>
        <v/>
      </c>
      <c r="H856">
        <f>IF('PUNCH LIST'!$W$313="X","X","")</f>
        <v/>
      </c>
    </row>
    <row r="857" ht="15" customHeight="1" s="130">
      <c r="A857">
        <f>IF('PUNCH LIST'!$W$314="X","PUNCH LIST","")</f>
        <v/>
      </c>
      <c r="B857">
        <f>IF('PUNCH LIST'!$W$314="X",'PUNCH LIST'!B314,"")</f>
        <v/>
      </c>
      <c r="D857">
        <f>IF('PUNCH LIST'!$W$314="X",'PUNCH LIST'!F314,"")</f>
        <v/>
      </c>
      <c r="E857">
        <f>IF('PUNCH LIST'!$W$314="X",'PUNCH LIST'!C314,"")</f>
        <v/>
      </c>
      <c r="F857">
        <f>IF('PUNCH LIST'!$W$314="X",'PUNCH LIST'!E314,"")</f>
        <v/>
      </c>
      <c r="G857">
        <f>IF('PUNCH LIST'!$W$314="X",'PUNCH LIST'!Q314,"")</f>
        <v/>
      </c>
      <c r="H857">
        <f>IF('PUNCH LIST'!$W$314="X","X","")</f>
        <v/>
      </c>
    </row>
    <row r="858" ht="15" customHeight="1" s="130">
      <c r="A858">
        <f>IF('PUNCH LIST'!$W$315="X","PUNCH LIST","")</f>
        <v/>
      </c>
      <c r="B858">
        <f>IF('PUNCH LIST'!$W$315="X",'PUNCH LIST'!B315,"")</f>
        <v/>
      </c>
      <c r="D858">
        <f>IF('PUNCH LIST'!$W$315="X",'PUNCH LIST'!F315,"")</f>
        <v/>
      </c>
      <c r="E858">
        <f>IF('PUNCH LIST'!$W$315="X",'PUNCH LIST'!C315,"")</f>
        <v/>
      </c>
      <c r="F858">
        <f>IF('PUNCH LIST'!$W$315="X",'PUNCH LIST'!E315,"")</f>
        <v/>
      </c>
      <c r="G858">
        <f>IF('PUNCH LIST'!$W$315="X",'PUNCH LIST'!Q315,"")</f>
        <v/>
      </c>
      <c r="H858">
        <f>IF('PUNCH LIST'!$W$315="X","X","")</f>
        <v/>
      </c>
    </row>
    <row r="859" ht="15" customHeight="1" s="130">
      <c r="A859">
        <f>IF('PUNCH LIST'!$W$316="X","PUNCH LIST","")</f>
        <v/>
      </c>
      <c r="B859">
        <f>IF('PUNCH LIST'!$W$316="X",'PUNCH LIST'!B316,"")</f>
        <v/>
      </c>
      <c r="D859">
        <f>IF('PUNCH LIST'!$W$316="X",'PUNCH LIST'!F316,"")</f>
        <v/>
      </c>
      <c r="E859">
        <f>IF('PUNCH LIST'!$W$316="X",'PUNCH LIST'!C316,"")</f>
        <v/>
      </c>
      <c r="F859">
        <f>IF('PUNCH LIST'!$W$316="X",'PUNCH LIST'!E316,"")</f>
        <v/>
      </c>
      <c r="G859">
        <f>IF('PUNCH LIST'!$W$316="X",'PUNCH LIST'!Q316,"")</f>
        <v/>
      </c>
      <c r="H859">
        <f>IF('PUNCH LIST'!$W$316="X","X","")</f>
        <v/>
      </c>
    </row>
    <row r="860" ht="15" customHeight="1" s="130">
      <c r="A860">
        <f>IF('PUNCH LIST'!$W$317="X","PUNCH LIST","")</f>
        <v/>
      </c>
      <c r="B860">
        <f>IF('PUNCH LIST'!$W$317="X",'PUNCH LIST'!B317,"")</f>
        <v/>
      </c>
      <c r="D860">
        <f>IF('PUNCH LIST'!$W$317="X",'PUNCH LIST'!F317,"")</f>
        <v/>
      </c>
      <c r="E860">
        <f>IF('PUNCH LIST'!$W$317="X",'PUNCH LIST'!C317,"")</f>
        <v/>
      </c>
      <c r="F860">
        <f>IF('PUNCH LIST'!$W$317="X",'PUNCH LIST'!E317,"")</f>
        <v/>
      </c>
      <c r="G860">
        <f>IF('PUNCH LIST'!$W$317="X",'PUNCH LIST'!Q317,"")</f>
        <v/>
      </c>
      <c r="H860">
        <f>IF('PUNCH LIST'!$W$317="X","X","")</f>
        <v/>
      </c>
    </row>
    <row r="861" ht="15" customHeight="1" s="130">
      <c r="A861">
        <f>IF('PUNCH LIST'!$W$318="X","PUNCH LIST","")</f>
        <v/>
      </c>
      <c r="B861">
        <f>IF('PUNCH LIST'!$W$318="X",'PUNCH LIST'!B318,"")</f>
        <v/>
      </c>
      <c r="D861">
        <f>IF('PUNCH LIST'!$W$318="X",'PUNCH LIST'!F318,"")</f>
        <v/>
      </c>
      <c r="E861">
        <f>IF('PUNCH LIST'!$W$318="X",'PUNCH LIST'!C318,"")</f>
        <v/>
      </c>
      <c r="F861">
        <f>IF('PUNCH LIST'!$W$318="X",'PUNCH LIST'!E318,"")</f>
        <v/>
      </c>
      <c r="G861">
        <f>IF('PUNCH LIST'!$W$318="X",'PUNCH LIST'!Q318,"")</f>
        <v/>
      </c>
      <c r="H861">
        <f>IF('PUNCH LIST'!$W$318="X","X","")</f>
        <v/>
      </c>
    </row>
    <row r="862" ht="15" customHeight="1" s="130">
      <c r="A862">
        <f>IF('PUNCH LIST'!$W$319="X","PUNCH LIST","")</f>
        <v/>
      </c>
      <c r="B862">
        <f>IF('PUNCH LIST'!$W$319="X",'PUNCH LIST'!B319,"")</f>
        <v/>
      </c>
      <c r="D862">
        <f>IF('PUNCH LIST'!$W$319="X",'PUNCH LIST'!F319,"")</f>
        <v/>
      </c>
      <c r="E862">
        <f>IF('PUNCH LIST'!$W$319="X",'PUNCH LIST'!C319,"")</f>
        <v/>
      </c>
      <c r="F862">
        <f>IF('PUNCH LIST'!$W$319="X",'PUNCH LIST'!E319,"")</f>
        <v/>
      </c>
      <c r="G862">
        <f>IF('PUNCH LIST'!$W$319="X",'PUNCH LIST'!Q319,"")</f>
        <v/>
      </c>
      <c r="H862">
        <f>IF('PUNCH LIST'!$W$319="X","X","")</f>
        <v/>
      </c>
    </row>
    <row r="863" ht="15" customHeight="1" s="130">
      <c r="A863">
        <f>IF('PUNCH LIST'!$W$320="X","PUNCH LIST","")</f>
        <v/>
      </c>
      <c r="B863">
        <f>IF('PUNCH LIST'!$W$320="X",'PUNCH LIST'!B320,"")</f>
        <v/>
      </c>
      <c r="D863">
        <f>IF('PUNCH LIST'!$W$320="X",'PUNCH LIST'!F320,"")</f>
        <v/>
      </c>
      <c r="E863">
        <f>IF('PUNCH LIST'!$W$320="X",'PUNCH LIST'!C320,"")</f>
        <v/>
      </c>
      <c r="F863">
        <f>IF('PUNCH LIST'!$W$320="X",'PUNCH LIST'!E320,"")</f>
        <v/>
      </c>
      <c r="G863">
        <f>IF('PUNCH LIST'!$W$320="X",'PUNCH LIST'!Q320,"")</f>
        <v/>
      </c>
      <c r="H863">
        <f>IF('PUNCH LIST'!$W$320="X","X","")</f>
        <v/>
      </c>
    </row>
    <row r="864" ht="15" customHeight="1" s="130">
      <c r="A864">
        <f>IF('PUNCH LIST'!$W$321="X","PUNCH LIST","")</f>
        <v/>
      </c>
      <c r="B864">
        <f>IF('PUNCH LIST'!$W$321="X",'PUNCH LIST'!B321,"")</f>
        <v/>
      </c>
      <c r="D864">
        <f>IF('PUNCH LIST'!$W$321="X",'PUNCH LIST'!F321,"")</f>
        <v/>
      </c>
      <c r="E864">
        <f>IF('PUNCH LIST'!$W$321="X",'PUNCH LIST'!C321,"")</f>
        <v/>
      </c>
      <c r="F864">
        <f>IF('PUNCH LIST'!$W$321="X",'PUNCH LIST'!E321,"")</f>
        <v/>
      </c>
      <c r="G864">
        <f>IF('PUNCH LIST'!$W$321="X",'PUNCH LIST'!Q321,"")</f>
        <v/>
      </c>
      <c r="H864">
        <f>IF('PUNCH LIST'!$W$321="X","X","")</f>
        <v/>
      </c>
    </row>
    <row r="865" ht="15" customHeight="1" s="130">
      <c r="A865">
        <f>IF('PUNCH LIST'!$W$322="X","PUNCH LIST","")</f>
        <v/>
      </c>
      <c r="B865">
        <f>IF('PUNCH LIST'!$W$322="X",'PUNCH LIST'!B322,"")</f>
        <v/>
      </c>
      <c r="D865">
        <f>IF('PUNCH LIST'!$W$322="X",'PUNCH LIST'!F322,"")</f>
        <v/>
      </c>
      <c r="E865">
        <f>IF('PUNCH LIST'!$W$322="X",'PUNCH LIST'!C322,"")</f>
        <v/>
      </c>
      <c r="F865">
        <f>IF('PUNCH LIST'!$W$322="X",'PUNCH LIST'!E322,"")</f>
        <v/>
      </c>
      <c r="G865">
        <f>IF('PUNCH LIST'!$W$322="X",'PUNCH LIST'!Q322,"")</f>
        <v/>
      </c>
      <c r="H865">
        <f>IF('PUNCH LIST'!$W$322="X","X","")</f>
        <v/>
      </c>
    </row>
    <row r="866" ht="15" customHeight="1" s="130">
      <c r="A866">
        <f>IF('PUNCH LIST'!$W$323="X","PUNCH LIST","")</f>
        <v/>
      </c>
      <c r="B866">
        <f>IF('PUNCH LIST'!$W$323="X",'PUNCH LIST'!B323,"")</f>
        <v/>
      </c>
      <c r="D866">
        <f>IF('PUNCH LIST'!$W$323="X",'PUNCH LIST'!F323,"")</f>
        <v/>
      </c>
      <c r="E866">
        <f>IF('PUNCH LIST'!$W$323="X",'PUNCH LIST'!C323,"")</f>
        <v/>
      </c>
      <c r="F866">
        <f>IF('PUNCH LIST'!$W$323="X",'PUNCH LIST'!E323,"")</f>
        <v/>
      </c>
      <c r="G866">
        <f>IF('PUNCH LIST'!$W$323="X",'PUNCH LIST'!Q323,"")</f>
        <v/>
      </c>
      <c r="H866">
        <f>IF('PUNCH LIST'!$W$323="X","X","")</f>
        <v/>
      </c>
    </row>
    <row r="867" ht="15" customHeight="1" s="130">
      <c r="A867">
        <f>IF('PUNCH LIST'!$W$324="X","PUNCH LIST","")</f>
        <v/>
      </c>
      <c r="B867">
        <f>IF('PUNCH LIST'!$W$324="X",'PUNCH LIST'!B324,"")</f>
        <v/>
      </c>
      <c r="D867">
        <f>IF('PUNCH LIST'!$W$324="X",'PUNCH LIST'!F324,"")</f>
        <v/>
      </c>
      <c r="E867">
        <f>IF('PUNCH LIST'!$W$324="X",'PUNCH LIST'!C324,"")</f>
        <v/>
      </c>
      <c r="F867">
        <f>IF('PUNCH LIST'!$W$324="X",'PUNCH LIST'!E324,"")</f>
        <v/>
      </c>
      <c r="G867">
        <f>IF('PUNCH LIST'!$W$324="X",'PUNCH LIST'!Q324,"")</f>
        <v/>
      </c>
      <c r="H867">
        <f>IF('PUNCH LIST'!$W$324="X","X","")</f>
        <v/>
      </c>
    </row>
    <row r="868" ht="15" customHeight="1" s="130">
      <c r="A868">
        <f>IF('PUNCH LIST'!$W$325="X","PUNCH LIST","")</f>
        <v/>
      </c>
      <c r="B868">
        <f>IF('PUNCH LIST'!$W$325="X",'PUNCH LIST'!B325,"")</f>
        <v/>
      </c>
      <c r="D868">
        <f>IF('PUNCH LIST'!$W$325="X",'PUNCH LIST'!F325,"")</f>
        <v/>
      </c>
      <c r="E868">
        <f>IF('PUNCH LIST'!$W$325="X",'PUNCH LIST'!C325,"")</f>
        <v/>
      </c>
      <c r="F868">
        <f>IF('PUNCH LIST'!$W$325="X",'PUNCH LIST'!E325,"")</f>
        <v/>
      </c>
      <c r="G868">
        <f>IF('PUNCH LIST'!$W$325="X",'PUNCH LIST'!Q325,"")</f>
        <v/>
      </c>
      <c r="H868">
        <f>IF('PUNCH LIST'!$W$325="X","X","")</f>
        <v/>
      </c>
    </row>
    <row r="869" ht="15" customHeight="1" s="130">
      <c r="A869">
        <f>IF('PUNCH LIST'!$W$326="X","PUNCH LIST","")</f>
        <v/>
      </c>
      <c r="B869">
        <f>IF('PUNCH LIST'!$W$326="X",'PUNCH LIST'!B326,"")</f>
        <v/>
      </c>
      <c r="D869">
        <f>IF('PUNCH LIST'!$W$326="X",'PUNCH LIST'!F326,"")</f>
        <v/>
      </c>
      <c r="E869">
        <f>IF('PUNCH LIST'!$W$326="X",'PUNCH LIST'!C326,"")</f>
        <v/>
      </c>
      <c r="F869">
        <f>IF('PUNCH LIST'!$W$326="X",'PUNCH LIST'!E326,"")</f>
        <v/>
      </c>
      <c r="G869">
        <f>IF('PUNCH LIST'!$W$326="X",'PUNCH LIST'!Q326,"")</f>
        <v/>
      </c>
      <c r="H869">
        <f>IF('PUNCH LIST'!$W$326="X","X","")</f>
        <v/>
      </c>
    </row>
    <row r="870" ht="15" customHeight="1" s="130">
      <c r="A870">
        <f>IF('PUNCH LIST'!$W$327="X","PUNCH LIST","")</f>
        <v/>
      </c>
      <c r="B870">
        <f>IF('PUNCH LIST'!$W$327="X",'PUNCH LIST'!B327,"")</f>
        <v/>
      </c>
      <c r="D870">
        <f>IF('PUNCH LIST'!$W$327="X",'PUNCH LIST'!F327,"")</f>
        <v/>
      </c>
      <c r="E870">
        <f>IF('PUNCH LIST'!$W$327="X",'PUNCH LIST'!C327,"")</f>
        <v/>
      </c>
      <c r="F870">
        <f>IF('PUNCH LIST'!$W$327="X",'PUNCH LIST'!E327,"")</f>
        <v/>
      </c>
      <c r="G870">
        <f>IF('PUNCH LIST'!$W$327="X",'PUNCH LIST'!Q327,"")</f>
        <v/>
      </c>
      <c r="H870">
        <f>IF('PUNCH LIST'!$W$327="X","X","")</f>
        <v/>
      </c>
    </row>
    <row r="871" ht="15" customHeight="1" s="130">
      <c r="A871">
        <f>IF('PUNCH LIST'!$W$328="X","PUNCH LIST","")</f>
        <v/>
      </c>
      <c r="B871">
        <f>IF('PUNCH LIST'!$W$328="X",'PUNCH LIST'!B328,"")</f>
        <v/>
      </c>
      <c r="D871">
        <f>IF('PUNCH LIST'!$W$328="X",'PUNCH LIST'!F328,"")</f>
        <v/>
      </c>
      <c r="E871">
        <f>IF('PUNCH LIST'!$W$328="X",'PUNCH LIST'!C328,"")</f>
        <v/>
      </c>
      <c r="F871">
        <f>IF('PUNCH LIST'!$W$328="X",'PUNCH LIST'!E328,"")</f>
        <v/>
      </c>
      <c r="G871">
        <f>IF('PUNCH LIST'!$W$328="X",'PUNCH LIST'!Q328,"")</f>
        <v/>
      </c>
      <c r="H871">
        <f>IF('PUNCH LIST'!$W$328="X","X","")</f>
        <v/>
      </c>
    </row>
    <row r="872" ht="15" customHeight="1" s="130">
      <c r="A872">
        <f>IF('PUNCH LIST'!$W$329="X","PUNCH LIST","")</f>
        <v/>
      </c>
      <c r="B872">
        <f>IF('PUNCH LIST'!$W$329="X",'PUNCH LIST'!B329,"")</f>
        <v/>
      </c>
      <c r="D872">
        <f>IF('PUNCH LIST'!$W$329="X",'PUNCH LIST'!F329,"")</f>
        <v/>
      </c>
      <c r="E872">
        <f>IF('PUNCH LIST'!$W$329="X",'PUNCH LIST'!C329,"")</f>
        <v/>
      </c>
      <c r="F872">
        <f>IF('PUNCH LIST'!$W$329="X",'PUNCH LIST'!E329,"")</f>
        <v/>
      </c>
      <c r="G872">
        <f>IF('PUNCH LIST'!$W$329="X",'PUNCH LIST'!Q329,"")</f>
        <v/>
      </c>
      <c r="H872">
        <f>IF('PUNCH LIST'!$W$329="X","X","")</f>
        <v/>
      </c>
    </row>
    <row r="873" ht="15" customHeight="1" s="130">
      <c r="A873">
        <f>IF('PUNCH LIST'!$W$330="X","PUNCH LIST","")</f>
        <v/>
      </c>
      <c r="B873">
        <f>IF('PUNCH LIST'!$W$330="X",'PUNCH LIST'!B330,"")</f>
        <v/>
      </c>
      <c r="D873">
        <f>IF('PUNCH LIST'!$W$330="X",'PUNCH LIST'!F330,"")</f>
        <v/>
      </c>
      <c r="E873">
        <f>IF('PUNCH LIST'!$W$330="X",'PUNCH LIST'!C330,"")</f>
        <v/>
      </c>
      <c r="F873">
        <f>IF('PUNCH LIST'!$W$330="X",'PUNCH LIST'!E330,"")</f>
        <v/>
      </c>
      <c r="G873">
        <f>IF('PUNCH LIST'!$W$330="X",'PUNCH LIST'!Q330,"")</f>
        <v/>
      </c>
      <c r="H873">
        <f>IF('PUNCH LIST'!$W$330="X","X","")</f>
        <v/>
      </c>
    </row>
    <row r="874" ht="15" customHeight="1" s="130">
      <c r="A874">
        <f>IF('PUNCH LIST'!$W$331="X","PUNCH LIST","")</f>
        <v/>
      </c>
      <c r="B874">
        <f>IF('PUNCH LIST'!$W$331="X",'PUNCH LIST'!B331,"")</f>
        <v/>
      </c>
      <c r="D874">
        <f>IF('PUNCH LIST'!$W$331="X",'PUNCH LIST'!F331,"")</f>
        <v/>
      </c>
      <c r="E874">
        <f>IF('PUNCH LIST'!$W$331="X",'PUNCH LIST'!C331,"")</f>
        <v/>
      </c>
      <c r="F874">
        <f>IF('PUNCH LIST'!$W$331="X",'PUNCH LIST'!E331,"")</f>
        <v/>
      </c>
      <c r="G874">
        <f>IF('PUNCH LIST'!$W$331="X",'PUNCH LIST'!Q331,"")</f>
        <v/>
      </c>
      <c r="H874">
        <f>IF('PUNCH LIST'!$W$331="X","X","")</f>
        <v/>
      </c>
    </row>
    <row r="875" ht="15" customHeight="1" s="130">
      <c r="A875">
        <f>IF('PUNCH LIST'!$W$332="X","PUNCH LIST","")</f>
        <v/>
      </c>
      <c r="B875">
        <f>IF('PUNCH LIST'!$W$332="X",'PUNCH LIST'!B332,"")</f>
        <v/>
      </c>
      <c r="D875">
        <f>IF('PUNCH LIST'!$W$332="X",'PUNCH LIST'!F332,"")</f>
        <v/>
      </c>
      <c r="E875">
        <f>IF('PUNCH LIST'!$W$332="X",'PUNCH LIST'!C332,"")</f>
        <v/>
      </c>
      <c r="F875">
        <f>IF('PUNCH LIST'!$W$332="X",'PUNCH LIST'!E332,"")</f>
        <v/>
      </c>
      <c r="G875">
        <f>IF('PUNCH LIST'!$W$332="X",'PUNCH LIST'!Q332,"")</f>
        <v/>
      </c>
      <c r="H875">
        <f>IF('PUNCH LIST'!$W$332="X","X","")</f>
        <v/>
      </c>
    </row>
    <row r="876" ht="15" customHeight="1" s="130">
      <c r="A876">
        <f>IF('PUNCH LIST'!$W$333="X","PUNCH LIST","")</f>
        <v/>
      </c>
      <c r="B876">
        <f>IF('PUNCH LIST'!$W$333="X",'PUNCH LIST'!B333,"")</f>
        <v/>
      </c>
      <c r="D876">
        <f>IF('PUNCH LIST'!$W$333="X",'PUNCH LIST'!F333,"")</f>
        <v/>
      </c>
      <c r="E876">
        <f>IF('PUNCH LIST'!$W$333="X",'PUNCH LIST'!C333,"")</f>
        <v/>
      </c>
      <c r="F876">
        <f>IF('PUNCH LIST'!$W$333="X",'PUNCH LIST'!E333,"")</f>
        <v/>
      </c>
      <c r="G876">
        <f>IF('PUNCH LIST'!$W$333="X",'PUNCH LIST'!Q333,"")</f>
        <v/>
      </c>
      <c r="H876">
        <f>IF('PUNCH LIST'!$W$333="X","X","")</f>
        <v/>
      </c>
    </row>
    <row r="877" ht="15" customHeight="1" s="130">
      <c r="A877">
        <f>IF('PUNCH LIST'!$W$334="X","PUNCH LIST","")</f>
        <v/>
      </c>
      <c r="B877">
        <f>IF('PUNCH LIST'!$W$334="X",'PUNCH LIST'!B334,"")</f>
        <v/>
      </c>
      <c r="D877">
        <f>IF('PUNCH LIST'!$W$334="X",'PUNCH LIST'!F334,"")</f>
        <v/>
      </c>
      <c r="E877">
        <f>IF('PUNCH LIST'!$W$334="X",'PUNCH LIST'!C334,"")</f>
        <v/>
      </c>
      <c r="F877">
        <f>IF('PUNCH LIST'!$W$334="X",'PUNCH LIST'!E334,"")</f>
        <v/>
      </c>
      <c r="G877">
        <f>IF('PUNCH LIST'!$W$334="X",'PUNCH LIST'!Q334,"")</f>
        <v/>
      </c>
      <c r="H877">
        <f>IF('PUNCH LIST'!$W$334="X","X","")</f>
        <v/>
      </c>
    </row>
    <row r="878" ht="15" customHeight="1" s="130">
      <c r="A878">
        <f>IF('PUNCH LIST'!$W$335="X","PUNCH LIST","")</f>
        <v/>
      </c>
      <c r="B878">
        <f>IF('PUNCH LIST'!$W$335="X",'PUNCH LIST'!B335,"")</f>
        <v/>
      </c>
      <c r="D878">
        <f>IF('PUNCH LIST'!$W$335="X",'PUNCH LIST'!F335,"")</f>
        <v/>
      </c>
      <c r="E878">
        <f>IF('PUNCH LIST'!$W$335="X",'PUNCH LIST'!C335,"")</f>
        <v/>
      </c>
      <c r="F878">
        <f>IF('PUNCH LIST'!$W$335="X",'PUNCH LIST'!E335,"")</f>
        <v/>
      </c>
      <c r="G878">
        <f>IF('PUNCH LIST'!$W$335="X",'PUNCH LIST'!Q335,"")</f>
        <v/>
      </c>
      <c r="H878">
        <f>IF('PUNCH LIST'!$W$335="X","X","")</f>
        <v/>
      </c>
    </row>
    <row r="879" ht="15" customHeight="1" s="130">
      <c r="A879">
        <f>IF('PUNCH LIST'!$W$336="X","PUNCH LIST","")</f>
        <v/>
      </c>
      <c r="B879">
        <f>IF('PUNCH LIST'!$W$336="X",'PUNCH LIST'!B336,"")</f>
        <v/>
      </c>
      <c r="D879">
        <f>IF('PUNCH LIST'!$W$336="X",'PUNCH LIST'!F336,"")</f>
        <v/>
      </c>
      <c r="E879">
        <f>IF('PUNCH LIST'!$W$336="X",'PUNCH LIST'!C336,"")</f>
        <v/>
      </c>
      <c r="F879">
        <f>IF('PUNCH LIST'!$W$336="X",'PUNCH LIST'!E336,"")</f>
        <v/>
      </c>
      <c r="G879">
        <f>IF('PUNCH LIST'!$W$336="X",'PUNCH LIST'!Q336,"")</f>
        <v/>
      </c>
      <c r="H879">
        <f>IF('PUNCH LIST'!$W$336="X","X","")</f>
        <v/>
      </c>
    </row>
    <row r="880" ht="15" customHeight="1" s="130">
      <c r="A880">
        <f>IF('PUNCH LIST'!$W$337="X","PUNCH LIST","")</f>
        <v/>
      </c>
      <c r="B880">
        <f>IF('PUNCH LIST'!$W$337="X",'PUNCH LIST'!B337,"")</f>
        <v/>
      </c>
      <c r="D880">
        <f>IF('PUNCH LIST'!$W$337="X",'PUNCH LIST'!F337,"")</f>
        <v/>
      </c>
      <c r="E880">
        <f>IF('PUNCH LIST'!$W$337="X",'PUNCH LIST'!C337,"")</f>
        <v/>
      </c>
      <c r="F880">
        <f>IF('PUNCH LIST'!$W$337="X",'PUNCH LIST'!E337,"")</f>
        <v/>
      </c>
      <c r="G880">
        <f>IF('PUNCH LIST'!$W$337="X",'PUNCH LIST'!Q337,"")</f>
        <v/>
      </c>
      <c r="H880">
        <f>IF('PUNCH LIST'!$W$337="X","X","")</f>
        <v/>
      </c>
    </row>
    <row r="881" ht="15" customHeight="1" s="130">
      <c r="A881">
        <f>IF('PUNCH LIST'!$W$338="X","PUNCH LIST","")</f>
        <v/>
      </c>
      <c r="B881">
        <f>IF('PUNCH LIST'!$W$338="X",'PUNCH LIST'!B338,"")</f>
        <v/>
      </c>
      <c r="D881">
        <f>IF('PUNCH LIST'!$W$338="X",'PUNCH LIST'!F338,"")</f>
        <v/>
      </c>
      <c r="E881">
        <f>IF('PUNCH LIST'!$W$338="X",'PUNCH LIST'!C338,"")</f>
        <v/>
      </c>
      <c r="F881">
        <f>IF('PUNCH LIST'!$W$338="X",'PUNCH LIST'!E338,"")</f>
        <v/>
      </c>
      <c r="G881">
        <f>IF('PUNCH LIST'!$W$338="X",'PUNCH LIST'!Q338,"")</f>
        <v/>
      </c>
      <c r="H881">
        <f>IF('PUNCH LIST'!$W$338="X","X","")</f>
        <v/>
      </c>
    </row>
    <row r="882" ht="15" customHeight="1" s="130">
      <c r="A882">
        <f>IF('PUNCH LIST'!$W$339="X","PUNCH LIST","")</f>
        <v/>
      </c>
      <c r="B882">
        <f>IF('PUNCH LIST'!$W$339="X",'PUNCH LIST'!B339,"")</f>
        <v/>
      </c>
      <c r="D882">
        <f>IF('PUNCH LIST'!$W$339="X",'PUNCH LIST'!F339,"")</f>
        <v/>
      </c>
      <c r="E882">
        <f>IF('PUNCH LIST'!$W$339="X",'PUNCH LIST'!C339,"")</f>
        <v/>
      </c>
      <c r="F882">
        <f>IF('PUNCH LIST'!$W$339="X",'PUNCH LIST'!E339,"")</f>
        <v/>
      </c>
      <c r="G882">
        <f>IF('PUNCH LIST'!$W$339="X",'PUNCH LIST'!Q339,"")</f>
        <v/>
      </c>
      <c r="H882">
        <f>IF('PUNCH LIST'!$W$339="X","X","")</f>
        <v/>
      </c>
    </row>
    <row r="883" ht="15" customHeight="1" s="130">
      <c r="A883">
        <f>IF('PUNCH LIST'!$W$340="X","PUNCH LIST","")</f>
        <v/>
      </c>
      <c r="B883">
        <f>IF('PUNCH LIST'!$W$340="X",'PUNCH LIST'!B340,"")</f>
        <v/>
      </c>
      <c r="D883">
        <f>IF('PUNCH LIST'!$W$340="X",'PUNCH LIST'!F340,"")</f>
        <v/>
      </c>
      <c r="E883">
        <f>IF('PUNCH LIST'!$W$340="X",'PUNCH LIST'!C340,"")</f>
        <v/>
      </c>
      <c r="F883">
        <f>IF('PUNCH LIST'!$W$340="X",'PUNCH LIST'!E340,"")</f>
        <v/>
      </c>
      <c r="G883">
        <f>IF('PUNCH LIST'!$W$340="X",'PUNCH LIST'!Q340,"")</f>
        <v/>
      </c>
      <c r="H883">
        <f>IF('PUNCH LIST'!$W$340="X","X","")</f>
        <v/>
      </c>
    </row>
    <row r="884" ht="15" customHeight="1" s="130">
      <c r="A884">
        <f>IF('PUNCH LIST'!$W$341="X","PUNCH LIST","")</f>
        <v/>
      </c>
      <c r="B884">
        <f>IF('PUNCH LIST'!$W$341="X",'PUNCH LIST'!B341,"")</f>
        <v/>
      </c>
      <c r="D884">
        <f>IF('PUNCH LIST'!$W$341="X",'PUNCH LIST'!F341,"")</f>
        <v/>
      </c>
      <c r="E884">
        <f>IF('PUNCH LIST'!$W$341="X",'PUNCH LIST'!C341,"")</f>
        <v/>
      </c>
      <c r="F884">
        <f>IF('PUNCH LIST'!$W$341="X",'PUNCH LIST'!E341,"")</f>
        <v/>
      </c>
      <c r="G884">
        <f>IF('PUNCH LIST'!$W$341="X",'PUNCH LIST'!Q341,"")</f>
        <v/>
      </c>
      <c r="H884">
        <f>IF('PUNCH LIST'!$W$341="X","X","")</f>
        <v/>
      </c>
    </row>
    <row r="885" ht="15" customHeight="1" s="130">
      <c r="A885">
        <f>IF('PUNCH LIST'!$W$342="X","PUNCH LIST","")</f>
        <v/>
      </c>
      <c r="B885">
        <f>IF('PUNCH LIST'!$W$342="X",'PUNCH LIST'!B342,"")</f>
        <v/>
      </c>
      <c r="D885">
        <f>IF('PUNCH LIST'!$W$342="X",'PUNCH LIST'!F342,"")</f>
        <v/>
      </c>
      <c r="E885">
        <f>IF('PUNCH LIST'!$W$342="X",'PUNCH LIST'!C342,"")</f>
        <v/>
      </c>
      <c r="F885">
        <f>IF('PUNCH LIST'!$W$342="X",'PUNCH LIST'!E342,"")</f>
        <v/>
      </c>
      <c r="G885">
        <f>IF('PUNCH LIST'!$W$342="X",'PUNCH LIST'!Q342,"")</f>
        <v/>
      </c>
      <c r="H885">
        <f>IF('PUNCH LIST'!$W$342="X","X","")</f>
        <v/>
      </c>
    </row>
    <row r="886" ht="15" customHeight="1" s="130">
      <c r="A886">
        <f>IF('PUNCH LIST'!$W$343="X","PUNCH LIST","")</f>
        <v/>
      </c>
      <c r="B886">
        <f>IF('PUNCH LIST'!$W$343="X",'PUNCH LIST'!B343,"")</f>
        <v/>
      </c>
      <c r="D886">
        <f>IF('PUNCH LIST'!$W$343="X",'PUNCH LIST'!F343,"")</f>
        <v/>
      </c>
      <c r="E886">
        <f>IF('PUNCH LIST'!$W$343="X",'PUNCH LIST'!C343,"")</f>
        <v/>
      </c>
      <c r="F886">
        <f>IF('PUNCH LIST'!$W$343="X",'PUNCH LIST'!E343,"")</f>
        <v/>
      </c>
      <c r="G886">
        <f>IF('PUNCH LIST'!$W$343="X",'PUNCH LIST'!Q343,"")</f>
        <v/>
      </c>
      <c r="H886">
        <f>IF('PUNCH LIST'!$W$343="X","X","")</f>
        <v/>
      </c>
    </row>
    <row r="887" ht="15" customHeight="1" s="130">
      <c r="A887">
        <f>IF('PUNCH LIST'!$W$344="X","PUNCH LIST","")</f>
        <v/>
      </c>
      <c r="B887">
        <f>IF('PUNCH LIST'!$W$344="X",'PUNCH LIST'!B344,"")</f>
        <v/>
      </c>
      <c r="D887">
        <f>IF('PUNCH LIST'!$W$344="X",'PUNCH LIST'!F344,"")</f>
        <v/>
      </c>
      <c r="E887">
        <f>IF('PUNCH LIST'!$W$344="X",'PUNCH LIST'!C344,"")</f>
        <v/>
      </c>
      <c r="F887">
        <f>IF('PUNCH LIST'!$W$344="X",'PUNCH LIST'!E344,"")</f>
        <v/>
      </c>
      <c r="G887">
        <f>IF('PUNCH LIST'!$W$344="X",'PUNCH LIST'!Q344,"")</f>
        <v/>
      </c>
      <c r="H887">
        <f>IF('PUNCH LIST'!$W$344="X","X","")</f>
        <v/>
      </c>
    </row>
    <row r="888" ht="15" customHeight="1" s="130">
      <c r="A888">
        <f>IF('PUNCH LIST'!$W$345="X","PUNCH LIST","")</f>
        <v/>
      </c>
      <c r="B888">
        <f>IF('PUNCH LIST'!$W$345="X",'PUNCH LIST'!B345,"")</f>
        <v/>
      </c>
      <c r="D888">
        <f>IF('PUNCH LIST'!$W$345="X",'PUNCH LIST'!F345,"")</f>
        <v/>
      </c>
      <c r="E888">
        <f>IF('PUNCH LIST'!$W$345="X",'PUNCH LIST'!C345,"")</f>
        <v/>
      </c>
      <c r="F888">
        <f>IF('PUNCH LIST'!$W$345="X",'PUNCH LIST'!E345,"")</f>
        <v/>
      </c>
      <c r="G888">
        <f>IF('PUNCH LIST'!$W$345="X",'PUNCH LIST'!Q345,"")</f>
        <v/>
      </c>
      <c r="H888">
        <f>IF('PUNCH LIST'!$W$345="X","X","")</f>
        <v/>
      </c>
    </row>
    <row r="889" ht="15" customHeight="1" s="130">
      <c r="A889">
        <f>IF('PUNCH LIST'!$W$346="X","PUNCH LIST","")</f>
        <v/>
      </c>
      <c r="B889">
        <f>IF('PUNCH LIST'!$W$346="X",'PUNCH LIST'!B346,"")</f>
        <v/>
      </c>
      <c r="D889">
        <f>IF('PUNCH LIST'!$W$346="X",'PUNCH LIST'!F346,"")</f>
        <v/>
      </c>
      <c r="E889">
        <f>IF('PUNCH LIST'!$W$346="X",'PUNCH LIST'!C346,"")</f>
        <v/>
      </c>
      <c r="F889">
        <f>IF('PUNCH LIST'!$W$346="X",'PUNCH LIST'!E346,"")</f>
        <v/>
      </c>
      <c r="G889">
        <f>IF('PUNCH LIST'!$W$346="X",'PUNCH LIST'!Q346,"")</f>
        <v/>
      </c>
      <c r="H889">
        <f>IF('PUNCH LIST'!$W$346="X","X","")</f>
        <v/>
      </c>
    </row>
    <row r="890" ht="15" customHeight="1" s="130">
      <c r="A890">
        <f>IF('PUNCH LIST'!$W$347="X","PUNCH LIST","")</f>
        <v/>
      </c>
      <c r="B890">
        <f>IF('PUNCH LIST'!$W$347="X",'PUNCH LIST'!B347,"")</f>
        <v/>
      </c>
      <c r="D890">
        <f>IF('PUNCH LIST'!$W$347="X",'PUNCH LIST'!F347,"")</f>
        <v/>
      </c>
      <c r="E890">
        <f>IF('PUNCH LIST'!$W$347="X",'PUNCH LIST'!C347,"")</f>
        <v/>
      </c>
      <c r="F890">
        <f>IF('PUNCH LIST'!$W$347="X",'PUNCH LIST'!E347,"")</f>
        <v/>
      </c>
      <c r="G890">
        <f>IF('PUNCH LIST'!$W$347="X",'PUNCH LIST'!Q347,"")</f>
        <v/>
      </c>
      <c r="H890">
        <f>IF('PUNCH LIST'!$W$347="X","X","")</f>
        <v/>
      </c>
    </row>
    <row r="891" ht="15" customHeight="1" s="130">
      <c r="A891">
        <f>IF('PUNCH LIST'!$W$348="X","PUNCH LIST","")</f>
        <v/>
      </c>
      <c r="B891">
        <f>IF('PUNCH LIST'!$W$348="X",'PUNCH LIST'!B348,"")</f>
        <v/>
      </c>
      <c r="D891">
        <f>IF('PUNCH LIST'!$W$348="X",'PUNCH LIST'!F348,"")</f>
        <v/>
      </c>
      <c r="E891">
        <f>IF('PUNCH LIST'!$W$348="X",'PUNCH LIST'!C348,"")</f>
        <v/>
      </c>
      <c r="F891">
        <f>IF('PUNCH LIST'!$W$348="X",'PUNCH LIST'!E348,"")</f>
        <v/>
      </c>
      <c r="G891">
        <f>IF('PUNCH LIST'!$W$348="X",'PUNCH LIST'!Q348,"")</f>
        <v/>
      </c>
      <c r="H891">
        <f>IF('PUNCH LIST'!$W$348="X","X","")</f>
        <v/>
      </c>
    </row>
    <row r="892" ht="15" customHeight="1" s="130">
      <c r="A892">
        <f>IF('PUNCH LIST'!$W$349="X","PUNCH LIST","")</f>
        <v/>
      </c>
      <c r="B892">
        <f>IF('PUNCH LIST'!$W$349="X",'PUNCH LIST'!B349,"")</f>
        <v/>
      </c>
      <c r="D892">
        <f>IF('PUNCH LIST'!$W$349="X",'PUNCH LIST'!F349,"")</f>
        <v/>
      </c>
      <c r="E892">
        <f>IF('PUNCH LIST'!$W$349="X",'PUNCH LIST'!C349,"")</f>
        <v/>
      </c>
      <c r="F892">
        <f>IF('PUNCH LIST'!$W$349="X",'PUNCH LIST'!E349,"")</f>
        <v/>
      </c>
      <c r="G892">
        <f>IF('PUNCH LIST'!$W$349="X",'PUNCH LIST'!Q349,"")</f>
        <v/>
      </c>
      <c r="H892">
        <f>IF('PUNCH LIST'!$W$349="X","X","")</f>
        <v/>
      </c>
    </row>
    <row r="893" ht="15" customHeight="1" s="130">
      <c r="A893">
        <f>IF('PUNCH LIST'!$W$350="X","PUNCH LIST","")</f>
        <v/>
      </c>
      <c r="B893">
        <f>IF('PUNCH LIST'!$W$350="X",'PUNCH LIST'!B350,"")</f>
        <v/>
      </c>
      <c r="D893">
        <f>IF('PUNCH LIST'!$W$350="X",'PUNCH LIST'!F350,"")</f>
        <v/>
      </c>
      <c r="E893">
        <f>IF('PUNCH LIST'!$W$350="X",'PUNCH LIST'!C350,"")</f>
        <v/>
      </c>
      <c r="F893">
        <f>IF('PUNCH LIST'!$W$350="X",'PUNCH LIST'!E350,"")</f>
        <v/>
      </c>
      <c r="G893">
        <f>IF('PUNCH LIST'!$W$350="X",'PUNCH LIST'!Q350,"")</f>
        <v/>
      </c>
      <c r="H893">
        <f>IF('PUNCH LIST'!$W$350="X","X","")</f>
        <v/>
      </c>
    </row>
    <row r="894" ht="15" customHeight="1" s="130">
      <c r="A894">
        <f>IF('PUNCH LIST'!$W$351="X","PUNCH LIST","")</f>
        <v/>
      </c>
      <c r="B894">
        <f>IF('PUNCH LIST'!$W$351="X",'PUNCH LIST'!B351,"")</f>
        <v/>
      </c>
      <c r="D894">
        <f>IF('PUNCH LIST'!$W$351="X",'PUNCH LIST'!F351,"")</f>
        <v/>
      </c>
      <c r="E894">
        <f>IF('PUNCH LIST'!$W$351="X",'PUNCH LIST'!C351,"")</f>
        <v/>
      </c>
      <c r="F894">
        <f>IF('PUNCH LIST'!$W$351="X",'PUNCH LIST'!E351,"")</f>
        <v/>
      </c>
      <c r="G894">
        <f>IF('PUNCH LIST'!$W$351="X",'PUNCH LIST'!Q351,"")</f>
        <v/>
      </c>
      <c r="H894">
        <f>IF('PUNCH LIST'!$W$351="X","X","")</f>
        <v/>
      </c>
    </row>
    <row r="895" ht="15" customHeight="1" s="130">
      <c r="A895">
        <f>IF('PUNCH LIST'!$W$352="X","PUNCH LIST","")</f>
        <v/>
      </c>
      <c r="B895">
        <f>IF('PUNCH LIST'!$W$352="X",'PUNCH LIST'!B352,"")</f>
        <v/>
      </c>
      <c r="D895">
        <f>IF('PUNCH LIST'!$W$352="X",'PUNCH LIST'!F352,"")</f>
        <v/>
      </c>
      <c r="E895">
        <f>IF('PUNCH LIST'!$W$352="X",'PUNCH LIST'!C352,"")</f>
        <v/>
      </c>
      <c r="F895">
        <f>IF('PUNCH LIST'!$W$352="X",'PUNCH LIST'!E352,"")</f>
        <v/>
      </c>
      <c r="G895">
        <f>IF('PUNCH LIST'!$W$352="X",'PUNCH LIST'!Q352,"")</f>
        <v/>
      </c>
      <c r="H895">
        <f>IF('PUNCH LIST'!$W$352="X","X","")</f>
        <v/>
      </c>
    </row>
    <row r="896" ht="15" customHeight="1" s="130">
      <c r="A896">
        <f>IF('PUNCH LIST'!$W$353="X","PUNCH LIST","")</f>
        <v/>
      </c>
      <c r="B896">
        <f>IF('PUNCH LIST'!$W$353="X",'PUNCH LIST'!B353,"")</f>
        <v/>
      </c>
      <c r="D896">
        <f>IF('PUNCH LIST'!$W$353="X",'PUNCH LIST'!F353,"")</f>
        <v/>
      </c>
      <c r="E896">
        <f>IF('PUNCH LIST'!$W$353="X",'PUNCH LIST'!C353,"")</f>
        <v/>
      </c>
      <c r="F896">
        <f>IF('PUNCH LIST'!$W$353="X",'PUNCH LIST'!E353,"")</f>
        <v/>
      </c>
      <c r="G896">
        <f>IF('PUNCH LIST'!$W$353="X",'PUNCH LIST'!Q353,"")</f>
        <v/>
      </c>
      <c r="H896">
        <f>IF('PUNCH LIST'!$W$353="X","X","")</f>
        <v/>
      </c>
    </row>
    <row r="897" ht="15" customHeight="1" s="130">
      <c r="A897">
        <f>IF('PUNCH LIST'!$W$354="X","PUNCH LIST","")</f>
        <v/>
      </c>
      <c r="B897">
        <f>IF('PUNCH LIST'!$W$354="X",'PUNCH LIST'!B354,"")</f>
        <v/>
      </c>
      <c r="D897">
        <f>IF('PUNCH LIST'!$W$354="X",'PUNCH LIST'!F354,"")</f>
        <v/>
      </c>
      <c r="E897">
        <f>IF('PUNCH LIST'!$W$354="X",'PUNCH LIST'!C354,"")</f>
        <v/>
      </c>
      <c r="F897">
        <f>IF('PUNCH LIST'!$W$354="X",'PUNCH LIST'!E354,"")</f>
        <v/>
      </c>
      <c r="G897">
        <f>IF('PUNCH LIST'!$W$354="X",'PUNCH LIST'!Q354,"")</f>
        <v/>
      </c>
      <c r="H897">
        <f>IF('PUNCH LIST'!$W$354="X","X","")</f>
        <v/>
      </c>
    </row>
    <row r="898" ht="15" customHeight="1" s="130">
      <c r="A898">
        <f>IF('PUNCH LIST'!$W$355="X","PUNCH LIST","")</f>
        <v/>
      </c>
      <c r="B898">
        <f>IF('PUNCH LIST'!$W$355="X",'PUNCH LIST'!B355,"")</f>
        <v/>
      </c>
      <c r="D898">
        <f>IF('PUNCH LIST'!$W$355="X",'PUNCH LIST'!F355,"")</f>
        <v/>
      </c>
      <c r="E898">
        <f>IF('PUNCH LIST'!$W$355="X",'PUNCH LIST'!C355,"")</f>
        <v/>
      </c>
      <c r="F898">
        <f>IF('PUNCH LIST'!$W$355="X",'PUNCH LIST'!E355,"")</f>
        <v/>
      </c>
      <c r="G898">
        <f>IF('PUNCH LIST'!$W$355="X",'PUNCH LIST'!Q355,"")</f>
        <v/>
      </c>
      <c r="H898">
        <f>IF('PUNCH LIST'!$W$355="X","X","")</f>
        <v/>
      </c>
    </row>
    <row r="899" ht="15" customHeight="1" s="130">
      <c r="A899">
        <f>IF('PUNCH LIST'!$W$356="X","PUNCH LIST","")</f>
        <v/>
      </c>
      <c r="B899">
        <f>IF('PUNCH LIST'!$W$356="X",'PUNCH LIST'!B356,"")</f>
        <v/>
      </c>
      <c r="D899">
        <f>IF('PUNCH LIST'!$W$356="X",'PUNCH LIST'!F356,"")</f>
        <v/>
      </c>
      <c r="E899">
        <f>IF('PUNCH LIST'!$W$356="X",'PUNCH LIST'!C356,"")</f>
        <v/>
      </c>
      <c r="F899">
        <f>IF('PUNCH LIST'!$W$356="X",'PUNCH LIST'!E356,"")</f>
        <v/>
      </c>
      <c r="G899">
        <f>IF('PUNCH LIST'!$W$356="X",'PUNCH LIST'!Q356,"")</f>
        <v/>
      </c>
      <c r="H899">
        <f>IF('PUNCH LIST'!$W$356="X","X","")</f>
        <v/>
      </c>
    </row>
    <row r="900" ht="15" customHeight="1" s="130">
      <c r="A900">
        <f>IF('PUNCH LIST'!$W$357="X","PUNCH LIST","")</f>
        <v/>
      </c>
      <c r="B900">
        <f>IF('PUNCH LIST'!$W$357="X",'PUNCH LIST'!B357,"")</f>
        <v/>
      </c>
      <c r="D900">
        <f>IF('PUNCH LIST'!$W$357="X",'PUNCH LIST'!F357,"")</f>
        <v/>
      </c>
      <c r="E900">
        <f>IF('PUNCH LIST'!$W$357="X",'PUNCH LIST'!C357,"")</f>
        <v/>
      </c>
      <c r="F900">
        <f>IF('PUNCH LIST'!$W$357="X",'PUNCH LIST'!E357,"")</f>
        <v/>
      </c>
      <c r="G900">
        <f>IF('PUNCH LIST'!$W$357="X",'PUNCH LIST'!Q357,"")</f>
        <v/>
      </c>
      <c r="H900">
        <f>IF('PUNCH LIST'!$W$357="X","X","")</f>
        <v/>
      </c>
    </row>
    <row r="901" ht="15" customHeight="1" s="130">
      <c r="A901">
        <f>IF('PUNCH LIST'!$W$358="X","PUNCH LIST","")</f>
        <v/>
      </c>
      <c r="B901">
        <f>IF('PUNCH LIST'!$W$358="X",'PUNCH LIST'!B358,"")</f>
        <v/>
      </c>
      <c r="D901">
        <f>IF('PUNCH LIST'!$W$358="X",'PUNCH LIST'!F358,"")</f>
        <v/>
      </c>
      <c r="E901">
        <f>IF('PUNCH LIST'!$W$358="X",'PUNCH LIST'!C358,"")</f>
        <v/>
      </c>
      <c r="F901">
        <f>IF('PUNCH LIST'!$W$358="X",'PUNCH LIST'!E358,"")</f>
        <v/>
      </c>
      <c r="G901">
        <f>IF('PUNCH LIST'!$W$358="X",'PUNCH LIST'!Q358,"")</f>
        <v/>
      </c>
      <c r="H901">
        <f>IF('PUNCH LIST'!$W$358="X","X","")</f>
        <v/>
      </c>
    </row>
    <row r="902" ht="15" customHeight="1" s="130">
      <c r="A902">
        <f>IF('PUNCH LIST'!$W$359="X","PUNCH LIST","")</f>
        <v/>
      </c>
      <c r="B902">
        <f>IF('PUNCH LIST'!$W$359="X",'PUNCH LIST'!B359,"")</f>
        <v/>
      </c>
      <c r="D902">
        <f>IF('PUNCH LIST'!$W$359="X",'PUNCH LIST'!F359,"")</f>
        <v/>
      </c>
      <c r="E902">
        <f>IF('PUNCH LIST'!$W$359="X",'PUNCH LIST'!C359,"")</f>
        <v/>
      </c>
      <c r="F902">
        <f>IF('PUNCH LIST'!$W$359="X",'PUNCH LIST'!E359,"")</f>
        <v/>
      </c>
      <c r="G902">
        <f>IF('PUNCH LIST'!$W$359="X",'PUNCH LIST'!Q359,"")</f>
        <v/>
      </c>
      <c r="H902">
        <f>IF('PUNCH LIST'!$W$359="X","X","")</f>
        <v/>
      </c>
    </row>
    <row r="903" ht="15" customHeight="1" s="130">
      <c r="A903">
        <f>IF('PUNCH LIST'!$W$360="X","PUNCH LIST","")</f>
        <v/>
      </c>
      <c r="B903">
        <f>IF('PUNCH LIST'!$W$360="X",'PUNCH LIST'!B360,"")</f>
        <v/>
      </c>
      <c r="D903">
        <f>IF('PUNCH LIST'!$W$360="X",'PUNCH LIST'!F360,"")</f>
        <v/>
      </c>
      <c r="E903">
        <f>IF('PUNCH LIST'!$W$360="X",'PUNCH LIST'!C360,"")</f>
        <v/>
      </c>
      <c r="F903">
        <f>IF('PUNCH LIST'!$W$360="X",'PUNCH LIST'!E360,"")</f>
        <v/>
      </c>
      <c r="G903">
        <f>IF('PUNCH LIST'!$W$360="X",'PUNCH LIST'!Q360,"")</f>
        <v/>
      </c>
      <c r="H903">
        <f>IF('PUNCH LIST'!$W$360="X","X","")</f>
        <v/>
      </c>
    </row>
    <row r="904" ht="15" customHeight="1" s="130">
      <c r="A904">
        <f>IF('PUNCH LIST'!$W$361="X","PUNCH LIST","")</f>
        <v/>
      </c>
      <c r="B904">
        <f>IF('PUNCH LIST'!$W$361="X",'PUNCH LIST'!B361,"")</f>
        <v/>
      </c>
      <c r="D904">
        <f>IF('PUNCH LIST'!$W$361="X",'PUNCH LIST'!F361,"")</f>
        <v/>
      </c>
      <c r="E904">
        <f>IF('PUNCH LIST'!$W$361="X",'PUNCH LIST'!C361,"")</f>
        <v/>
      </c>
      <c r="F904">
        <f>IF('PUNCH LIST'!$W$361="X",'PUNCH LIST'!E361,"")</f>
        <v/>
      </c>
      <c r="G904">
        <f>IF('PUNCH LIST'!$W$361="X",'PUNCH LIST'!Q361,"")</f>
        <v/>
      </c>
      <c r="H904">
        <f>IF('PUNCH LIST'!$W$361="X","X","")</f>
        <v/>
      </c>
    </row>
    <row r="905" ht="15" customHeight="1" s="130">
      <c r="A905">
        <f>IF('PUNCH LIST'!$W$362="X","PUNCH LIST","")</f>
        <v/>
      </c>
      <c r="B905">
        <f>IF('PUNCH LIST'!$W$362="X",'PUNCH LIST'!B362,"")</f>
        <v/>
      </c>
      <c r="D905">
        <f>IF('PUNCH LIST'!$W$362="X",'PUNCH LIST'!F362,"")</f>
        <v/>
      </c>
      <c r="E905">
        <f>IF('PUNCH LIST'!$W$362="X",'PUNCH LIST'!C362,"")</f>
        <v/>
      </c>
      <c r="F905">
        <f>IF('PUNCH LIST'!$W$362="X",'PUNCH LIST'!E362,"")</f>
        <v/>
      </c>
      <c r="G905">
        <f>IF('PUNCH LIST'!$W$362="X",'PUNCH LIST'!Q362,"")</f>
        <v/>
      </c>
      <c r="H905">
        <f>IF('PUNCH LIST'!$W$362="X","X","")</f>
        <v/>
      </c>
    </row>
    <row r="906" ht="15" customHeight="1" s="130">
      <c r="A906">
        <f>IF('PUNCH LIST'!$W$363="X","PUNCH LIST","")</f>
        <v/>
      </c>
      <c r="B906">
        <f>IF('PUNCH LIST'!$W$363="X",'PUNCH LIST'!B363,"")</f>
        <v/>
      </c>
      <c r="D906">
        <f>IF('PUNCH LIST'!$W$363="X",'PUNCH LIST'!F363,"")</f>
        <v/>
      </c>
      <c r="E906">
        <f>IF('PUNCH LIST'!$W$363="X",'PUNCH LIST'!C363,"")</f>
        <v/>
      </c>
      <c r="F906">
        <f>IF('PUNCH LIST'!$W$363="X",'PUNCH LIST'!E363,"")</f>
        <v/>
      </c>
      <c r="G906">
        <f>IF('PUNCH LIST'!$W$363="X",'PUNCH LIST'!Q363,"")</f>
        <v/>
      </c>
      <c r="H906">
        <f>IF('PUNCH LIST'!$W$363="X","X","")</f>
        <v/>
      </c>
    </row>
    <row r="907" ht="15" customHeight="1" s="130">
      <c r="A907">
        <f>IF('PUNCH LIST'!$W$364="X","PUNCH LIST","")</f>
        <v/>
      </c>
      <c r="B907">
        <f>IF('PUNCH LIST'!$W$364="X",'PUNCH LIST'!B364,"")</f>
        <v/>
      </c>
      <c r="D907">
        <f>IF('PUNCH LIST'!$W$364="X",'PUNCH LIST'!F364,"")</f>
        <v/>
      </c>
      <c r="E907">
        <f>IF('PUNCH LIST'!$W$364="X",'PUNCH LIST'!C364,"")</f>
        <v/>
      </c>
      <c r="F907">
        <f>IF('PUNCH LIST'!$W$364="X",'PUNCH LIST'!E364,"")</f>
        <v/>
      </c>
      <c r="G907">
        <f>IF('PUNCH LIST'!$W$364="X",'PUNCH LIST'!Q364,"")</f>
        <v/>
      </c>
      <c r="H907">
        <f>IF('PUNCH LIST'!$W$364="X","X","")</f>
        <v/>
      </c>
    </row>
    <row r="908" ht="15" customHeight="1" s="130">
      <c r="A908">
        <f>IF('PUNCH LIST'!$W$365="X","PUNCH LIST","")</f>
        <v/>
      </c>
      <c r="B908">
        <f>IF('PUNCH LIST'!$W$365="X",'PUNCH LIST'!B365,"")</f>
        <v/>
      </c>
      <c r="D908">
        <f>IF('PUNCH LIST'!$W$365="X",'PUNCH LIST'!F365,"")</f>
        <v/>
      </c>
      <c r="E908">
        <f>IF('PUNCH LIST'!$W$365="X",'PUNCH LIST'!C365,"")</f>
        <v/>
      </c>
      <c r="F908">
        <f>IF('PUNCH LIST'!$W$365="X",'PUNCH LIST'!E365,"")</f>
        <v/>
      </c>
      <c r="G908">
        <f>IF('PUNCH LIST'!$W$365="X",'PUNCH LIST'!Q365,"")</f>
        <v/>
      </c>
      <c r="H908">
        <f>IF('PUNCH LIST'!$W$365="X","X","")</f>
        <v/>
      </c>
    </row>
    <row r="909" ht="15" customHeight="1" s="130">
      <c r="A909">
        <f>IF('PUNCH LIST'!$W$366="X","PUNCH LIST","")</f>
        <v/>
      </c>
      <c r="B909">
        <f>IF('PUNCH LIST'!$W$366="X",'PUNCH LIST'!B366,"")</f>
        <v/>
      </c>
      <c r="D909">
        <f>IF('PUNCH LIST'!$W$366="X",'PUNCH LIST'!F366,"")</f>
        <v/>
      </c>
      <c r="E909">
        <f>IF('PUNCH LIST'!$W$366="X",'PUNCH LIST'!C366,"")</f>
        <v/>
      </c>
      <c r="F909">
        <f>IF('PUNCH LIST'!$W$366="X",'PUNCH LIST'!E366,"")</f>
        <v/>
      </c>
      <c r="G909">
        <f>IF('PUNCH LIST'!$W$366="X",'PUNCH LIST'!Q366,"")</f>
        <v/>
      </c>
      <c r="H909">
        <f>IF('PUNCH LIST'!$W$366="X","X","")</f>
        <v/>
      </c>
    </row>
    <row r="910" ht="15" customHeight="1" s="130">
      <c r="A910">
        <f>IF('PUNCH LIST'!$W$367="X","PUNCH LIST","")</f>
        <v/>
      </c>
      <c r="B910">
        <f>IF('PUNCH LIST'!$W$367="X",'PUNCH LIST'!B367,"")</f>
        <v/>
      </c>
      <c r="D910">
        <f>IF('PUNCH LIST'!$W$367="X",'PUNCH LIST'!F367,"")</f>
        <v/>
      </c>
      <c r="E910">
        <f>IF('PUNCH LIST'!$W$367="X",'PUNCH LIST'!C367,"")</f>
        <v/>
      </c>
      <c r="F910">
        <f>IF('PUNCH LIST'!$W$367="X",'PUNCH LIST'!E367,"")</f>
        <v/>
      </c>
      <c r="G910">
        <f>IF('PUNCH LIST'!$W$367="X",'PUNCH LIST'!Q367,"")</f>
        <v/>
      </c>
      <c r="H910">
        <f>IF('PUNCH LIST'!$W$367="X","X","")</f>
        <v/>
      </c>
    </row>
    <row r="911" ht="15" customHeight="1" s="130">
      <c r="A911">
        <f>IF('PUNCH LIST'!$W$368="X","PUNCH LIST","")</f>
        <v/>
      </c>
      <c r="B911">
        <f>IF('PUNCH LIST'!$W$368="X",'PUNCH LIST'!B368,"")</f>
        <v/>
      </c>
      <c r="D911">
        <f>IF('PUNCH LIST'!$W$368="X",'PUNCH LIST'!F368,"")</f>
        <v/>
      </c>
      <c r="E911">
        <f>IF('PUNCH LIST'!$W$368="X",'PUNCH LIST'!C368,"")</f>
        <v/>
      </c>
      <c r="F911">
        <f>IF('PUNCH LIST'!$W$368="X",'PUNCH LIST'!E368,"")</f>
        <v/>
      </c>
      <c r="G911">
        <f>IF('PUNCH LIST'!$W$368="X",'PUNCH LIST'!Q368,"")</f>
        <v/>
      </c>
      <c r="H911">
        <f>IF('PUNCH LIST'!$W$368="X","X","")</f>
        <v/>
      </c>
    </row>
    <row r="912" ht="15" customHeight="1" s="130">
      <c r="A912">
        <f>IF('PUNCH LIST'!$W$369="X","PUNCH LIST","")</f>
        <v/>
      </c>
      <c r="B912">
        <f>IF('PUNCH LIST'!$W$369="X",'PUNCH LIST'!B369,"")</f>
        <v/>
      </c>
      <c r="D912">
        <f>IF('PUNCH LIST'!$W$369="X",'PUNCH LIST'!F369,"")</f>
        <v/>
      </c>
      <c r="E912">
        <f>IF('PUNCH LIST'!$W$369="X",'PUNCH LIST'!C369,"")</f>
        <v/>
      </c>
      <c r="F912">
        <f>IF('PUNCH LIST'!$W$369="X",'PUNCH LIST'!E369,"")</f>
        <v/>
      </c>
      <c r="G912">
        <f>IF('PUNCH LIST'!$W$369="X",'PUNCH LIST'!Q369,"")</f>
        <v/>
      </c>
      <c r="H912">
        <f>IF('PUNCH LIST'!$W$369="X","X","")</f>
        <v/>
      </c>
    </row>
    <row r="913" ht="15" customHeight="1" s="130">
      <c r="A913">
        <f>IF('PUNCH LIST'!$W$370="X","PUNCH LIST","")</f>
        <v/>
      </c>
      <c r="B913">
        <f>IF('PUNCH LIST'!$W$370="X",'PUNCH LIST'!B370,"")</f>
        <v/>
      </c>
      <c r="D913">
        <f>IF('PUNCH LIST'!$W$370="X",'PUNCH LIST'!F370,"")</f>
        <v/>
      </c>
      <c r="E913">
        <f>IF('PUNCH LIST'!$W$370="X",'PUNCH LIST'!C370,"")</f>
        <v/>
      </c>
      <c r="F913">
        <f>IF('PUNCH LIST'!$W$370="X",'PUNCH LIST'!E370,"")</f>
        <v/>
      </c>
      <c r="G913">
        <f>IF('PUNCH LIST'!$W$370="X",'PUNCH LIST'!Q370,"")</f>
        <v/>
      </c>
      <c r="H913">
        <f>IF('PUNCH LIST'!$W$370="X","X","")</f>
        <v/>
      </c>
    </row>
    <row r="914" ht="15" customHeight="1" s="130">
      <c r="A914">
        <f>IF('PUNCH LIST'!$W$371="X","PUNCH LIST","")</f>
        <v/>
      </c>
      <c r="B914">
        <f>IF('PUNCH LIST'!$W$371="X",'PUNCH LIST'!B371,"")</f>
        <v/>
      </c>
      <c r="D914">
        <f>IF('PUNCH LIST'!$W$371="X",'PUNCH LIST'!F371,"")</f>
        <v/>
      </c>
      <c r="E914">
        <f>IF('PUNCH LIST'!$W$371="X",'PUNCH LIST'!C371,"")</f>
        <v/>
      </c>
      <c r="F914">
        <f>IF('PUNCH LIST'!$W$371="X",'PUNCH LIST'!E371,"")</f>
        <v/>
      </c>
      <c r="G914">
        <f>IF('PUNCH LIST'!$W$371="X",'PUNCH LIST'!Q371,"")</f>
        <v/>
      </c>
      <c r="H914">
        <f>IF('PUNCH LIST'!$W$371="X","X","")</f>
        <v/>
      </c>
    </row>
    <row r="915" ht="15" customHeight="1" s="130">
      <c r="A915">
        <f>IF('PUNCH LIST'!$W$372="X","PUNCH LIST","")</f>
        <v/>
      </c>
      <c r="B915">
        <f>IF('PUNCH LIST'!$W$372="X",'PUNCH LIST'!B372,"")</f>
        <v/>
      </c>
      <c r="D915">
        <f>IF('PUNCH LIST'!$W$372="X",'PUNCH LIST'!F372,"")</f>
        <v/>
      </c>
      <c r="E915">
        <f>IF('PUNCH LIST'!$W$372="X",'PUNCH LIST'!C372,"")</f>
        <v/>
      </c>
      <c r="F915">
        <f>IF('PUNCH LIST'!$W$372="X",'PUNCH LIST'!E372,"")</f>
        <v/>
      </c>
      <c r="G915">
        <f>IF('PUNCH LIST'!$W$372="X",'PUNCH LIST'!Q372,"")</f>
        <v/>
      </c>
      <c r="H915">
        <f>IF('PUNCH LIST'!$W$372="X","X","")</f>
        <v/>
      </c>
    </row>
    <row r="916" ht="15" customHeight="1" s="130">
      <c r="A916">
        <f>IF('PUNCH LIST'!$W$373="X","PUNCH LIST","")</f>
        <v/>
      </c>
      <c r="B916">
        <f>IF('PUNCH LIST'!$W$373="X",'PUNCH LIST'!B373,"")</f>
        <v/>
      </c>
      <c r="D916">
        <f>IF('PUNCH LIST'!$W$373="X",'PUNCH LIST'!F373,"")</f>
        <v/>
      </c>
      <c r="E916">
        <f>IF('PUNCH LIST'!$W$373="X",'PUNCH LIST'!C373,"")</f>
        <v/>
      </c>
      <c r="F916">
        <f>IF('PUNCH LIST'!$W$373="X",'PUNCH LIST'!E373,"")</f>
        <v/>
      </c>
      <c r="G916">
        <f>IF('PUNCH LIST'!$W$373="X",'PUNCH LIST'!Q373,"")</f>
        <v/>
      </c>
      <c r="H916">
        <f>IF('PUNCH LIST'!$W$373="X","X","")</f>
        <v/>
      </c>
    </row>
    <row r="917" ht="15" customHeight="1" s="130">
      <c r="A917">
        <f>IF('PUNCH LIST'!$W$374="X","PUNCH LIST","")</f>
        <v/>
      </c>
      <c r="B917">
        <f>IF('PUNCH LIST'!$W$374="X",'PUNCH LIST'!B374,"")</f>
        <v/>
      </c>
      <c r="D917">
        <f>IF('PUNCH LIST'!$W$374="X",'PUNCH LIST'!F374,"")</f>
        <v/>
      </c>
      <c r="E917">
        <f>IF('PUNCH LIST'!$W$374="X",'PUNCH LIST'!C374,"")</f>
        <v/>
      </c>
      <c r="F917">
        <f>IF('PUNCH LIST'!$W$374="X",'PUNCH LIST'!E374,"")</f>
        <v/>
      </c>
      <c r="G917">
        <f>IF('PUNCH LIST'!$W$374="X",'PUNCH LIST'!Q374,"")</f>
        <v/>
      </c>
      <c r="H917">
        <f>IF('PUNCH LIST'!$W$374="X","X","")</f>
        <v/>
      </c>
    </row>
    <row r="918" ht="15" customHeight="1" s="130">
      <c r="A918">
        <f>IF('PUNCH LIST'!$W$375="X","PUNCH LIST","")</f>
        <v/>
      </c>
      <c r="B918">
        <f>IF('PUNCH LIST'!$W$375="X",'PUNCH LIST'!B375,"")</f>
        <v/>
      </c>
      <c r="D918">
        <f>IF('PUNCH LIST'!$W$375="X",'PUNCH LIST'!F375,"")</f>
        <v/>
      </c>
      <c r="E918">
        <f>IF('PUNCH LIST'!$W$375="X",'PUNCH LIST'!C375,"")</f>
        <v/>
      </c>
      <c r="F918">
        <f>IF('PUNCH LIST'!$W$375="X",'PUNCH LIST'!E375,"")</f>
        <v/>
      </c>
      <c r="G918">
        <f>IF('PUNCH LIST'!$W$375="X",'PUNCH LIST'!Q375,"")</f>
        <v/>
      </c>
      <c r="H918">
        <f>IF('PUNCH LIST'!$W$375="X","X","")</f>
        <v/>
      </c>
    </row>
    <row r="919" ht="15" customHeight="1" s="130">
      <c r="A919">
        <f>IF('PUNCH LIST'!$W$376="X","PUNCH LIST","")</f>
        <v/>
      </c>
      <c r="B919">
        <f>IF('PUNCH LIST'!$W$376="X",'PUNCH LIST'!B376,"")</f>
        <v/>
      </c>
      <c r="D919">
        <f>IF('PUNCH LIST'!$W$376="X",'PUNCH LIST'!F376,"")</f>
        <v/>
      </c>
      <c r="E919">
        <f>IF('PUNCH LIST'!$W$376="X",'PUNCH LIST'!C376,"")</f>
        <v/>
      </c>
      <c r="F919">
        <f>IF('PUNCH LIST'!$W$376="X",'PUNCH LIST'!E376,"")</f>
        <v/>
      </c>
      <c r="G919">
        <f>IF('PUNCH LIST'!$W$376="X",'PUNCH LIST'!Q376,"")</f>
        <v/>
      </c>
      <c r="H919">
        <f>IF('PUNCH LIST'!$W$376="X","X","")</f>
        <v/>
      </c>
    </row>
    <row r="920" ht="15" customHeight="1" s="130">
      <c r="A920">
        <f>IF('PUNCH LIST'!$W$377="X","PUNCH LIST","")</f>
        <v/>
      </c>
      <c r="B920">
        <f>IF('PUNCH LIST'!$W$377="X",'PUNCH LIST'!B377,"")</f>
        <v/>
      </c>
      <c r="D920">
        <f>IF('PUNCH LIST'!$W$377="X",'PUNCH LIST'!F377,"")</f>
        <v/>
      </c>
      <c r="E920">
        <f>IF('PUNCH LIST'!$W$377="X",'PUNCH LIST'!C377,"")</f>
        <v/>
      </c>
      <c r="F920">
        <f>IF('PUNCH LIST'!$W$377="X",'PUNCH LIST'!E377,"")</f>
        <v/>
      </c>
      <c r="G920">
        <f>IF('PUNCH LIST'!$W$377="X",'PUNCH LIST'!Q377,"")</f>
        <v/>
      </c>
      <c r="H920">
        <f>IF('PUNCH LIST'!$W$377="X","X","")</f>
        <v/>
      </c>
    </row>
    <row r="921" ht="15" customHeight="1" s="130">
      <c r="A921">
        <f>IF('PUNCH LIST'!$W$378="X","PUNCH LIST","")</f>
        <v/>
      </c>
      <c r="B921">
        <f>IF('PUNCH LIST'!$W$378="X",'PUNCH LIST'!B378,"")</f>
        <v/>
      </c>
      <c r="D921">
        <f>IF('PUNCH LIST'!$W$378="X",'PUNCH LIST'!F378,"")</f>
        <v/>
      </c>
      <c r="E921">
        <f>IF('PUNCH LIST'!$W$378="X",'PUNCH LIST'!C378,"")</f>
        <v/>
      </c>
      <c r="F921">
        <f>IF('PUNCH LIST'!$W$378="X",'PUNCH LIST'!E378,"")</f>
        <v/>
      </c>
      <c r="G921">
        <f>IF('PUNCH LIST'!$W$378="X",'PUNCH LIST'!Q378,"")</f>
        <v/>
      </c>
      <c r="H921">
        <f>IF('PUNCH LIST'!$W$378="X","X","")</f>
        <v/>
      </c>
    </row>
    <row r="922" ht="15" customHeight="1" s="130">
      <c r="A922">
        <f>IF('PUNCH LIST'!$W$379="X","PUNCH LIST","")</f>
        <v/>
      </c>
      <c r="B922">
        <f>IF('PUNCH LIST'!$W$379="X",'PUNCH LIST'!B379,"")</f>
        <v/>
      </c>
      <c r="D922">
        <f>IF('PUNCH LIST'!$W$379="X",'PUNCH LIST'!F379,"")</f>
        <v/>
      </c>
      <c r="E922">
        <f>IF('PUNCH LIST'!$W$379="X",'PUNCH LIST'!C379,"")</f>
        <v/>
      </c>
      <c r="F922">
        <f>IF('PUNCH LIST'!$W$379="X",'PUNCH LIST'!E379,"")</f>
        <v/>
      </c>
      <c r="G922">
        <f>IF('PUNCH LIST'!$W$379="X",'PUNCH LIST'!Q379,"")</f>
        <v/>
      </c>
      <c r="H922">
        <f>IF('PUNCH LIST'!$W$379="X","X","")</f>
        <v/>
      </c>
    </row>
    <row r="923" ht="15" customHeight="1" s="130">
      <c r="A923">
        <f>IF('PUNCH LIST'!$W$380="X","PUNCH LIST","")</f>
        <v/>
      </c>
      <c r="B923">
        <f>IF('PUNCH LIST'!$W$380="X",'PUNCH LIST'!B380,"")</f>
        <v/>
      </c>
      <c r="D923">
        <f>IF('PUNCH LIST'!$W$380="X",'PUNCH LIST'!F380,"")</f>
        <v/>
      </c>
      <c r="E923">
        <f>IF('PUNCH LIST'!$W$380="X",'PUNCH LIST'!C380,"")</f>
        <v/>
      </c>
      <c r="F923">
        <f>IF('PUNCH LIST'!$W$380="X",'PUNCH LIST'!E380,"")</f>
        <v/>
      </c>
      <c r="G923">
        <f>IF('PUNCH LIST'!$W$380="X",'PUNCH LIST'!Q380,"")</f>
        <v/>
      </c>
      <c r="H923">
        <f>IF('PUNCH LIST'!$W$380="X","X","")</f>
        <v/>
      </c>
    </row>
    <row r="924" ht="15" customHeight="1" s="130">
      <c r="A924">
        <f>IF('PUNCH LIST'!$W$381="X","PUNCH LIST","")</f>
        <v/>
      </c>
      <c r="B924">
        <f>IF('PUNCH LIST'!$W$381="X",'PUNCH LIST'!B381,"")</f>
        <v/>
      </c>
      <c r="D924">
        <f>IF('PUNCH LIST'!$W$381="X",'PUNCH LIST'!F381,"")</f>
        <v/>
      </c>
      <c r="E924">
        <f>IF('PUNCH LIST'!$W$381="X",'PUNCH LIST'!C381,"")</f>
        <v/>
      </c>
      <c r="F924">
        <f>IF('PUNCH LIST'!$W$381="X",'PUNCH LIST'!E381,"")</f>
        <v/>
      </c>
      <c r="G924">
        <f>IF('PUNCH LIST'!$W$381="X",'PUNCH LIST'!Q381,"")</f>
        <v/>
      </c>
      <c r="H924">
        <f>IF('PUNCH LIST'!$W$381="X","X","")</f>
        <v/>
      </c>
    </row>
    <row r="925" ht="15" customHeight="1" s="130">
      <c r="A925">
        <f>IF('PUNCH LIST'!$W$382="X","PUNCH LIST","")</f>
        <v/>
      </c>
      <c r="B925">
        <f>IF('PUNCH LIST'!$W$382="X",'PUNCH LIST'!B382,"")</f>
        <v/>
      </c>
      <c r="D925">
        <f>IF('PUNCH LIST'!$W$382="X",'PUNCH LIST'!F382,"")</f>
        <v/>
      </c>
      <c r="E925">
        <f>IF('PUNCH LIST'!$W$382="X",'PUNCH LIST'!C382,"")</f>
        <v/>
      </c>
      <c r="F925">
        <f>IF('PUNCH LIST'!$W$382="X",'PUNCH LIST'!E382,"")</f>
        <v/>
      </c>
      <c r="G925">
        <f>IF('PUNCH LIST'!$W$382="X",'PUNCH LIST'!Q382,"")</f>
        <v/>
      </c>
      <c r="H925">
        <f>IF('PUNCH LIST'!$W$382="X","X","")</f>
        <v/>
      </c>
    </row>
    <row r="926" ht="15" customHeight="1" s="130">
      <c r="A926">
        <f>IF('PUNCH LIST'!$W$383="X","PUNCH LIST","")</f>
        <v/>
      </c>
      <c r="B926">
        <f>IF('PUNCH LIST'!$W$383="X",'PUNCH LIST'!B383,"")</f>
        <v/>
      </c>
      <c r="D926">
        <f>IF('PUNCH LIST'!$W$383="X",'PUNCH LIST'!F383,"")</f>
        <v/>
      </c>
      <c r="E926">
        <f>IF('PUNCH LIST'!$W$383="X",'PUNCH LIST'!C383,"")</f>
        <v/>
      </c>
      <c r="F926">
        <f>IF('PUNCH LIST'!$W$383="X",'PUNCH LIST'!E383,"")</f>
        <v/>
      </c>
      <c r="G926">
        <f>IF('PUNCH LIST'!$W$383="X",'PUNCH LIST'!Q383,"")</f>
        <v/>
      </c>
      <c r="H926">
        <f>IF('PUNCH LIST'!$W$383="X","X","")</f>
        <v/>
      </c>
    </row>
    <row r="927" ht="15" customHeight="1" s="130">
      <c r="A927">
        <f>IF('PUNCH LIST'!$W$384="X","PUNCH LIST","")</f>
        <v/>
      </c>
      <c r="B927">
        <f>IF('PUNCH LIST'!$W$384="X",'PUNCH LIST'!B384,"")</f>
        <v/>
      </c>
      <c r="D927">
        <f>IF('PUNCH LIST'!$W$384="X",'PUNCH LIST'!F384,"")</f>
        <v/>
      </c>
      <c r="E927">
        <f>IF('PUNCH LIST'!$W$384="X",'PUNCH LIST'!C384,"")</f>
        <v/>
      </c>
      <c r="F927">
        <f>IF('PUNCH LIST'!$W$384="X",'PUNCH LIST'!E384,"")</f>
        <v/>
      </c>
      <c r="G927">
        <f>IF('PUNCH LIST'!$W$384="X",'PUNCH LIST'!Q384,"")</f>
        <v/>
      </c>
      <c r="H927">
        <f>IF('PUNCH LIST'!$W$384="X","X","")</f>
        <v/>
      </c>
    </row>
    <row r="928" ht="15" customHeight="1" s="130">
      <c r="A928">
        <f>IF('PUNCH LIST'!$W$385="X","PUNCH LIST","")</f>
        <v/>
      </c>
      <c r="B928">
        <f>IF('PUNCH LIST'!$W$385="X",'PUNCH LIST'!B385,"")</f>
        <v/>
      </c>
      <c r="D928">
        <f>IF('PUNCH LIST'!$W$385="X",'PUNCH LIST'!F385,"")</f>
        <v/>
      </c>
      <c r="E928">
        <f>IF('PUNCH LIST'!$W$385="X",'PUNCH LIST'!C385,"")</f>
        <v/>
      </c>
      <c r="F928">
        <f>IF('PUNCH LIST'!$W$385="X",'PUNCH LIST'!E385,"")</f>
        <v/>
      </c>
      <c r="G928">
        <f>IF('PUNCH LIST'!$W$385="X",'PUNCH LIST'!Q385,"")</f>
        <v/>
      </c>
      <c r="H928">
        <f>IF('PUNCH LIST'!$W$385="X","X","")</f>
        <v/>
      </c>
    </row>
    <row r="929" ht="15" customHeight="1" s="130">
      <c r="A929">
        <f>IF('PUNCH LIST'!$W$386="X","PUNCH LIST","")</f>
        <v/>
      </c>
      <c r="B929">
        <f>IF('PUNCH LIST'!$W$386="X",'PUNCH LIST'!B386,"")</f>
        <v/>
      </c>
      <c r="D929">
        <f>IF('PUNCH LIST'!$W$386="X",'PUNCH LIST'!F386,"")</f>
        <v/>
      </c>
      <c r="E929">
        <f>IF('PUNCH LIST'!$W$386="X",'PUNCH LIST'!C386,"")</f>
        <v/>
      </c>
      <c r="F929">
        <f>IF('PUNCH LIST'!$W$386="X",'PUNCH LIST'!E386,"")</f>
        <v/>
      </c>
      <c r="G929">
        <f>IF('PUNCH LIST'!$W$386="X",'PUNCH LIST'!Q386,"")</f>
        <v/>
      </c>
      <c r="H929">
        <f>IF('PUNCH LIST'!$W$386="X","X","")</f>
        <v/>
      </c>
    </row>
    <row r="930" ht="15" customHeight="1" s="130">
      <c r="A930">
        <f>IF('PUNCH LIST'!$W$387="X","PUNCH LIST","")</f>
        <v/>
      </c>
      <c r="B930">
        <f>IF('PUNCH LIST'!$W$387="X",'PUNCH LIST'!B387,"")</f>
        <v/>
      </c>
      <c r="D930">
        <f>IF('PUNCH LIST'!$W$387="X",'PUNCH LIST'!F387,"")</f>
        <v/>
      </c>
      <c r="E930">
        <f>IF('PUNCH LIST'!$W$387="X",'PUNCH LIST'!C387,"")</f>
        <v/>
      </c>
      <c r="F930">
        <f>IF('PUNCH LIST'!$W$387="X",'PUNCH LIST'!E387,"")</f>
        <v/>
      </c>
      <c r="G930">
        <f>IF('PUNCH LIST'!$W$387="X",'PUNCH LIST'!Q387,"")</f>
        <v/>
      </c>
      <c r="H930">
        <f>IF('PUNCH LIST'!$W$387="X","X","")</f>
        <v/>
      </c>
    </row>
    <row r="931" ht="15" customHeight="1" s="130">
      <c r="A931">
        <f>IF('PUNCH LIST'!$W$388="X","PUNCH LIST","")</f>
        <v/>
      </c>
      <c r="B931">
        <f>IF('PUNCH LIST'!$W$388="X",'PUNCH LIST'!B388,"")</f>
        <v/>
      </c>
      <c r="D931">
        <f>IF('PUNCH LIST'!$W$388="X",'PUNCH LIST'!F388,"")</f>
        <v/>
      </c>
      <c r="E931">
        <f>IF('PUNCH LIST'!$W$388="X",'PUNCH LIST'!C388,"")</f>
        <v/>
      </c>
      <c r="F931">
        <f>IF('PUNCH LIST'!$W$388="X",'PUNCH LIST'!E388,"")</f>
        <v/>
      </c>
      <c r="G931">
        <f>IF('PUNCH LIST'!$W$388="X",'PUNCH LIST'!Q388,"")</f>
        <v/>
      </c>
      <c r="H931">
        <f>IF('PUNCH LIST'!$W$388="X","X","")</f>
        <v/>
      </c>
    </row>
    <row r="932" ht="15" customHeight="1" s="130">
      <c r="A932">
        <f>IF('PUNCH LIST'!$W$389="X","PUNCH LIST","")</f>
        <v/>
      </c>
      <c r="B932">
        <f>IF('PUNCH LIST'!$W$389="X",'PUNCH LIST'!B389,"")</f>
        <v/>
      </c>
      <c r="D932">
        <f>IF('PUNCH LIST'!$W$389="X",'PUNCH LIST'!F389,"")</f>
        <v/>
      </c>
      <c r="E932">
        <f>IF('PUNCH LIST'!$W$389="X",'PUNCH LIST'!C389,"")</f>
        <v/>
      </c>
      <c r="F932">
        <f>IF('PUNCH LIST'!$W$389="X",'PUNCH LIST'!E389,"")</f>
        <v/>
      </c>
      <c r="G932">
        <f>IF('PUNCH LIST'!$W$389="X",'PUNCH LIST'!Q389,"")</f>
        <v/>
      </c>
      <c r="H932">
        <f>IF('PUNCH LIST'!$W$389="X","X","")</f>
        <v/>
      </c>
    </row>
    <row r="933" ht="15" customHeight="1" s="130">
      <c r="A933">
        <f>IF('PUNCH LIST'!$W$390="X","PUNCH LIST","")</f>
        <v/>
      </c>
      <c r="B933">
        <f>IF('PUNCH LIST'!$W$390="X",'PUNCH LIST'!B390,"")</f>
        <v/>
      </c>
      <c r="D933">
        <f>IF('PUNCH LIST'!$W$390="X",'PUNCH LIST'!F390,"")</f>
        <v/>
      </c>
      <c r="E933">
        <f>IF('PUNCH LIST'!$W$390="X",'PUNCH LIST'!C390,"")</f>
        <v/>
      </c>
      <c r="F933">
        <f>IF('PUNCH LIST'!$W$390="X",'PUNCH LIST'!E390,"")</f>
        <v/>
      </c>
      <c r="G933">
        <f>IF('PUNCH LIST'!$W$390="X",'PUNCH LIST'!Q390,"")</f>
        <v/>
      </c>
      <c r="H933">
        <f>IF('PUNCH LIST'!$W$390="X","X","")</f>
        <v/>
      </c>
    </row>
    <row r="934" ht="15" customHeight="1" s="130">
      <c r="A934">
        <f>IF('PUNCH LIST'!$W$391="X","PUNCH LIST","")</f>
        <v/>
      </c>
      <c r="B934">
        <f>IF('PUNCH LIST'!$W$391="X",'PUNCH LIST'!B391,"")</f>
        <v/>
      </c>
      <c r="D934">
        <f>IF('PUNCH LIST'!$W$391="X",'PUNCH LIST'!F391,"")</f>
        <v/>
      </c>
      <c r="E934">
        <f>IF('PUNCH LIST'!$W$391="X",'PUNCH LIST'!C391,"")</f>
        <v/>
      </c>
      <c r="F934">
        <f>IF('PUNCH LIST'!$W$391="X",'PUNCH LIST'!E391,"")</f>
        <v/>
      </c>
      <c r="G934">
        <f>IF('PUNCH LIST'!$W$391="X",'PUNCH LIST'!Q391,"")</f>
        <v/>
      </c>
      <c r="H934">
        <f>IF('PUNCH LIST'!$W$391="X","X","")</f>
        <v/>
      </c>
    </row>
    <row r="935" ht="15" customHeight="1" s="130">
      <c r="A935">
        <f>IF('PUNCH LIST'!$W$392="X","PUNCH LIST","")</f>
        <v/>
      </c>
      <c r="B935">
        <f>IF('PUNCH LIST'!$W$392="X",'PUNCH LIST'!B392,"")</f>
        <v/>
      </c>
      <c r="D935">
        <f>IF('PUNCH LIST'!$W$392="X",'PUNCH LIST'!F392,"")</f>
        <v/>
      </c>
      <c r="E935">
        <f>IF('PUNCH LIST'!$W$392="X",'PUNCH LIST'!C392,"")</f>
        <v/>
      </c>
      <c r="F935">
        <f>IF('PUNCH LIST'!$W$392="X",'PUNCH LIST'!E392,"")</f>
        <v/>
      </c>
      <c r="G935">
        <f>IF('PUNCH LIST'!$W$392="X",'PUNCH LIST'!Q392,"")</f>
        <v/>
      </c>
      <c r="H935">
        <f>IF('PUNCH LIST'!$W$392="X","X","")</f>
        <v/>
      </c>
    </row>
    <row r="936" ht="15" customHeight="1" s="130">
      <c r="A936">
        <f>IF('PUNCH LIST'!$W$393="X","PUNCH LIST","")</f>
        <v/>
      </c>
      <c r="B936">
        <f>IF('PUNCH LIST'!$W$393="X",'PUNCH LIST'!B393,"")</f>
        <v/>
      </c>
      <c r="D936">
        <f>IF('PUNCH LIST'!$W$393="X",'PUNCH LIST'!F393,"")</f>
        <v/>
      </c>
      <c r="E936">
        <f>IF('PUNCH LIST'!$W$393="X",'PUNCH LIST'!C393,"")</f>
        <v/>
      </c>
      <c r="F936">
        <f>IF('PUNCH LIST'!$W$393="X",'PUNCH LIST'!E393,"")</f>
        <v/>
      </c>
      <c r="G936">
        <f>IF('PUNCH LIST'!$W$393="X",'PUNCH LIST'!Q393,"")</f>
        <v/>
      </c>
      <c r="H936">
        <f>IF('PUNCH LIST'!$W$393="X","X","")</f>
        <v/>
      </c>
    </row>
    <row r="937" ht="15" customHeight="1" s="130">
      <c r="A937">
        <f>IF('PUNCH LIST'!$W$394="X","PUNCH LIST","")</f>
        <v/>
      </c>
      <c r="B937">
        <f>IF('PUNCH LIST'!$W$394="X",'PUNCH LIST'!B394,"")</f>
        <v/>
      </c>
      <c r="D937">
        <f>IF('PUNCH LIST'!$W$394="X",'PUNCH LIST'!F394,"")</f>
        <v/>
      </c>
      <c r="E937">
        <f>IF('PUNCH LIST'!$W$394="X",'PUNCH LIST'!C394,"")</f>
        <v/>
      </c>
      <c r="F937">
        <f>IF('PUNCH LIST'!$W$394="X",'PUNCH LIST'!E394,"")</f>
        <v/>
      </c>
      <c r="G937">
        <f>IF('PUNCH LIST'!$W$394="X",'PUNCH LIST'!Q394,"")</f>
        <v/>
      </c>
      <c r="H937">
        <f>IF('PUNCH LIST'!$W$394="X","X","")</f>
        <v/>
      </c>
    </row>
    <row r="938" ht="15" customHeight="1" s="130">
      <c r="A938">
        <f>IF('PUNCH LIST'!$W$395="X","PUNCH LIST","")</f>
        <v/>
      </c>
      <c r="B938">
        <f>IF('PUNCH LIST'!$W$395="X",'PUNCH LIST'!B395,"")</f>
        <v/>
      </c>
      <c r="D938">
        <f>IF('PUNCH LIST'!$W$395="X",'PUNCH LIST'!F395,"")</f>
        <v/>
      </c>
      <c r="E938">
        <f>IF('PUNCH LIST'!$W$395="X",'PUNCH LIST'!C395,"")</f>
        <v/>
      </c>
      <c r="F938">
        <f>IF('PUNCH LIST'!$W$395="X",'PUNCH LIST'!E395,"")</f>
        <v/>
      </c>
      <c r="G938">
        <f>IF('PUNCH LIST'!$W$395="X",'PUNCH LIST'!Q395,"")</f>
        <v/>
      </c>
      <c r="H938">
        <f>IF('PUNCH LIST'!$W$395="X","X","")</f>
        <v/>
      </c>
    </row>
    <row r="939" ht="15" customHeight="1" s="130">
      <c r="A939">
        <f>IF('PUNCH LIST'!$W$396="X","PUNCH LIST","")</f>
        <v/>
      </c>
      <c r="B939">
        <f>IF('PUNCH LIST'!$W$396="X",'PUNCH LIST'!B396,"")</f>
        <v/>
      </c>
      <c r="D939">
        <f>IF('PUNCH LIST'!$W$396="X",'PUNCH LIST'!F396,"")</f>
        <v/>
      </c>
      <c r="E939">
        <f>IF('PUNCH LIST'!$W$396="X",'PUNCH LIST'!C396,"")</f>
        <v/>
      </c>
      <c r="F939">
        <f>IF('PUNCH LIST'!$W$396="X",'PUNCH LIST'!E396,"")</f>
        <v/>
      </c>
      <c r="G939">
        <f>IF('PUNCH LIST'!$W$396="X",'PUNCH LIST'!Q396,"")</f>
        <v/>
      </c>
      <c r="H939">
        <f>IF('PUNCH LIST'!$W$396="X","X","")</f>
        <v/>
      </c>
    </row>
    <row r="940" ht="15" customHeight="1" s="130">
      <c r="A940">
        <f>IF('PUNCH LIST'!$W$397="X","PUNCH LIST","")</f>
        <v/>
      </c>
      <c r="B940">
        <f>IF('PUNCH LIST'!$W$397="X",'PUNCH LIST'!B397,"")</f>
        <v/>
      </c>
      <c r="D940">
        <f>IF('PUNCH LIST'!$W$397="X",'PUNCH LIST'!F397,"")</f>
        <v/>
      </c>
      <c r="E940">
        <f>IF('PUNCH LIST'!$W$397="X",'PUNCH LIST'!C397,"")</f>
        <v/>
      </c>
      <c r="F940">
        <f>IF('PUNCH LIST'!$W$397="X",'PUNCH LIST'!E397,"")</f>
        <v/>
      </c>
      <c r="G940">
        <f>IF('PUNCH LIST'!$W$397="X",'PUNCH LIST'!Q397,"")</f>
        <v/>
      </c>
      <c r="H940">
        <f>IF('PUNCH LIST'!$W$397="X","X","")</f>
        <v/>
      </c>
    </row>
    <row r="941" ht="15" customHeight="1" s="130">
      <c r="A941">
        <f>IF('PUNCH LIST'!$W$398="X","PUNCH LIST","")</f>
        <v/>
      </c>
      <c r="B941">
        <f>IF('PUNCH LIST'!$W$398="X",'PUNCH LIST'!B398,"")</f>
        <v/>
      </c>
      <c r="D941">
        <f>IF('PUNCH LIST'!$W$398="X",'PUNCH LIST'!F398,"")</f>
        <v/>
      </c>
      <c r="E941">
        <f>IF('PUNCH LIST'!$W$398="X",'PUNCH LIST'!C398,"")</f>
        <v/>
      </c>
      <c r="F941">
        <f>IF('PUNCH LIST'!$W$398="X",'PUNCH LIST'!E398,"")</f>
        <v/>
      </c>
      <c r="G941">
        <f>IF('PUNCH LIST'!$W$398="X",'PUNCH LIST'!Q398,"")</f>
        <v/>
      </c>
      <c r="H941">
        <f>IF('PUNCH LIST'!$W$398="X","X","")</f>
        <v/>
      </c>
    </row>
    <row r="942" ht="15" customHeight="1" s="130">
      <c r="A942">
        <f>IF('PUNCH LIST'!$W$399="X","PUNCH LIST","")</f>
        <v/>
      </c>
      <c r="B942">
        <f>IF('PUNCH LIST'!$W$399="X",'PUNCH LIST'!B399,"")</f>
        <v/>
      </c>
      <c r="D942">
        <f>IF('PUNCH LIST'!$W$399="X",'PUNCH LIST'!F399,"")</f>
        <v/>
      </c>
      <c r="E942">
        <f>IF('PUNCH LIST'!$W$399="X",'PUNCH LIST'!C399,"")</f>
        <v/>
      </c>
      <c r="F942">
        <f>IF('PUNCH LIST'!$W$399="X",'PUNCH LIST'!E399,"")</f>
        <v/>
      </c>
      <c r="G942">
        <f>IF('PUNCH LIST'!$W$399="X",'PUNCH LIST'!Q399,"")</f>
        <v/>
      </c>
      <c r="H942">
        <f>IF('PUNCH LIST'!$W$399="X","X","")</f>
        <v/>
      </c>
    </row>
    <row r="943" ht="15" customHeight="1" s="130">
      <c r="A943">
        <f>IF('PUNCH LIST'!$W$400="X","PUNCH LIST","")</f>
        <v/>
      </c>
      <c r="B943">
        <f>IF('PUNCH LIST'!$W$400="X",'PUNCH LIST'!B400,"")</f>
        <v/>
      </c>
      <c r="D943">
        <f>IF('PUNCH LIST'!$W$400="X",'PUNCH LIST'!F400,"")</f>
        <v/>
      </c>
      <c r="E943">
        <f>IF('PUNCH LIST'!$W$400="X",'PUNCH LIST'!C400,"")</f>
        <v/>
      </c>
      <c r="F943">
        <f>IF('PUNCH LIST'!$W$400="X",'PUNCH LIST'!E400,"")</f>
        <v/>
      </c>
      <c r="G943">
        <f>IF('PUNCH LIST'!$W$400="X",'PUNCH LIST'!Q400,"")</f>
        <v/>
      </c>
      <c r="H943">
        <f>IF('PUNCH LIST'!$W$400="X","X","")</f>
        <v/>
      </c>
    </row>
    <row r="944" ht="15" customHeight="1" s="130">
      <c r="A944">
        <f>IF('PUNCH LIST'!$W$401="X","PUNCH LIST","")</f>
        <v/>
      </c>
      <c r="B944">
        <f>IF('PUNCH LIST'!$W$401="X",'PUNCH LIST'!B401,"")</f>
        <v/>
      </c>
      <c r="D944">
        <f>IF('PUNCH LIST'!$W$401="X",'PUNCH LIST'!F401,"")</f>
        <v/>
      </c>
      <c r="E944">
        <f>IF('PUNCH LIST'!$W$401="X",'PUNCH LIST'!C401,"")</f>
        <v/>
      </c>
      <c r="F944">
        <f>IF('PUNCH LIST'!$W$401="X",'PUNCH LIST'!E401,"")</f>
        <v/>
      </c>
      <c r="G944">
        <f>IF('PUNCH LIST'!$W$401="X",'PUNCH LIST'!Q401,"")</f>
        <v/>
      </c>
      <c r="H944">
        <f>IF('PUNCH LIST'!$W$401="X","X","")</f>
        <v/>
      </c>
    </row>
    <row r="945" ht="15" customHeight="1" s="130">
      <c r="A945">
        <f>IF('PUNCH LIST'!$W$402="X","PUNCH LIST","")</f>
        <v/>
      </c>
      <c r="B945">
        <f>IF('PUNCH LIST'!$W$402="X",'PUNCH LIST'!B402,"")</f>
        <v/>
      </c>
      <c r="D945">
        <f>IF('PUNCH LIST'!$W$402="X",'PUNCH LIST'!F402,"")</f>
        <v/>
      </c>
      <c r="E945">
        <f>IF('PUNCH LIST'!$W$402="X",'PUNCH LIST'!C402,"")</f>
        <v/>
      </c>
      <c r="F945">
        <f>IF('PUNCH LIST'!$W$402="X",'PUNCH LIST'!E402,"")</f>
        <v/>
      </c>
      <c r="G945">
        <f>IF('PUNCH LIST'!$W$402="X",'PUNCH LIST'!Q402,"")</f>
        <v/>
      </c>
      <c r="H945">
        <f>IF('PUNCH LIST'!$W$402="X","X","")</f>
        <v/>
      </c>
    </row>
    <row r="946" ht="15" customHeight="1" s="130">
      <c r="A946">
        <f>IF('PUNCH LIST'!$W$403="X","PUNCH LIST","")</f>
        <v/>
      </c>
      <c r="B946">
        <f>IF('PUNCH LIST'!$W$403="X",'PUNCH LIST'!B403,"")</f>
        <v/>
      </c>
      <c r="D946">
        <f>IF('PUNCH LIST'!$W$403="X",'PUNCH LIST'!F403,"")</f>
        <v/>
      </c>
      <c r="E946">
        <f>IF('PUNCH LIST'!$W$403="X",'PUNCH LIST'!C403,"")</f>
        <v/>
      </c>
      <c r="F946">
        <f>IF('PUNCH LIST'!$W$403="X",'PUNCH LIST'!E403,"")</f>
        <v/>
      </c>
      <c r="G946">
        <f>IF('PUNCH LIST'!$W$403="X",'PUNCH LIST'!Q403,"")</f>
        <v/>
      </c>
      <c r="H946">
        <f>IF('PUNCH LIST'!$W$403="X","X","")</f>
        <v/>
      </c>
    </row>
    <row r="947" ht="15" customHeight="1" s="130">
      <c r="A947">
        <f>IF('PUNCH LIST'!$W$404="X","PUNCH LIST","")</f>
        <v/>
      </c>
      <c r="B947">
        <f>IF('PUNCH LIST'!$W$404="X",'PUNCH LIST'!B404,"")</f>
        <v/>
      </c>
      <c r="D947">
        <f>IF('PUNCH LIST'!$W$404="X",'PUNCH LIST'!F404,"")</f>
        <v/>
      </c>
      <c r="E947">
        <f>IF('PUNCH LIST'!$W$404="X",'PUNCH LIST'!C404,"")</f>
        <v/>
      </c>
      <c r="F947">
        <f>IF('PUNCH LIST'!$W$404="X",'PUNCH LIST'!E404,"")</f>
        <v/>
      </c>
      <c r="G947">
        <f>IF('PUNCH LIST'!$W$404="X",'PUNCH LIST'!Q404,"")</f>
        <v/>
      </c>
      <c r="H947">
        <f>IF('PUNCH LIST'!$W$404="X","X","")</f>
        <v/>
      </c>
    </row>
    <row r="948" ht="15" customHeight="1" s="130">
      <c r="A948">
        <f>IF('PUNCH LIST'!$W$405="X","PUNCH LIST","")</f>
        <v/>
      </c>
      <c r="B948">
        <f>IF('PUNCH LIST'!$W$405="X",'PUNCH LIST'!B405,"")</f>
        <v/>
      </c>
      <c r="D948">
        <f>IF('PUNCH LIST'!$W$405="X",'PUNCH LIST'!F405,"")</f>
        <v/>
      </c>
      <c r="E948">
        <f>IF('PUNCH LIST'!$W$405="X",'PUNCH LIST'!C405,"")</f>
        <v/>
      </c>
      <c r="F948">
        <f>IF('PUNCH LIST'!$W$405="X",'PUNCH LIST'!E405,"")</f>
        <v/>
      </c>
      <c r="G948">
        <f>IF('PUNCH LIST'!$W$405="X",'PUNCH LIST'!Q405,"")</f>
        <v/>
      </c>
      <c r="H948">
        <f>IF('PUNCH LIST'!$W$405="X","X","")</f>
        <v/>
      </c>
    </row>
    <row r="949" ht="15" customHeight="1" s="130">
      <c r="A949">
        <f>IF('PUNCH LIST'!$W$406="X","PUNCH LIST","")</f>
        <v/>
      </c>
      <c r="B949">
        <f>IF('PUNCH LIST'!$W$406="X",'PUNCH LIST'!B406,"")</f>
        <v/>
      </c>
      <c r="D949">
        <f>IF('PUNCH LIST'!$W$406="X",'PUNCH LIST'!F406,"")</f>
        <v/>
      </c>
      <c r="E949">
        <f>IF('PUNCH LIST'!$W$406="X",'PUNCH LIST'!C406,"")</f>
        <v/>
      </c>
      <c r="F949">
        <f>IF('PUNCH LIST'!$W$406="X",'PUNCH LIST'!E406,"")</f>
        <v/>
      </c>
      <c r="G949">
        <f>IF('PUNCH LIST'!$W$406="X",'PUNCH LIST'!Q406,"")</f>
        <v/>
      </c>
      <c r="H949">
        <f>IF('PUNCH LIST'!$W$406="X","X","")</f>
        <v/>
      </c>
    </row>
    <row r="950" ht="15" customHeight="1" s="130">
      <c r="A950">
        <f>IF('PUNCH LIST'!$W$407="X","PUNCH LIST","")</f>
        <v/>
      </c>
      <c r="B950">
        <f>IF('PUNCH LIST'!$W$407="X",'PUNCH LIST'!B407,"")</f>
        <v/>
      </c>
      <c r="D950">
        <f>IF('PUNCH LIST'!$W$407="X",'PUNCH LIST'!F407,"")</f>
        <v/>
      </c>
      <c r="E950">
        <f>IF('PUNCH LIST'!$W$407="X",'PUNCH LIST'!C407,"")</f>
        <v/>
      </c>
      <c r="F950">
        <f>IF('PUNCH LIST'!$W$407="X",'PUNCH LIST'!E407,"")</f>
        <v/>
      </c>
      <c r="G950">
        <f>IF('PUNCH LIST'!$W$407="X",'PUNCH LIST'!Q407,"")</f>
        <v/>
      </c>
      <c r="H950">
        <f>IF('PUNCH LIST'!$W$407="X","X","")</f>
        <v/>
      </c>
    </row>
    <row r="951" ht="15" customHeight="1" s="130">
      <c r="A951">
        <f>IF('PUNCH LIST'!$W$408="X","PUNCH LIST","")</f>
        <v/>
      </c>
      <c r="B951">
        <f>IF('PUNCH LIST'!$W$408="X",'PUNCH LIST'!B408,"")</f>
        <v/>
      </c>
      <c r="D951">
        <f>IF('PUNCH LIST'!$W$408="X",'PUNCH LIST'!F408,"")</f>
        <v/>
      </c>
      <c r="E951">
        <f>IF('PUNCH LIST'!$W$408="X",'PUNCH LIST'!C408,"")</f>
        <v/>
      </c>
      <c r="F951">
        <f>IF('PUNCH LIST'!$W$408="X",'PUNCH LIST'!E408,"")</f>
        <v/>
      </c>
      <c r="G951">
        <f>IF('PUNCH LIST'!$W$408="X",'PUNCH LIST'!Q408,"")</f>
        <v/>
      </c>
      <c r="H951">
        <f>IF('PUNCH LIST'!$W$408="X","X","")</f>
        <v/>
      </c>
    </row>
    <row r="952" ht="15" customHeight="1" s="130">
      <c r="A952">
        <f>IF('PUNCH LIST'!$W$409="X","PUNCH LIST","")</f>
        <v/>
      </c>
      <c r="B952">
        <f>IF('PUNCH LIST'!$W$409="X",'PUNCH LIST'!B409,"")</f>
        <v/>
      </c>
      <c r="D952">
        <f>IF('PUNCH LIST'!$W$409="X",'PUNCH LIST'!F409,"")</f>
        <v/>
      </c>
      <c r="E952">
        <f>IF('PUNCH LIST'!$W$409="X",'PUNCH LIST'!C409,"")</f>
        <v/>
      </c>
      <c r="F952">
        <f>IF('PUNCH LIST'!$W$409="X",'PUNCH LIST'!E409,"")</f>
        <v/>
      </c>
      <c r="G952">
        <f>IF('PUNCH LIST'!$W$409="X",'PUNCH LIST'!Q409,"")</f>
        <v/>
      </c>
      <c r="H952">
        <f>IF('PUNCH LIST'!$W$409="X","X","")</f>
        <v/>
      </c>
    </row>
    <row r="953" ht="15" customHeight="1" s="130">
      <c r="A953">
        <f>IF('PUNCH LIST'!$W$410="X","PUNCH LIST","")</f>
        <v/>
      </c>
      <c r="B953">
        <f>IF('PUNCH LIST'!$W$410="X",'PUNCH LIST'!B410,"")</f>
        <v/>
      </c>
      <c r="D953">
        <f>IF('PUNCH LIST'!$W$410="X",'PUNCH LIST'!F410,"")</f>
        <v/>
      </c>
      <c r="E953">
        <f>IF('PUNCH LIST'!$W$410="X",'PUNCH LIST'!C410,"")</f>
        <v/>
      </c>
      <c r="F953">
        <f>IF('PUNCH LIST'!$W$410="X",'PUNCH LIST'!E410,"")</f>
        <v/>
      </c>
      <c r="G953">
        <f>IF('PUNCH LIST'!$W$410="X",'PUNCH LIST'!Q410,"")</f>
        <v/>
      </c>
      <c r="H953">
        <f>IF('PUNCH LIST'!$W$410="X","X","")</f>
        <v/>
      </c>
    </row>
    <row r="954" ht="15" customHeight="1" s="130">
      <c r="A954">
        <f>IF('PUNCH LIST'!$W$411="X","PUNCH LIST","")</f>
        <v/>
      </c>
      <c r="B954">
        <f>IF('PUNCH LIST'!$W$411="X",'PUNCH LIST'!B411,"")</f>
        <v/>
      </c>
      <c r="D954">
        <f>IF('PUNCH LIST'!$W$411="X",'PUNCH LIST'!F411,"")</f>
        <v/>
      </c>
      <c r="E954">
        <f>IF('PUNCH LIST'!$W$411="X",'PUNCH LIST'!C411,"")</f>
        <v/>
      </c>
      <c r="F954">
        <f>IF('PUNCH LIST'!$W$411="X",'PUNCH LIST'!E411,"")</f>
        <v/>
      </c>
      <c r="G954">
        <f>IF('PUNCH LIST'!$W$411="X",'PUNCH LIST'!Q411,"")</f>
        <v/>
      </c>
      <c r="H954">
        <f>IF('PUNCH LIST'!$W$411="X","X","")</f>
        <v/>
      </c>
    </row>
    <row r="955" ht="15" customHeight="1" s="130">
      <c r="A955">
        <f>IF('PUNCH LIST'!$W$412="X","PUNCH LIST","")</f>
        <v/>
      </c>
      <c r="B955">
        <f>IF('PUNCH LIST'!$W$412="X",'PUNCH LIST'!B412,"")</f>
        <v/>
      </c>
      <c r="D955">
        <f>IF('PUNCH LIST'!$W$412="X",'PUNCH LIST'!F412,"")</f>
        <v/>
      </c>
      <c r="E955">
        <f>IF('PUNCH LIST'!$W$412="X",'PUNCH LIST'!C412,"")</f>
        <v/>
      </c>
      <c r="F955">
        <f>IF('PUNCH LIST'!$W$412="X",'PUNCH LIST'!E412,"")</f>
        <v/>
      </c>
      <c r="G955">
        <f>IF('PUNCH LIST'!$W$412="X",'PUNCH LIST'!Q412,"")</f>
        <v/>
      </c>
      <c r="H955">
        <f>IF('PUNCH LIST'!$W$412="X","X","")</f>
        <v/>
      </c>
    </row>
    <row r="956" ht="15" customHeight="1" s="130">
      <c r="A956">
        <f>IF('PUNCH LIST'!$W$413="X","PUNCH LIST","")</f>
        <v/>
      </c>
      <c r="B956">
        <f>IF('PUNCH LIST'!$W$413="X",'PUNCH LIST'!B413,"")</f>
        <v/>
      </c>
      <c r="D956">
        <f>IF('PUNCH LIST'!$W$413="X",'PUNCH LIST'!F413,"")</f>
        <v/>
      </c>
      <c r="E956">
        <f>IF('PUNCH LIST'!$W$413="X",'PUNCH LIST'!C413,"")</f>
        <v/>
      </c>
      <c r="F956">
        <f>IF('PUNCH LIST'!$W$413="X",'PUNCH LIST'!E413,"")</f>
        <v/>
      </c>
      <c r="G956">
        <f>IF('PUNCH LIST'!$W$413="X",'PUNCH LIST'!Q413,"")</f>
        <v/>
      </c>
      <c r="H956">
        <f>IF('PUNCH LIST'!$W$413="X","X","")</f>
        <v/>
      </c>
    </row>
    <row r="957" ht="15" customHeight="1" s="130">
      <c r="A957">
        <f>IF('PUNCH LIST'!$W$414="X","PUNCH LIST","")</f>
        <v/>
      </c>
      <c r="B957">
        <f>IF('PUNCH LIST'!$W$414="X",'PUNCH LIST'!B414,"")</f>
        <v/>
      </c>
      <c r="D957">
        <f>IF('PUNCH LIST'!$W$414="X",'PUNCH LIST'!F414,"")</f>
        <v/>
      </c>
      <c r="E957">
        <f>IF('PUNCH LIST'!$W$414="X",'PUNCH LIST'!C414,"")</f>
        <v/>
      </c>
      <c r="F957">
        <f>IF('PUNCH LIST'!$W$414="X",'PUNCH LIST'!E414,"")</f>
        <v/>
      </c>
      <c r="G957">
        <f>IF('PUNCH LIST'!$W$414="X",'PUNCH LIST'!Q414,"")</f>
        <v/>
      </c>
      <c r="H957">
        <f>IF('PUNCH LIST'!$W$414="X","X","")</f>
        <v/>
      </c>
    </row>
    <row r="958" ht="15" customHeight="1" s="130">
      <c r="A958">
        <f>IF('PUNCH LIST'!$W$415="X","PUNCH LIST","")</f>
        <v/>
      </c>
      <c r="B958">
        <f>IF('PUNCH LIST'!$W$415="X",'PUNCH LIST'!B415,"")</f>
        <v/>
      </c>
      <c r="D958">
        <f>IF('PUNCH LIST'!$W$415="X",'PUNCH LIST'!F415,"")</f>
        <v/>
      </c>
      <c r="E958">
        <f>IF('PUNCH LIST'!$W$415="X",'PUNCH LIST'!C415,"")</f>
        <v/>
      </c>
      <c r="F958">
        <f>IF('PUNCH LIST'!$W$415="X",'PUNCH LIST'!E415,"")</f>
        <v/>
      </c>
      <c r="G958">
        <f>IF('PUNCH LIST'!$W$415="X",'PUNCH LIST'!Q415,"")</f>
        <v/>
      </c>
      <c r="H958">
        <f>IF('PUNCH LIST'!$W$415="X","X","")</f>
        <v/>
      </c>
    </row>
    <row r="959" ht="15" customHeight="1" s="130">
      <c r="A959">
        <f>IF('PUNCH LIST'!$W$416="X","PUNCH LIST","")</f>
        <v/>
      </c>
      <c r="B959">
        <f>IF('PUNCH LIST'!$W$416="X",'PUNCH LIST'!B416,"")</f>
        <v/>
      </c>
      <c r="D959">
        <f>IF('PUNCH LIST'!$W$416="X",'PUNCH LIST'!F416,"")</f>
        <v/>
      </c>
      <c r="E959">
        <f>IF('PUNCH LIST'!$W$416="X",'PUNCH LIST'!C416,"")</f>
        <v/>
      </c>
      <c r="F959">
        <f>IF('PUNCH LIST'!$W$416="X",'PUNCH LIST'!E416,"")</f>
        <v/>
      </c>
      <c r="G959">
        <f>IF('PUNCH LIST'!$W$416="X",'PUNCH LIST'!Q416,"")</f>
        <v/>
      </c>
      <c r="H959">
        <f>IF('PUNCH LIST'!$W$416="X","X","")</f>
        <v/>
      </c>
    </row>
    <row r="960" ht="15" customHeight="1" s="130">
      <c r="A960">
        <f>IF('PUNCH LIST'!$W$417="X","PUNCH LIST","")</f>
        <v/>
      </c>
      <c r="B960">
        <f>IF('PUNCH LIST'!$W$417="X",'PUNCH LIST'!B417,"")</f>
        <v/>
      </c>
      <c r="D960">
        <f>IF('PUNCH LIST'!$W$417="X",'PUNCH LIST'!F417,"")</f>
        <v/>
      </c>
      <c r="E960">
        <f>IF('PUNCH LIST'!$W$417="X",'PUNCH LIST'!C417,"")</f>
        <v/>
      </c>
      <c r="F960">
        <f>IF('PUNCH LIST'!$W$417="X",'PUNCH LIST'!E417,"")</f>
        <v/>
      </c>
      <c r="G960">
        <f>IF('PUNCH LIST'!$W$417="X",'PUNCH LIST'!Q417,"")</f>
        <v/>
      </c>
      <c r="H960">
        <f>IF('PUNCH LIST'!$W$417="X","X","")</f>
        <v/>
      </c>
    </row>
    <row r="961" ht="15" customHeight="1" s="130">
      <c r="A961">
        <f>IF('PUNCH LIST'!$W$418="X","PUNCH LIST","")</f>
        <v/>
      </c>
      <c r="B961">
        <f>IF('PUNCH LIST'!$W$418="X",'PUNCH LIST'!B418,"")</f>
        <v/>
      </c>
      <c r="D961">
        <f>IF('PUNCH LIST'!$W$418="X",'PUNCH LIST'!F418,"")</f>
        <v/>
      </c>
      <c r="E961">
        <f>IF('PUNCH LIST'!$W$418="X",'PUNCH LIST'!C418,"")</f>
        <v/>
      </c>
      <c r="F961">
        <f>IF('PUNCH LIST'!$W$418="X",'PUNCH LIST'!E418,"")</f>
        <v/>
      </c>
      <c r="G961">
        <f>IF('PUNCH LIST'!$W$418="X",'PUNCH LIST'!Q418,"")</f>
        <v/>
      </c>
      <c r="H961">
        <f>IF('PUNCH LIST'!$W$418="X","X","")</f>
        <v/>
      </c>
    </row>
    <row r="962" ht="15" customHeight="1" s="130">
      <c r="A962">
        <f>IF('PUNCH LIST'!$W$419="X","PUNCH LIST","")</f>
        <v/>
      </c>
      <c r="B962">
        <f>IF('PUNCH LIST'!$W$419="X",'PUNCH LIST'!B419,"")</f>
        <v/>
      </c>
      <c r="D962">
        <f>IF('PUNCH LIST'!$W$419="X",'PUNCH LIST'!F419,"")</f>
        <v/>
      </c>
      <c r="E962">
        <f>IF('PUNCH LIST'!$W$419="X",'PUNCH LIST'!C419,"")</f>
        <v/>
      </c>
      <c r="F962">
        <f>IF('PUNCH LIST'!$W$419="X",'PUNCH LIST'!E419,"")</f>
        <v/>
      </c>
      <c r="G962">
        <f>IF('PUNCH LIST'!$W$419="X",'PUNCH LIST'!Q419,"")</f>
        <v/>
      </c>
      <c r="H962">
        <f>IF('PUNCH LIST'!$W$419="X","X","")</f>
        <v/>
      </c>
    </row>
    <row r="963" ht="15" customHeight="1" s="130">
      <c r="A963">
        <f>IF('PUNCH LIST'!$W$420="X","PUNCH LIST","")</f>
        <v/>
      </c>
      <c r="B963">
        <f>IF('PUNCH LIST'!$W$420="X",'PUNCH LIST'!B420,"")</f>
        <v/>
      </c>
      <c r="D963">
        <f>IF('PUNCH LIST'!$W$420="X",'PUNCH LIST'!F420,"")</f>
        <v/>
      </c>
      <c r="E963">
        <f>IF('PUNCH LIST'!$W$420="X",'PUNCH LIST'!C420,"")</f>
        <v/>
      </c>
      <c r="F963">
        <f>IF('PUNCH LIST'!$W$420="X",'PUNCH LIST'!E420,"")</f>
        <v/>
      </c>
      <c r="G963">
        <f>IF('PUNCH LIST'!$W$420="X",'PUNCH LIST'!Q420,"")</f>
        <v/>
      </c>
      <c r="H963">
        <f>IF('PUNCH LIST'!$W$420="X","X","")</f>
        <v/>
      </c>
    </row>
    <row r="964" ht="15" customHeight="1" s="130">
      <c r="A964">
        <f>IF('PUNCH LIST'!$W$421="X","PUNCH LIST","")</f>
        <v/>
      </c>
      <c r="B964">
        <f>IF('PUNCH LIST'!$W$421="X",'PUNCH LIST'!B421,"")</f>
        <v/>
      </c>
      <c r="D964">
        <f>IF('PUNCH LIST'!$W$421="X",'PUNCH LIST'!F421,"")</f>
        <v/>
      </c>
      <c r="E964">
        <f>IF('PUNCH LIST'!$W$421="X",'PUNCH LIST'!C421,"")</f>
        <v/>
      </c>
      <c r="F964">
        <f>IF('PUNCH LIST'!$W$421="X",'PUNCH LIST'!E421,"")</f>
        <v/>
      </c>
      <c r="G964">
        <f>IF('PUNCH LIST'!$W$421="X",'PUNCH LIST'!Q421,"")</f>
        <v/>
      </c>
      <c r="H964">
        <f>IF('PUNCH LIST'!$W$421="X","X","")</f>
        <v/>
      </c>
    </row>
    <row r="965" ht="15" customHeight="1" s="130">
      <c r="A965">
        <f>IF('PUNCH LIST'!$W$422="X","PUNCH LIST","")</f>
        <v/>
      </c>
      <c r="B965">
        <f>IF('PUNCH LIST'!$W$422="X",'PUNCH LIST'!B422,"")</f>
        <v/>
      </c>
      <c r="D965">
        <f>IF('PUNCH LIST'!$W$422="X",'PUNCH LIST'!F422,"")</f>
        <v/>
      </c>
      <c r="E965">
        <f>IF('PUNCH LIST'!$W$422="X",'PUNCH LIST'!C422,"")</f>
        <v/>
      </c>
      <c r="F965">
        <f>IF('PUNCH LIST'!$W$422="X",'PUNCH LIST'!E422,"")</f>
        <v/>
      </c>
      <c r="G965">
        <f>IF('PUNCH LIST'!$W$422="X",'PUNCH LIST'!Q422,"")</f>
        <v/>
      </c>
      <c r="H965">
        <f>IF('PUNCH LIST'!$W$422="X","X","")</f>
        <v/>
      </c>
    </row>
    <row r="966" ht="15" customHeight="1" s="130">
      <c r="A966">
        <f>IF('PUNCH LIST'!$W$423="X","PUNCH LIST","")</f>
        <v/>
      </c>
      <c r="B966">
        <f>IF('PUNCH LIST'!$W$423="X",'PUNCH LIST'!B423,"")</f>
        <v/>
      </c>
      <c r="D966">
        <f>IF('PUNCH LIST'!$W$423="X",'PUNCH LIST'!F423,"")</f>
        <v/>
      </c>
      <c r="E966">
        <f>IF('PUNCH LIST'!$W$423="X",'PUNCH LIST'!C423,"")</f>
        <v/>
      </c>
      <c r="F966">
        <f>IF('PUNCH LIST'!$W$423="X",'PUNCH LIST'!E423,"")</f>
        <v/>
      </c>
      <c r="G966">
        <f>IF('PUNCH LIST'!$W$423="X",'PUNCH LIST'!Q423,"")</f>
        <v/>
      </c>
      <c r="H966">
        <f>IF('PUNCH LIST'!$W$423="X","X","")</f>
        <v/>
      </c>
    </row>
    <row r="967" ht="15" customHeight="1" s="130">
      <c r="A967">
        <f>IF('PUNCH LIST'!$W$424="X","PUNCH LIST","")</f>
        <v/>
      </c>
      <c r="B967">
        <f>IF('PUNCH LIST'!$W$424="X",'PUNCH LIST'!B424,"")</f>
        <v/>
      </c>
      <c r="D967">
        <f>IF('PUNCH LIST'!$W$424="X",'PUNCH LIST'!F424,"")</f>
        <v/>
      </c>
      <c r="E967">
        <f>IF('PUNCH LIST'!$W$424="X",'PUNCH LIST'!C424,"")</f>
        <v/>
      </c>
      <c r="F967">
        <f>IF('PUNCH LIST'!$W$424="X",'PUNCH LIST'!E424,"")</f>
        <v/>
      </c>
      <c r="G967">
        <f>IF('PUNCH LIST'!$W$424="X",'PUNCH LIST'!Q424,"")</f>
        <v/>
      </c>
      <c r="H967">
        <f>IF('PUNCH LIST'!$W$424="X","X","")</f>
        <v/>
      </c>
    </row>
    <row r="968" ht="15" customHeight="1" s="130">
      <c r="A968">
        <f>IF('PUNCH LIST'!$W$425="X","PUNCH LIST","")</f>
        <v/>
      </c>
      <c r="B968">
        <f>IF('PUNCH LIST'!$W$425="X",'PUNCH LIST'!B425,"")</f>
        <v/>
      </c>
      <c r="D968">
        <f>IF('PUNCH LIST'!$W$425="X",'PUNCH LIST'!F425,"")</f>
        <v/>
      </c>
      <c r="E968">
        <f>IF('PUNCH LIST'!$W$425="X",'PUNCH LIST'!C425,"")</f>
        <v/>
      </c>
      <c r="F968">
        <f>IF('PUNCH LIST'!$W$425="X",'PUNCH LIST'!E425,"")</f>
        <v/>
      </c>
      <c r="G968">
        <f>IF('PUNCH LIST'!$W$425="X",'PUNCH LIST'!Q425,"")</f>
        <v/>
      </c>
      <c r="H968">
        <f>IF('PUNCH LIST'!$W$425="X","X","")</f>
        <v/>
      </c>
    </row>
    <row r="969" ht="15" customHeight="1" s="130">
      <c r="A969">
        <f>IF('PUNCH LIST'!$W$426="X","PUNCH LIST","")</f>
        <v/>
      </c>
      <c r="B969">
        <f>IF('PUNCH LIST'!$W$426="X",'PUNCH LIST'!B426,"")</f>
        <v/>
      </c>
      <c r="D969">
        <f>IF('PUNCH LIST'!$W$426="X",'PUNCH LIST'!F426,"")</f>
        <v/>
      </c>
      <c r="E969">
        <f>IF('PUNCH LIST'!$W$426="X",'PUNCH LIST'!C426,"")</f>
        <v/>
      </c>
      <c r="F969">
        <f>IF('PUNCH LIST'!$W$426="X",'PUNCH LIST'!E426,"")</f>
        <v/>
      </c>
      <c r="G969">
        <f>IF('PUNCH LIST'!$W$426="X",'PUNCH LIST'!Q426,"")</f>
        <v/>
      </c>
      <c r="H969">
        <f>IF('PUNCH LIST'!$W$426="X","X","")</f>
        <v/>
      </c>
    </row>
    <row r="970" ht="15" customHeight="1" s="130">
      <c r="A970">
        <f>IF('PUNCH LIST'!$W$427="X","PUNCH LIST","")</f>
        <v/>
      </c>
      <c r="B970">
        <f>IF('PUNCH LIST'!$W$427="X",'PUNCH LIST'!B427,"")</f>
        <v/>
      </c>
      <c r="D970">
        <f>IF('PUNCH LIST'!$W$427="X",'PUNCH LIST'!F427,"")</f>
        <v/>
      </c>
      <c r="E970">
        <f>IF('PUNCH LIST'!$W$427="X",'PUNCH LIST'!C427,"")</f>
        <v/>
      </c>
      <c r="F970">
        <f>IF('PUNCH LIST'!$W$427="X",'PUNCH LIST'!E427,"")</f>
        <v/>
      </c>
      <c r="G970">
        <f>IF('PUNCH LIST'!$W$427="X",'PUNCH LIST'!Q427,"")</f>
        <v/>
      </c>
      <c r="H970">
        <f>IF('PUNCH LIST'!$W$427="X","X","")</f>
        <v/>
      </c>
    </row>
    <row r="971" ht="15" customHeight="1" s="130">
      <c r="A971">
        <f>IF('PUNCH LIST'!$W$428="X","PUNCH LIST","")</f>
        <v/>
      </c>
      <c r="B971">
        <f>IF('PUNCH LIST'!$W$428="X",'PUNCH LIST'!B428,"")</f>
        <v/>
      </c>
      <c r="D971">
        <f>IF('PUNCH LIST'!$W$428="X",'PUNCH LIST'!F428,"")</f>
        <v/>
      </c>
      <c r="E971">
        <f>IF('PUNCH LIST'!$W$428="X",'PUNCH LIST'!C428,"")</f>
        <v/>
      </c>
      <c r="F971">
        <f>IF('PUNCH LIST'!$W$428="X",'PUNCH LIST'!E428,"")</f>
        <v/>
      </c>
      <c r="G971">
        <f>IF('PUNCH LIST'!$W$428="X",'PUNCH LIST'!Q428,"")</f>
        <v/>
      </c>
      <c r="H971">
        <f>IF('PUNCH LIST'!$W$428="X","X","")</f>
        <v/>
      </c>
    </row>
    <row r="972" ht="15" customHeight="1" s="130">
      <c r="A972">
        <f>IF('PUNCH LIST'!$W$429="X","PUNCH LIST","")</f>
        <v/>
      </c>
      <c r="B972">
        <f>IF('PUNCH LIST'!$W$429="X",'PUNCH LIST'!B429,"")</f>
        <v/>
      </c>
      <c r="D972">
        <f>IF('PUNCH LIST'!$W$429="X",'PUNCH LIST'!F429,"")</f>
        <v/>
      </c>
      <c r="E972">
        <f>IF('PUNCH LIST'!$W$429="X",'PUNCH LIST'!C429,"")</f>
        <v/>
      </c>
      <c r="F972">
        <f>IF('PUNCH LIST'!$W$429="X",'PUNCH LIST'!E429,"")</f>
        <v/>
      </c>
      <c r="G972">
        <f>IF('PUNCH LIST'!$W$429="X",'PUNCH LIST'!Q429,"")</f>
        <v/>
      </c>
      <c r="H972">
        <f>IF('PUNCH LIST'!$W$429="X","X","")</f>
        <v/>
      </c>
    </row>
    <row r="973" ht="15" customHeight="1" s="130">
      <c r="A973">
        <f>IF('PUNCH LIST'!$W$430="X","PUNCH LIST","")</f>
        <v/>
      </c>
      <c r="B973">
        <f>IF('PUNCH LIST'!$W$430="X",'PUNCH LIST'!B430,"")</f>
        <v/>
      </c>
      <c r="D973">
        <f>IF('PUNCH LIST'!$W$430="X",'PUNCH LIST'!F430,"")</f>
        <v/>
      </c>
      <c r="E973">
        <f>IF('PUNCH LIST'!$W$430="X",'PUNCH LIST'!C430,"")</f>
        <v/>
      </c>
      <c r="F973">
        <f>IF('PUNCH LIST'!$W$430="X",'PUNCH LIST'!E430,"")</f>
        <v/>
      </c>
      <c r="G973">
        <f>IF('PUNCH LIST'!$W$430="X",'PUNCH LIST'!Q430,"")</f>
        <v/>
      </c>
      <c r="H973">
        <f>IF('PUNCH LIST'!$W$430="X","X","")</f>
        <v/>
      </c>
    </row>
    <row r="974" ht="15" customHeight="1" s="130">
      <c r="A974">
        <f>IF('PUNCH LIST'!$W$431="X","PUNCH LIST","")</f>
        <v/>
      </c>
      <c r="B974">
        <f>IF('PUNCH LIST'!$W$431="X",'PUNCH LIST'!B431,"")</f>
        <v/>
      </c>
      <c r="D974">
        <f>IF('PUNCH LIST'!$W$431="X",'PUNCH LIST'!F431,"")</f>
        <v/>
      </c>
      <c r="E974">
        <f>IF('PUNCH LIST'!$W$431="X",'PUNCH LIST'!C431,"")</f>
        <v/>
      </c>
      <c r="F974">
        <f>IF('PUNCH LIST'!$W$431="X",'PUNCH LIST'!E431,"")</f>
        <v/>
      </c>
      <c r="G974">
        <f>IF('PUNCH LIST'!$W$431="X",'PUNCH LIST'!Q431,"")</f>
        <v/>
      </c>
      <c r="H974">
        <f>IF('PUNCH LIST'!$W$431="X","X","")</f>
        <v/>
      </c>
    </row>
    <row r="975" ht="15" customHeight="1" s="130">
      <c r="A975">
        <f>IF('PUNCH LIST'!$W$432="X","PUNCH LIST","")</f>
        <v/>
      </c>
      <c r="B975">
        <f>IF('PUNCH LIST'!$W$432="X",'PUNCH LIST'!B432,"")</f>
        <v/>
      </c>
      <c r="D975">
        <f>IF('PUNCH LIST'!$W$432="X",'PUNCH LIST'!F432,"")</f>
        <v/>
      </c>
      <c r="E975">
        <f>IF('PUNCH LIST'!$W$432="X",'PUNCH LIST'!C432,"")</f>
        <v/>
      </c>
      <c r="F975">
        <f>IF('PUNCH LIST'!$W$432="X",'PUNCH LIST'!E432,"")</f>
        <v/>
      </c>
      <c r="G975">
        <f>IF('PUNCH LIST'!$W$432="X",'PUNCH LIST'!Q432,"")</f>
        <v/>
      </c>
      <c r="H975">
        <f>IF('PUNCH LIST'!$W$432="X","X","")</f>
        <v/>
      </c>
    </row>
    <row r="976" ht="15" customHeight="1" s="130">
      <c r="A976">
        <f>IF('PUNCH LIST'!$W$433="X","PUNCH LIST","")</f>
        <v/>
      </c>
      <c r="B976">
        <f>IF('PUNCH LIST'!$W$433="X",'PUNCH LIST'!B433,"")</f>
        <v/>
      </c>
      <c r="D976">
        <f>IF('PUNCH LIST'!$W$433="X",'PUNCH LIST'!F433,"")</f>
        <v/>
      </c>
      <c r="E976">
        <f>IF('PUNCH LIST'!$W$433="X",'PUNCH LIST'!C433,"")</f>
        <v/>
      </c>
      <c r="F976">
        <f>IF('PUNCH LIST'!$W$433="X",'PUNCH LIST'!E433,"")</f>
        <v/>
      </c>
      <c r="G976">
        <f>IF('PUNCH LIST'!$W$433="X",'PUNCH LIST'!Q433,"")</f>
        <v/>
      </c>
      <c r="H976">
        <f>IF('PUNCH LIST'!$W$433="X","X","")</f>
        <v/>
      </c>
    </row>
    <row r="977" ht="15" customHeight="1" s="130">
      <c r="A977">
        <f>IF('PUNCH LIST'!$W$434="X","PUNCH LIST","")</f>
        <v/>
      </c>
      <c r="B977">
        <f>IF('PUNCH LIST'!$W$434="X",'PUNCH LIST'!B434,"")</f>
        <v/>
      </c>
      <c r="D977">
        <f>IF('PUNCH LIST'!$W$434="X",'PUNCH LIST'!F434,"")</f>
        <v/>
      </c>
      <c r="E977">
        <f>IF('PUNCH LIST'!$W$434="X",'PUNCH LIST'!C434,"")</f>
        <v/>
      </c>
      <c r="F977">
        <f>IF('PUNCH LIST'!$W$434="X",'PUNCH LIST'!E434,"")</f>
        <v/>
      </c>
      <c r="G977">
        <f>IF('PUNCH LIST'!$W$434="X",'PUNCH LIST'!Q434,"")</f>
        <v/>
      </c>
      <c r="H977">
        <f>IF('PUNCH LIST'!$W$434="X","X","")</f>
        <v/>
      </c>
    </row>
    <row r="978" ht="15" customHeight="1" s="130">
      <c r="A978">
        <f>IF('PUNCH LIST'!$W$435="X","PUNCH LIST","")</f>
        <v/>
      </c>
      <c r="B978">
        <f>IF('PUNCH LIST'!$W$435="X",'PUNCH LIST'!B435,"")</f>
        <v/>
      </c>
      <c r="D978">
        <f>IF('PUNCH LIST'!$W$435="X",'PUNCH LIST'!F435,"")</f>
        <v/>
      </c>
      <c r="E978">
        <f>IF('PUNCH LIST'!$W$435="X",'PUNCH LIST'!C435,"")</f>
        <v/>
      </c>
      <c r="F978">
        <f>IF('PUNCH LIST'!$W$435="X",'PUNCH LIST'!E435,"")</f>
        <v/>
      </c>
      <c r="G978">
        <f>IF('PUNCH LIST'!$W$435="X",'PUNCH LIST'!Q435,"")</f>
        <v/>
      </c>
      <c r="H978">
        <f>IF('PUNCH LIST'!$W$435="X","X","")</f>
        <v/>
      </c>
    </row>
    <row r="979" ht="15" customHeight="1" s="130">
      <c r="A979">
        <f>IF('PUNCH LIST'!$W$436="X","PUNCH LIST","")</f>
        <v/>
      </c>
      <c r="B979">
        <f>IF('PUNCH LIST'!$W$436="X",'PUNCH LIST'!B436,"")</f>
        <v/>
      </c>
      <c r="D979">
        <f>IF('PUNCH LIST'!$W$436="X",'PUNCH LIST'!F436,"")</f>
        <v/>
      </c>
      <c r="E979">
        <f>IF('PUNCH LIST'!$W$436="X",'PUNCH LIST'!C436,"")</f>
        <v/>
      </c>
      <c r="F979">
        <f>IF('PUNCH LIST'!$W$436="X",'PUNCH LIST'!E436,"")</f>
        <v/>
      </c>
      <c r="G979">
        <f>IF('PUNCH LIST'!$W$436="X",'PUNCH LIST'!Q436,"")</f>
        <v/>
      </c>
      <c r="H979">
        <f>IF('PUNCH LIST'!$W$436="X","X","")</f>
        <v/>
      </c>
    </row>
    <row r="980" ht="15" customHeight="1" s="130">
      <c r="A980">
        <f>IF('PUNCH LIST'!$W$437="X","PUNCH LIST","")</f>
        <v/>
      </c>
      <c r="B980">
        <f>IF('PUNCH LIST'!$W$437="X",'PUNCH LIST'!B437,"")</f>
        <v/>
      </c>
      <c r="D980">
        <f>IF('PUNCH LIST'!$W$437="X",'PUNCH LIST'!F437,"")</f>
        <v/>
      </c>
      <c r="E980">
        <f>IF('PUNCH LIST'!$W$437="X",'PUNCH LIST'!C437,"")</f>
        <v/>
      </c>
      <c r="F980">
        <f>IF('PUNCH LIST'!$W$437="X",'PUNCH LIST'!E437,"")</f>
        <v/>
      </c>
      <c r="G980">
        <f>IF('PUNCH LIST'!$W$437="X",'PUNCH LIST'!Q437,"")</f>
        <v/>
      </c>
      <c r="H980">
        <f>IF('PUNCH LIST'!$W$437="X","X","")</f>
        <v/>
      </c>
    </row>
    <row r="981" ht="15" customHeight="1" s="130">
      <c r="A981">
        <f>IF('PUNCH LIST'!$W$438="X","PUNCH LIST","")</f>
        <v/>
      </c>
      <c r="B981">
        <f>IF('PUNCH LIST'!$W$438="X",'PUNCH LIST'!B438,"")</f>
        <v/>
      </c>
      <c r="D981">
        <f>IF('PUNCH LIST'!$W$438="X",'PUNCH LIST'!F438,"")</f>
        <v/>
      </c>
      <c r="E981">
        <f>IF('PUNCH LIST'!$W$438="X",'PUNCH LIST'!C438,"")</f>
        <v/>
      </c>
      <c r="F981">
        <f>IF('PUNCH LIST'!$W$438="X",'PUNCH LIST'!E438,"")</f>
        <v/>
      </c>
      <c r="G981">
        <f>IF('PUNCH LIST'!$W$438="X",'PUNCH LIST'!Q438,"")</f>
        <v/>
      </c>
      <c r="H981">
        <f>IF('PUNCH LIST'!$W$438="X","X","")</f>
        <v/>
      </c>
    </row>
    <row r="982" ht="15" customHeight="1" s="130">
      <c r="A982">
        <f>IF('PUNCH LIST'!$W$439="X","PUNCH LIST","")</f>
        <v/>
      </c>
      <c r="B982">
        <f>IF('PUNCH LIST'!$W$439="X",'PUNCH LIST'!B439,"")</f>
        <v/>
      </c>
      <c r="D982">
        <f>IF('PUNCH LIST'!$W$439="X",'PUNCH LIST'!F439,"")</f>
        <v/>
      </c>
      <c r="E982">
        <f>IF('PUNCH LIST'!$W$439="X",'PUNCH LIST'!C439,"")</f>
        <v/>
      </c>
      <c r="F982">
        <f>IF('PUNCH LIST'!$W$439="X",'PUNCH LIST'!E439,"")</f>
        <v/>
      </c>
      <c r="G982">
        <f>IF('PUNCH LIST'!$W$439="X",'PUNCH LIST'!Q439,"")</f>
        <v/>
      </c>
      <c r="H982">
        <f>IF('PUNCH LIST'!$W$439="X","X","")</f>
        <v/>
      </c>
    </row>
    <row r="983" ht="15" customHeight="1" s="130">
      <c r="A983">
        <f>IF('PUNCH LIST'!$W$440="X","PUNCH LIST","")</f>
        <v/>
      </c>
      <c r="B983">
        <f>IF('PUNCH LIST'!$W$440="X",'PUNCH LIST'!B440,"")</f>
        <v/>
      </c>
      <c r="D983">
        <f>IF('PUNCH LIST'!$W$440="X",'PUNCH LIST'!F440,"")</f>
        <v/>
      </c>
      <c r="E983">
        <f>IF('PUNCH LIST'!$W$440="X",'PUNCH LIST'!C440,"")</f>
        <v/>
      </c>
      <c r="F983">
        <f>IF('PUNCH LIST'!$W$440="X",'PUNCH LIST'!E440,"")</f>
        <v/>
      </c>
      <c r="G983">
        <f>IF('PUNCH LIST'!$W$440="X",'PUNCH LIST'!Q440,"")</f>
        <v/>
      </c>
      <c r="H983">
        <f>IF('PUNCH LIST'!$W$440="X","X","")</f>
        <v/>
      </c>
    </row>
    <row r="984" ht="15" customHeight="1" s="130">
      <c r="A984">
        <f>IF('PUNCH LIST'!$W$441="X","PUNCH LIST","")</f>
        <v/>
      </c>
      <c r="B984">
        <f>IF('PUNCH LIST'!$W$441="X",'PUNCH LIST'!B441,"")</f>
        <v/>
      </c>
      <c r="D984">
        <f>IF('PUNCH LIST'!$W$441="X",'PUNCH LIST'!F441,"")</f>
        <v/>
      </c>
      <c r="E984">
        <f>IF('PUNCH LIST'!$W$441="X",'PUNCH LIST'!C441,"")</f>
        <v/>
      </c>
      <c r="F984">
        <f>IF('PUNCH LIST'!$W$441="X",'PUNCH LIST'!E441,"")</f>
        <v/>
      </c>
      <c r="G984">
        <f>IF('PUNCH LIST'!$W$441="X",'PUNCH LIST'!Q441,"")</f>
        <v/>
      </c>
      <c r="H984">
        <f>IF('PUNCH LIST'!$W$441="X","X","")</f>
        <v/>
      </c>
    </row>
    <row r="985" ht="15" customHeight="1" s="130">
      <c r="A985">
        <f>IF('PUNCH LIST'!$W$442="X","PUNCH LIST","")</f>
        <v/>
      </c>
      <c r="B985">
        <f>IF('PUNCH LIST'!$W$442="X",'PUNCH LIST'!B442,"")</f>
        <v/>
      </c>
      <c r="D985">
        <f>IF('PUNCH LIST'!$W$442="X",'PUNCH LIST'!F442,"")</f>
        <v/>
      </c>
      <c r="E985">
        <f>IF('PUNCH LIST'!$W$442="X",'PUNCH LIST'!C442,"")</f>
        <v/>
      </c>
      <c r="F985">
        <f>IF('PUNCH LIST'!$W$442="X",'PUNCH LIST'!E442,"")</f>
        <v/>
      </c>
      <c r="G985">
        <f>IF('PUNCH LIST'!$W$442="X",'PUNCH LIST'!Q442,"")</f>
        <v/>
      </c>
      <c r="H985">
        <f>IF('PUNCH LIST'!$W$442="X","X","")</f>
        <v/>
      </c>
    </row>
    <row r="986" ht="15" customHeight="1" s="130">
      <c r="A986">
        <f>IF('PUNCH LIST'!$W$443="X","PUNCH LIST","")</f>
        <v/>
      </c>
      <c r="B986">
        <f>IF('PUNCH LIST'!$W$443="X",'PUNCH LIST'!B443,"")</f>
        <v/>
      </c>
      <c r="D986">
        <f>IF('PUNCH LIST'!$W$443="X",'PUNCH LIST'!F443,"")</f>
        <v/>
      </c>
      <c r="E986">
        <f>IF('PUNCH LIST'!$W$443="X",'PUNCH LIST'!C443,"")</f>
        <v/>
      </c>
      <c r="F986">
        <f>IF('PUNCH LIST'!$W$443="X",'PUNCH LIST'!E443,"")</f>
        <v/>
      </c>
      <c r="G986">
        <f>IF('PUNCH LIST'!$W$443="X",'PUNCH LIST'!Q443,"")</f>
        <v/>
      </c>
      <c r="H986">
        <f>IF('PUNCH LIST'!$W$443="X","X","")</f>
        <v/>
      </c>
    </row>
    <row r="987" ht="15" customHeight="1" s="130">
      <c r="A987">
        <f>IF('PUNCH LIST'!$W$444="X","PUNCH LIST","")</f>
        <v/>
      </c>
      <c r="B987">
        <f>IF('PUNCH LIST'!$W$444="X",'PUNCH LIST'!B444,"")</f>
        <v/>
      </c>
      <c r="D987">
        <f>IF('PUNCH LIST'!$W$444="X",'PUNCH LIST'!F444,"")</f>
        <v/>
      </c>
      <c r="E987">
        <f>IF('PUNCH LIST'!$W$444="X",'PUNCH LIST'!C444,"")</f>
        <v/>
      </c>
      <c r="F987">
        <f>IF('PUNCH LIST'!$W$444="X",'PUNCH LIST'!E444,"")</f>
        <v/>
      </c>
      <c r="G987">
        <f>IF('PUNCH LIST'!$W$444="X",'PUNCH LIST'!Q444,"")</f>
        <v/>
      </c>
      <c r="H987">
        <f>IF('PUNCH LIST'!$W$444="X","X","")</f>
        <v/>
      </c>
    </row>
    <row r="988" ht="15" customHeight="1" s="130">
      <c r="A988">
        <f>IF('PUNCH LIST'!$W$445="X","PUNCH LIST","")</f>
        <v/>
      </c>
      <c r="B988">
        <f>IF('PUNCH LIST'!$W$445="X",'PUNCH LIST'!B445,"")</f>
        <v/>
      </c>
      <c r="D988">
        <f>IF('PUNCH LIST'!$W$445="X",'PUNCH LIST'!F445,"")</f>
        <v/>
      </c>
      <c r="E988">
        <f>IF('PUNCH LIST'!$W$445="X",'PUNCH LIST'!C445,"")</f>
        <v/>
      </c>
      <c r="F988">
        <f>IF('PUNCH LIST'!$W$445="X",'PUNCH LIST'!E445,"")</f>
        <v/>
      </c>
      <c r="G988">
        <f>IF('PUNCH LIST'!$W$445="X",'PUNCH LIST'!Q445,"")</f>
        <v/>
      </c>
      <c r="H988">
        <f>IF('PUNCH LIST'!$W$445="X","X","")</f>
        <v/>
      </c>
    </row>
    <row r="989" ht="15" customHeight="1" s="130">
      <c r="A989">
        <f>IF('PUNCH LIST'!$W$446="X","PUNCH LIST","")</f>
        <v/>
      </c>
      <c r="B989">
        <f>IF('PUNCH LIST'!$W$446="X",'PUNCH LIST'!B446,"")</f>
        <v/>
      </c>
      <c r="D989">
        <f>IF('PUNCH LIST'!$W$446="X",'PUNCH LIST'!F446,"")</f>
        <v/>
      </c>
      <c r="E989">
        <f>IF('PUNCH LIST'!$W$446="X",'PUNCH LIST'!C446,"")</f>
        <v/>
      </c>
      <c r="F989">
        <f>IF('PUNCH LIST'!$W$446="X",'PUNCH LIST'!E446,"")</f>
        <v/>
      </c>
      <c r="G989">
        <f>IF('PUNCH LIST'!$W$446="X",'PUNCH LIST'!Q446,"")</f>
        <v/>
      </c>
      <c r="H989">
        <f>IF('PUNCH LIST'!$W$446="X","X","")</f>
        <v/>
      </c>
    </row>
    <row r="990" ht="15" customHeight="1" s="130">
      <c r="A990">
        <f>IF('PUNCH LIST'!$W$447="X","PUNCH LIST","")</f>
        <v/>
      </c>
      <c r="B990">
        <f>IF('PUNCH LIST'!$W$447="X",'PUNCH LIST'!B447,"")</f>
        <v/>
      </c>
      <c r="D990">
        <f>IF('PUNCH LIST'!$W$447="X",'PUNCH LIST'!F447,"")</f>
        <v/>
      </c>
      <c r="E990">
        <f>IF('PUNCH LIST'!$W$447="X",'PUNCH LIST'!C447,"")</f>
        <v/>
      </c>
      <c r="F990">
        <f>IF('PUNCH LIST'!$W$447="X",'PUNCH LIST'!E447,"")</f>
        <v/>
      </c>
      <c r="G990">
        <f>IF('PUNCH LIST'!$W$447="X",'PUNCH LIST'!Q447,"")</f>
        <v/>
      </c>
      <c r="H990">
        <f>IF('PUNCH LIST'!$W$447="X","X","")</f>
        <v/>
      </c>
    </row>
    <row r="991" ht="15" customHeight="1" s="130">
      <c r="A991">
        <f>IF('PUNCH LIST'!$W$448="X","PUNCH LIST","")</f>
        <v/>
      </c>
      <c r="B991">
        <f>IF('PUNCH LIST'!$W$448="X",'PUNCH LIST'!B448,"")</f>
        <v/>
      </c>
      <c r="D991">
        <f>IF('PUNCH LIST'!$W$448="X",'PUNCH LIST'!F448,"")</f>
        <v/>
      </c>
      <c r="E991">
        <f>IF('PUNCH LIST'!$W$448="X",'PUNCH LIST'!C448,"")</f>
        <v/>
      </c>
      <c r="F991">
        <f>IF('PUNCH LIST'!$W$448="X",'PUNCH LIST'!E448,"")</f>
        <v/>
      </c>
      <c r="G991">
        <f>IF('PUNCH LIST'!$W$448="X",'PUNCH LIST'!Q448,"")</f>
        <v/>
      </c>
      <c r="H991">
        <f>IF('PUNCH LIST'!$W$448="X","X","")</f>
        <v/>
      </c>
    </row>
    <row r="992" ht="15" customHeight="1" s="130">
      <c r="A992">
        <f>IF('PUNCH LIST'!$W$449="X","PUNCH LIST","")</f>
        <v/>
      </c>
      <c r="B992">
        <f>IF('PUNCH LIST'!$W$449="X",'PUNCH LIST'!B449,"")</f>
        <v/>
      </c>
      <c r="D992">
        <f>IF('PUNCH LIST'!$W$449="X",'PUNCH LIST'!F449,"")</f>
        <v/>
      </c>
      <c r="E992">
        <f>IF('PUNCH LIST'!$W$449="X",'PUNCH LIST'!C449,"")</f>
        <v/>
      </c>
      <c r="F992">
        <f>IF('PUNCH LIST'!$W$449="X",'PUNCH LIST'!E449,"")</f>
        <v/>
      </c>
      <c r="G992">
        <f>IF('PUNCH LIST'!$W$449="X",'PUNCH LIST'!Q449,"")</f>
        <v/>
      </c>
      <c r="H992">
        <f>IF('PUNCH LIST'!$W$449="X","X","")</f>
        <v/>
      </c>
    </row>
    <row r="993" ht="15" customHeight="1" s="130">
      <c r="A993">
        <f>IF('PUNCH LIST'!$W$450="X","PUNCH LIST","")</f>
        <v/>
      </c>
      <c r="B993">
        <f>IF('PUNCH LIST'!$W$450="X",'PUNCH LIST'!B450,"")</f>
        <v/>
      </c>
      <c r="D993">
        <f>IF('PUNCH LIST'!$W$450="X",'PUNCH LIST'!F450,"")</f>
        <v/>
      </c>
      <c r="E993">
        <f>IF('PUNCH LIST'!$W$450="X",'PUNCH LIST'!C450,"")</f>
        <v/>
      </c>
      <c r="F993">
        <f>IF('PUNCH LIST'!$W$450="X",'PUNCH LIST'!E450,"")</f>
        <v/>
      </c>
      <c r="G993">
        <f>IF('PUNCH LIST'!$W$450="X",'PUNCH LIST'!Q450,"")</f>
        <v/>
      </c>
      <c r="H993">
        <f>IF('PUNCH LIST'!$W$450="X","X","")</f>
        <v/>
      </c>
    </row>
    <row r="994" ht="15" customHeight="1" s="130">
      <c r="A994">
        <f>IF('PUNCH LIST'!$W$451="X","PUNCH LIST","")</f>
        <v/>
      </c>
      <c r="B994">
        <f>IF('PUNCH LIST'!$W$451="X",'PUNCH LIST'!B451,"")</f>
        <v/>
      </c>
      <c r="D994">
        <f>IF('PUNCH LIST'!$W$451="X",'PUNCH LIST'!F451,"")</f>
        <v/>
      </c>
      <c r="E994">
        <f>IF('PUNCH LIST'!$W$451="X",'PUNCH LIST'!C451,"")</f>
        <v/>
      </c>
      <c r="F994">
        <f>IF('PUNCH LIST'!$W$451="X",'PUNCH LIST'!E451,"")</f>
        <v/>
      </c>
      <c r="G994">
        <f>IF('PUNCH LIST'!$W$451="X",'PUNCH LIST'!Q451,"")</f>
        <v/>
      </c>
      <c r="H994">
        <f>IF('PUNCH LIST'!$W$451="X","X","")</f>
        <v/>
      </c>
    </row>
    <row r="995" ht="15" customHeight="1" s="130">
      <c r="A995">
        <f>IF('PUNCH LIST'!$W$452="X","PUNCH LIST","")</f>
        <v/>
      </c>
      <c r="B995">
        <f>IF('PUNCH LIST'!$W$452="X",'PUNCH LIST'!B452,"")</f>
        <v/>
      </c>
      <c r="D995">
        <f>IF('PUNCH LIST'!$W$452="X",'PUNCH LIST'!F452,"")</f>
        <v/>
      </c>
      <c r="E995">
        <f>IF('PUNCH LIST'!$W$452="X",'PUNCH LIST'!C452,"")</f>
        <v/>
      </c>
      <c r="F995">
        <f>IF('PUNCH LIST'!$W$452="X",'PUNCH LIST'!E452,"")</f>
        <v/>
      </c>
      <c r="G995">
        <f>IF('PUNCH LIST'!$W$452="X",'PUNCH LIST'!Q452,"")</f>
        <v/>
      </c>
      <c r="H995">
        <f>IF('PUNCH LIST'!$W$452="X","X","")</f>
        <v/>
      </c>
    </row>
    <row r="996" ht="15" customHeight="1" s="130">
      <c r="A996">
        <f>IF('PUNCH LIST'!$W$453="X","PUNCH LIST","")</f>
        <v/>
      </c>
      <c r="B996">
        <f>IF('PUNCH LIST'!$W$453="X",'PUNCH LIST'!B453,"")</f>
        <v/>
      </c>
      <c r="D996">
        <f>IF('PUNCH LIST'!$W$453="X",'PUNCH LIST'!F453,"")</f>
        <v/>
      </c>
      <c r="E996">
        <f>IF('PUNCH LIST'!$W$453="X",'PUNCH LIST'!C453,"")</f>
        <v/>
      </c>
      <c r="F996">
        <f>IF('PUNCH LIST'!$W$453="X",'PUNCH LIST'!E453,"")</f>
        <v/>
      </c>
      <c r="G996">
        <f>IF('PUNCH LIST'!$W$453="X",'PUNCH LIST'!Q453,"")</f>
        <v/>
      </c>
      <c r="H996">
        <f>IF('PUNCH LIST'!$W$453="X","X","")</f>
        <v/>
      </c>
    </row>
    <row r="997" ht="15" customHeight="1" s="130">
      <c r="A997">
        <f>IF('PUNCH LIST'!$W$454="X","PUNCH LIST","")</f>
        <v/>
      </c>
      <c r="B997">
        <f>IF('PUNCH LIST'!$W$454="X",'PUNCH LIST'!B454,"")</f>
        <v/>
      </c>
      <c r="D997">
        <f>IF('PUNCH LIST'!$W$454="X",'PUNCH LIST'!F454,"")</f>
        <v/>
      </c>
      <c r="E997">
        <f>IF('PUNCH LIST'!$W$454="X",'PUNCH LIST'!C454,"")</f>
        <v/>
      </c>
      <c r="F997">
        <f>IF('PUNCH LIST'!$W$454="X",'PUNCH LIST'!E454,"")</f>
        <v/>
      </c>
      <c r="G997">
        <f>IF('PUNCH LIST'!$W$454="X",'PUNCH LIST'!Q454,"")</f>
        <v/>
      </c>
      <c r="H997">
        <f>IF('PUNCH LIST'!$W$454="X","X","")</f>
        <v/>
      </c>
    </row>
    <row r="998" ht="15" customHeight="1" s="130">
      <c r="A998">
        <f>IF('PUNCH LIST'!$W$455="X","PUNCH LIST","")</f>
        <v/>
      </c>
      <c r="B998">
        <f>IF('PUNCH LIST'!$W$455="X",'PUNCH LIST'!B455,"")</f>
        <v/>
      </c>
      <c r="D998">
        <f>IF('PUNCH LIST'!$W$455="X",'PUNCH LIST'!F455,"")</f>
        <v/>
      </c>
      <c r="E998">
        <f>IF('PUNCH LIST'!$W$455="X",'PUNCH LIST'!C455,"")</f>
        <v/>
      </c>
      <c r="F998">
        <f>IF('PUNCH LIST'!$W$455="X",'PUNCH LIST'!E455,"")</f>
        <v/>
      </c>
      <c r="G998">
        <f>IF('PUNCH LIST'!$W$455="X",'PUNCH LIST'!Q455,"")</f>
        <v/>
      </c>
      <c r="H998">
        <f>IF('PUNCH LIST'!$W$455="X","X","")</f>
        <v/>
      </c>
    </row>
    <row r="999" ht="15" customHeight="1" s="130">
      <c r="A999">
        <f>IF('PUNCH LIST'!$W$456="X","PUNCH LIST","")</f>
        <v/>
      </c>
      <c r="B999">
        <f>IF('PUNCH LIST'!$W$456="X",'PUNCH LIST'!B456,"")</f>
        <v/>
      </c>
      <c r="D999">
        <f>IF('PUNCH LIST'!$W$456="X",'PUNCH LIST'!F456,"")</f>
        <v/>
      </c>
      <c r="E999">
        <f>IF('PUNCH LIST'!$W$456="X",'PUNCH LIST'!C456,"")</f>
        <v/>
      </c>
      <c r="F999">
        <f>IF('PUNCH LIST'!$W$456="X",'PUNCH LIST'!E456,"")</f>
        <v/>
      </c>
      <c r="G999">
        <f>IF('PUNCH LIST'!$W$456="X",'PUNCH LIST'!Q456,"")</f>
        <v/>
      </c>
      <c r="H999">
        <f>IF('PUNCH LIST'!$W$456="X","X","")</f>
        <v/>
      </c>
    </row>
    <row r="1000" ht="15" customHeight="1" s="130">
      <c r="A1000">
        <f>IF('PUNCH LIST'!$W$457="X","PUNCH LIST","")</f>
        <v/>
      </c>
      <c r="B1000">
        <f>IF('PUNCH LIST'!$W$457="X",'PUNCH LIST'!B457,"")</f>
        <v/>
      </c>
      <c r="D1000">
        <f>IF('PUNCH LIST'!$W$457="X",'PUNCH LIST'!F457,"")</f>
        <v/>
      </c>
      <c r="E1000">
        <f>IF('PUNCH LIST'!$W$457="X",'PUNCH LIST'!C457,"")</f>
        <v/>
      </c>
      <c r="F1000">
        <f>IF('PUNCH LIST'!$W$457="X",'PUNCH LIST'!E457,"")</f>
        <v/>
      </c>
      <c r="G1000">
        <f>IF('PUNCH LIST'!$W$457="X",'PUNCH LIST'!Q457,"")</f>
        <v/>
      </c>
      <c r="H1000">
        <f>IF('PUNCH LIST'!$W$457="X","X","")</f>
        <v/>
      </c>
    </row>
    <row r="1001" ht="15" customHeight="1" s="130">
      <c r="A1001">
        <f>IF('PUNCH LIST'!$W$458="X","PUNCH LIST","")</f>
        <v/>
      </c>
      <c r="B1001">
        <f>IF('PUNCH LIST'!$W$458="X",'PUNCH LIST'!B458,"")</f>
        <v/>
      </c>
      <c r="D1001">
        <f>IF('PUNCH LIST'!$W$458="X",'PUNCH LIST'!F458,"")</f>
        <v/>
      </c>
      <c r="E1001">
        <f>IF('PUNCH LIST'!$W$458="X",'PUNCH LIST'!C458,"")</f>
        <v/>
      </c>
      <c r="F1001">
        <f>IF('PUNCH LIST'!$W$458="X",'PUNCH LIST'!E458,"")</f>
        <v/>
      </c>
      <c r="G1001">
        <f>IF('PUNCH LIST'!$W$458="X",'PUNCH LIST'!Q458,"")</f>
        <v/>
      </c>
      <c r="H1001">
        <f>IF('PUNCH LIST'!$W$458="X","X","")</f>
        <v/>
      </c>
    </row>
    <row r="1002" ht="15" customHeight="1" s="130">
      <c r="A1002">
        <f>IF('PUNCH LIST'!$W$459="X","PUNCH LIST","")</f>
        <v/>
      </c>
      <c r="B1002">
        <f>IF('PUNCH LIST'!$W$459="X",'PUNCH LIST'!B459,"")</f>
        <v/>
      </c>
      <c r="D1002">
        <f>IF('PUNCH LIST'!$W$459="X",'PUNCH LIST'!F459,"")</f>
        <v/>
      </c>
      <c r="E1002">
        <f>IF('PUNCH LIST'!$W$459="X",'PUNCH LIST'!C459,"")</f>
        <v/>
      </c>
      <c r="F1002">
        <f>IF('PUNCH LIST'!$W$459="X",'PUNCH LIST'!E459,"")</f>
        <v/>
      </c>
      <c r="G1002">
        <f>IF('PUNCH LIST'!$W$459="X",'PUNCH LIST'!Q459,"")</f>
        <v/>
      </c>
      <c r="H1002">
        <f>IF('PUNCH LIST'!$W$459="X","X","")</f>
        <v/>
      </c>
    </row>
    <row r="1003" ht="15" customHeight="1" s="130">
      <c r="A1003">
        <f>IF('PUNCH LIST'!$W$460="X","PUNCH LIST","")</f>
        <v/>
      </c>
      <c r="B1003">
        <f>IF('PUNCH LIST'!$W$460="X",'PUNCH LIST'!B460,"")</f>
        <v/>
      </c>
      <c r="D1003">
        <f>IF('PUNCH LIST'!$W$460="X",'PUNCH LIST'!F460,"")</f>
        <v/>
      </c>
      <c r="E1003">
        <f>IF('PUNCH LIST'!$W$460="X",'PUNCH LIST'!C460,"")</f>
        <v/>
      </c>
      <c r="F1003">
        <f>IF('PUNCH LIST'!$W$460="X",'PUNCH LIST'!E460,"")</f>
        <v/>
      </c>
      <c r="G1003">
        <f>IF('PUNCH LIST'!$W$460="X",'PUNCH LIST'!Q460,"")</f>
        <v/>
      </c>
      <c r="H1003">
        <f>IF('PUNCH LIST'!$W$460="X","X","")</f>
        <v/>
      </c>
    </row>
    <row r="1004" ht="15" customHeight="1" s="130">
      <c r="A1004">
        <f>IF('PUNCH LIST'!$W$461="X","PUNCH LIST","")</f>
        <v/>
      </c>
      <c r="B1004">
        <f>IF('PUNCH LIST'!$W$461="X",'PUNCH LIST'!B461,"")</f>
        <v/>
      </c>
      <c r="D1004">
        <f>IF('PUNCH LIST'!$W$461="X",'PUNCH LIST'!F461,"")</f>
        <v/>
      </c>
      <c r="E1004">
        <f>IF('PUNCH LIST'!$W$461="X",'PUNCH LIST'!C461,"")</f>
        <v/>
      </c>
      <c r="F1004">
        <f>IF('PUNCH LIST'!$W$461="X",'PUNCH LIST'!E461,"")</f>
        <v/>
      </c>
      <c r="G1004">
        <f>IF('PUNCH LIST'!$W$461="X",'PUNCH LIST'!Q461,"")</f>
        <v/>
      </c>
      <c r="H1004">
        <f>IF('PUNCH LIST'!$W$461="X","X","")</f>
        <v/>
      </c>
    </row>
    <row r="1005" ht="15" customHeight="1" s="130">
      <c r="A1005">
        <f>IF('PUNCH LIST'!$W$462="X","PUNCH LIST","")</f>
        <v/>
      </c>
      <c r="B1005">
        <f>IF('PUNCH LIST'!$W$462="X",'PUNCH LIST'!B462,"")</f>
        <v/>
      </c>
      <c r="D1005">
        <f>IF('PUNCH LIST'!$W$462="X",'PUNCH LIST'!F462,"")</f>
        <v/>
      </c>
      <c r="E1005">
        <f>IF('PUNCH LIST'!$W$462="X",'PUNCH LIST'!C462,"")</f>
        <v/>
      </c>
      <c r="F1005">
        <f>IF('PUNCH LIST'!$W$462="X",'PUNCH LIST'!E462,"")</f>
        <v/>
      </c>
      <c r="G1005">
        <f>IF('PUNCH LIST'!$W$462="X",'PUNCH LIST'!Q462,"")</f>
        <v/>
      </c>
      <c r="H1005">
        <f>IF('PUNCH LIST'!$W$462="X","X","")</f>
        <v/>
      </c>
    </row>
    <row r="1006" ht="15" customHeight="1" s="130">
      <c r="A1006">
        <f>IF('PUNCH LIST'!$W$463="X","PUNCH LIST","")</f>
        <v/>
      </c>
      <c r="B1006">
        <f>IF('PUNCH LIST'!$W$463="X",'PUNCH LIST'!B463,"")</f>
        <v/>
      </c>
      <c r="D1006">
        <f>IF('PUNCH LIST'!$W$463="X",'PUNCH LIST'!F463,"")</f>
        <v/>
      </c>
      <c r="E1006">
        <f>IF('PUNCH LIST'!$W$463="X",'PUNCH LIST'!C463,"")</f>
        <v/>
      </c>
      <c r="F1006">
        <f>IF('PUNCH LIST'!$W$463="X",'PUNCH LIST'!E463,"")</f>
        <v/>
      </c>
      <c r="G1006">
        <f>IF('PUNCH LIST'!$W$463="X",'PUNCH LIST'!Q463,"")</f>
        <v/>
      </c>
      <c r="H1006">
        <f>IF('PUNCH LIST'!$W$463="X","X","")</f>
        <v/>
      </c>
    </row>
    <row r="1007" ht="15" customHeight="1" s="130">
      <c r="A1007">
        <f>IF('PUNCH LIST'!$W$464="X","PUNCH LIST","")</f>
        <v/>
      </c>
      <c r="B1007">
        <f>IF('PUNCH LIST'!$W$464="X",'PUNCH LIST'!B464,"")</f>
        <v/>
      </c>
      <c r="D1007">
        <f>IF('PUNCH LIST'!$W$464="X",'PUNCH LIST'!F464,"")</f>
        <v/>
      </c>
      <c r="E1007">
        <f>IF('PUNCH LIST'!$W$464="X",'PUNCH LIST'!C464,"")</f>
        <v/>
      </c>
      <c r="F1007">
        <f>IF('PUNCH LIST'!$W$464="X",'PUNCH LIST'!E464,"")</f>
        <v/>
      </c>
      <c r="G1007">
        <f>IF('PUNCH LIST'!$W$464="X",'PUNCH LIST'!Q464,"")</f>
        <v/>
      </c>
      <c r="H1007">
        <f>IF('PUNCH LIST'!$W$464="X","X","")</f>
        <v/>
      </c>
    </row>
  </sheetData>
  <autoFilter ref="A4:H1007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4"/>
  <sheetViews>
    <sheetView zoomScaleNormal="100" workbookViewId="0">
      <pane xSplit="2" ySplit="4" topLeftCell="K5" activePane="bottomRight" state="frozen"/>
      <selection pane="topRight" activeCell="C1" sqref="C1"/>
      <selection pane="bottomLeft" activeCell="A5" sqref="A5"/>
      <selection pane="bottomRight" activeCell="P5" sqref="P5"/>
    </sheetView>
  </sheetViews>
  <sheetFormatPr baseColWidth="8" defaultColWidth="8.7109375" defaultRowHeight="15"/>
  <cols>
    <col width="16" customWidth="1" style="130" min="1" max="1"/>
    <col width="68" customWidth="1" style="130" min="2" max="2"/>
    <col width="41.85546875" customWidth="1" style="130" min="3" max="3"/>
    <col width="24" customWidth="1" style="130" min="4" max="4"/>
    <col width="18" customWidth="1" style="130" min="5" max="5"/>
    <col width="19" customWidth="1" style="130" min="6" max="7"/>
    <col width="30" customWidth="1" style="130" min="8" max="8"/>
    <col width="34" customWidth="1" style="130" min="9" max="9"/>
    <col width="20" customWidth="1" style="130" min="10" max="10"/>
    <col width="19" customWidth="1" style="130" min="11" max="11"/>
    <col width="14" customWidth="1" style="130" min="12" max="12"/>
    <col width="23" customWidth="1" style="130" min="13" max="13"/>
    <col width="18" customWidth="1" style="130" min="14" max="14"/>
    <col width="36" customWidth="1" style="130" min="15" max="15"/>
    <col width="51" customWidth="1" style="130" min="16" max="16"/>
    <col width="18" customWidth="1" style="130" min="17" max="17"/>
    <col width="34" customWidth="1" style="130" min="18" max="18"/>
  </cols>
  <sheetData>
    <row r="1" ht="27.75" customHeight="1" s="130">
      <c r="A1" s="131" t="inlineStr">
        <is>
          <t>SCOPES | Engineering System / Drawing / Logical Scope</t>
        </is>
      </c>
    </row>
    <row r="2" ht="24.75" customHeight="1" s="130">
      <c r="A2" s="129" t="inlineStr">
        <is>
          <t>Engineering scopes organize multiple Work Packages into a coherent functional system or issued drawing/logic package. Scope members and requirements are traced by ID.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Scope ID</t>
        </is>
      </c>
      <c r="B4" s="135" t="inlineStr">
        <is>
          <t>Engineering Scope / System Description</t>
        </is>
      </c>
      <c r="C4" s="135" t="inlineStr">
        <is>
          <t>Functional / Drawing Boundary</t>
        </is>
      </c>
      <c r="D4" s="135" t="inlineStr">
        <is>
          <t>Lead Discipline / Responsible Party</t>
        </is>
      </c>
      <c r="E4" s="135" t="inlineStr">
        <is>
          <t>Primary System ID (optional)</t>
        </is>
      </c>
      <c r="F4" s="135" t="inlineStr">
        <is>
          <t>Related Work Package IDs (summary)</t>
        </is>
      </c>
      <c r="G4" s="135" t="inlineStr">
        <is>
          <t>Disposition</t>
        </is>
      </c>
      <c r="H4" s="135" t="inlineStr">
        <is>
          <t>Source / Requirement IDs</t>
        </is>
      </c>
      <c r="I4" s="135" t="inlineStr">
        <is>
          <t>Engineering Basis / Authority</t>
        </is>
      </c>
      <c r="J4" s="135" t="inlineStr">
        <is>
          <t>Review State</t>
        </is>
      </c>
      <c r="K4" s="135" t="inlineStr">
        <is>
          <t>Engineering State</t>
        </is>
      </c>
      <c r="L4" s="135" t="inlineStr">
        <is>
          <t>Engineering Progress % (if applicable)</t>
        </is>
      </c>
      <c r="M4" s="135" t="inlineStr">
        <is>
          <t>Owner</t>
        </is>
      </c>
      <c r="N4" s="135" t="inlineStr">
        <is>
          <t>Target Date</t>
        </is>
      </c>
      <c r="O4" s="135" t="inlineStr">
        <is>
          <t>Related IDs</t>
        </is>
      </c>
      <c r="P4" s="135" t="inlineStr">
        <is>
          <t>Notes</t>
        </is>
      </c>
      <c r="Q4" s="135" t="inlineStr">
        <is>
          <t>Updated</t>
        </is>
      </c>
      <c r="R4" s="135" t="inlineStr">
        <is>
          <t>Work Actions</t>
        </is>
      </c>
    </row>
    <row r="5" ht="60.75" customHeight="1" s="130">
      <c r="A5" s="54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120" t="n"/>
      <c r="R5" s="54" t="n"/>
    </row>
    <row r="6" ht="60.75" customHeight="1" s="130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120" t="n"/>
      <c r="R6" s="54" t="n"/>
    </row>
    <row r="7" ht="60.75" customHeight="1" s="130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120" t="n"/>
      <c r="R7" s="54" t="n"/>
    </row>
    <row r="8" ht="60.75" customHeight="1" s="130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120" t="n"/>
      <c r="R8" s="54" t="n"/>
    </row>
    <row r="9" ht="60.75" customHeight="1" s="130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120" t="n"/>
      <c r="R9" s="54" t="n"/>
    </row>
    <row r="10" ht="60.75" customHeight="1" s="130"/>
    <row r="11" ht="60.75" customHeight="1" s="130"/>
    <row r="12" ht="60.75" customHeight="1" s="130"/>
    <row r="13" ht="60.75" customHeight="1" s="130"/>
    <row r="14" ht="60.75" customHeight="1" s="130"/>
    <row r="15" ht="60.75" customHeight="1" s="130"/>
    <row r="16" ht="60.75" customHeight="1" s="130"/>
    <row r="17" ht="60.75" customHeight="1" s="130"/>
    <row r="18" ht="60.75" customHeight="1" s="130"/>
    <row r="19" ht="60.75" customHeight="1" s="130"/>
    <row r="20" ht="60.75" customHeight="1" s="130"/>
    <row r="21" ht="60.75" customHeight="1" s="130"/>
    <row r="22" ht="60.75" customHeight="1" s="130"/>
    <row r="23" ht="60.75" customHeight="1" s="130"/>
    <row r="24" ht="60.75" customHeight="1" s="130"/>
    <row r="25" ht="60.75" customHeight="1" s="130"/>
    <row r="26" ht="60.75" customHeight="1" s="130"/>
    <row r="27" ht="60.75" customHeight="1" s="130"/>
    <row r="28" ht="60.75" customHeight="1" s="130"/>
    <row r="29" ht="60.75" customHeight="1" s="130"/>
    <row r="30" ht="60.75" customHeight="1" s="130"/>
    <row r="31" ht="60.75" customHeight="1" s="130"/>
    <row r="32" ht="60.75" customHeight="1" s="130"/>
    <row r="33" ht="60.75" customHeight="1" s="130"/>
    <row r="34" ht="60.75" customHeight="1" s="130"/>
    <row r="35" ht="60.75" customHeight="1" s="130"/>
    <row r="36" ht="60.75" customHeight="1" s="130"/>
    <row r="37" ht="60.75" customHeight="1" s="130"/>
    <row r="38" ht="60.75" customHeight="1" s="130"/>
    <row r="39" ht="60.75" customHeight="1" s="130"/>
    <row r="40" ht="60.75" customHeight="1" s="130"/>
    <row r="41" ht="60.75" customHeight="1" s="130"/>
    <row r="42" ht="60.75" customHeight="1" s="130"/>
    <row r="43" ht="60.75" customHeight="1" s="130"/>
    <row r="44" ht="60.75" customHeight="1" s="130"/>
    <row r="45" ht="60.75" customHeight="1" s="130"/>
    <row r="46" ht="60.75" customHeight="1" s="130"/>
    <row r="47" ht="60.75" customHeight="1" s="130"/>
    <row r="48" ht="60.75" customHeight="1" s="130"/>
    <row r="49" ht="60.75" customHeight="1" s="130"/>
    <row r="50" ht="60.75" customHeight="1" s="130"/>
    <row r="51" ht="60.75" customHeight="1" s="130"/>
    <row r="52" ht="60.75" customHeight="1" s="130"/>
    <row r="53" ht="60.75" customHeight="1" s="130"/>
    <row r="54" ht="60.75" customHeight="1" s="130"/>
    <row r="55" ht="60.75" customHeight="1" s="130"/>
    <row r="56" ht="60.75" customHeight="1" s="130"/>
    <row r="57" ht="60.75" customHeight="1" s="130"/>
    <row r="58" ht="60.75" customHeight="1" s="130"/>
    <row r="59" ht="60.75" customHeight="1" s="130"/>
    <row r="60" ht="60.75" customHeight="1" s="130"/>
    <row r="61" ht="60.75" customHeight="1" s="130"/>
    <row r="62" ht="60.75" customHeight="1" s="130"/>
    <row r="63" ht="60.75" customHeight="1" s="130"/>
    <row r="64" ht="60.75" customHeight="1" s="130"/>
    <row r="65" ht="60.75" customHeight="1" s="130"/>
    <row r="66" ht="60.75" customHeight="1" s="130"/>
    <row r="67" ht="60.75" customHeight="1" s="130"/>
    <row r="68" ht="60.75" customHeight="1" s="130"/>
    <row r="69" ht="60.75" customHeight="1" s="130"/>
    <row r="70" ht="60.75" customHeight="1" s="130"/>
    <row r="71" ht="60.75" customHeight="1" s="130"/>
    <row r="72" ht="60.75" customHeight="1" s="130"/>
    <row r="73" ht="60.75" customHeight="1" s="130"/>
    <row r="74" ht="60.75" customHeight="1" s="130"/>
    <row r="75" ht="60.75" customHeight="1" s="130"/>
    <row r="76" ht="60.75" customHeight="1" s="130"/>
    <row r="77" ht="60.75" customHeight="1" s="130"/>
    <row r="78" ht="60.75" customHeight="1" s="130"/>
    <row r="79" ht="60.75" customHeight="1" s="130"/>
    <row r="80" ht="60.75" customHeight="1" s="130"/>
    <row r="81" ht="60.75" customHeight="1" s="130"/>
    <row r="82" ht="60.75" customHeight="1" s="130"/>
    <row r="83" ht="60.75" customHeight="1" s="130"/>
    <row r="84" ht="60.75" customHeight="1" s="130"/>
    <row r="85" ht="60.75" customHeight="1" s="130"/>
    <row r="86" ht="60.75" customHeight="1" s="130"/>
    <row r="87" ht="60.75" customHeight="1" s="130"/>
    <row r="88" ht="60.75" customHeight="1" s="130"/>
    <row r="89" ht="60.75" customHeight="1" s="130"/>
    <row r="90" ht="60.75" customHeight="1" s="130"/>
    <row r="91" ht="60.75" customHeight="1" s="130"/>
    <row r="92" ht="60.75" customHeight="1" s="130"/>
    <row r="93" ht="60.75" customHeight="1" s="130"/>
    <row r="94" ht="60.75" customHeight="1" s="130"/>
    <row r="95" ht="60.75" customHeight="1" s="130"/>
    <row r="96" ht="60.75" customHeight="1" s="130"/>
    <row r="97" ht="60.75" customHeight="1" s="130"/>
    <row r="98" ht="60.75" customHeight="1" s="130"/>
    <row r="99" ht="60.75" customHeight="1" s="130"/>
    <row r="100" ht="60.75" customHeight="1" s="13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</sheetData>
  <autoFilter ref="A4:R60"/>
  <mergeCells count="2">
    <mergeCell ref="A2:Q2"/>
    <mergeCell ref="A1:Q1"/>
  </mergeCells>
  <dataValidations count="4">
    <dataValidation sqref="G5:G1004" showDropDown="0" showInputMessage="0" showErrorMessage="1" allowBlank="1" type="list" errorStyle="warning">
      <formula1>"in_scope,interface_only,adjacent_context,excluded,unresolved"</formula1>
      <formula2>0</formula2>
    </dataValidation>
    <dataValidation sqref="J5:J1004" showDropDown="0" showInputMessage="0" showErrorMessage="1" allowBlank="1" type="list" errorStyle="warning">
      <formula1>"unreviewed,candidate,reviewed,accepted,superseded"</formula1>
      <formula2>0</formula2>
    </dataValidation>
    <dataValidation sqref="K5:K1004" showDropDown="0" showInputMessage="0" showErrorMessage="1" allowBlank="1" type="list" errorStyle="warning">
      <formula1>"not_started,in_progress,blocked,complete,deferred"</formula1>
      <formula2>0</formula2>
    </dataValidation>
    <dataValidation sqref="R5:R1004" showDropDown="0" showInputMessage="1" showErrorMessage="1" allowBlank="1" errorTitle="Not a single listed action" error="Allowed: furnish, install, remove, replace, modify, rewire, reprogram, integrate, monitor, test, document, coordinate. Several values separated by '; ' are fine - choose Yes to keep." promptTitle="Work Actions" prompt="Pick one, or type several separated by '; ' (e.g. furnish; install; integrate). Leave blank if unknown." type="list" errorStyle="warning">
      <formula1>"furnish,install,remove,replace,modify,rewire,reprogram,integrate,monitor,test,document,coordinate"</formula1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xSplit="4" ySplit="1" topLeftCell="O2" activePane="bottomRight" state="frozen"/>
      <selection pane="topRight" activeCell="A1" sqref="A1"/>
      <selection pane="bottomLeft" activeCell="A1" sqref="A1"/>
      <selection pane="bottomRight" activeCell="O2" sqref="O2"/>
    </sheetView>
  </sheetViews>
  <sheetFormatPr baseColWidth="8" defaultRowHeight="15"/>
  <cols>
    <col width="18" customWidth="1" style="130" min="1" max="1"/>
    <col width="23" customWidth="1" style="130" min="2" max="2"/>
    <col width="66" customWidth="1" style="130" min="3" max="3"/>
    <col hidden="1" width="26" customWidth="1" style="130" min="4" max="4"/>
    <col width="12" customWidth="1" style="130" min="5" max="5"/>
    <col width="14" customWidth="1" style="130" min="6" max="7"/>
    <col width="18" customWidth="1" style="130" min="8" max="8"/>
    <col width="30" customWidth="1" style="130" min="9" max="10"/>
    <col width="40" customWidth="1" style="130" min="11" max="11"/>
    <col width="30" customWidth="1" style="130" min="12" max="12"/>
    <col width="18" customWidth="1" style="130" min="13" max="14"/>
    <col width="30" customWidth="1" style="130" min="15" max="15"/>
    <col width="18" customWidth="1" style="130" min="16" max="17"/>
    <col width="28" customWidth="1" style="130" min="18" max="18"/>
    <col width="40" customWidth="1" style="130" min="19" max="19"/>
    <col width="18" customWidth="1" style="130" min="20" max="20"/>
  </cols>
  <sheetData>
    <row r="1" ht="45" customHeight="1" s="130">
      <c r="A1" s="118" t="inlineStr">
        <is>
          <t>Work Package ID</t>
        </is>
      </c>
      <c r="B1" s="118" t="inlineStr">
        <is>
          <t>Package Code</t>
        </is>
      </c>
      <c r="C1" s="118" t="inlineStr">
        <is>
          <t>Work Boundary Description</t>
        </is>
      </c>
      <c r="D1" s="118" t="inlineStr">
        <is>
          <t>Legacy Selector Label (compatibility)</t>
        </is>
      </c>
      <c r="E1" s="118" t="inlineStr">
        <is>
          <t>Priority
Sequence</t>
        </is>
      </c>
      <c r="F1" s="118" t="inlineStr">
        <is>
          <t>Parent Work Package ID (optional)</t>
        </is>
      </c>
      <c r="G1" s="118" t="inlineStr">
        <is>
          <t>Primary Scope ID</t>
        </is>
      </c>
      <c r="H1" s="118" t="inlineStr">
        <is>
          <t>Additional Scope IDs (optional)</t>
        </is>
      </c>
      <c r="I1" s="118" t="inlineStr">
        <is>
          <t>Responsible Team / Person</t>
        </is>
      </c>
      <c r="J1" s="118" t="inlineStr">
        <is>
          <t>Method / How</t>
        </is>
      </c>
      <c r="K1" s="118" t="inlineStr">
        <is>
          <t>Deliverable</t>
        </is>
      </c>
      <c r="L1" s="118" t="inlineStr">
        <is>
          <t>Depends On / Blocked By (IDs)</t>
        </is>
      </c>
      <c r="M1" s="118" t="inlineStr">
        <is>
          <t>Progress Columns In Use</t>
        </is>
      </c>
      <c r="N1" s="118" t="inlineStr">
        <is>
          <t>Tracking Basis</t>
        </is>
      </c>
      <c r="O1" s="118" t="inlineStr">
        <is>
          <t>Supplemental Boundary Notes</t>
        </is>
      </c>
      <c r="P1" s="118" t="inlineStr">
        <is>
          <t>Test Procedure Ref (optional)</t>
        </is>
      </c>
      <c r="Q1" s="118" t="inlineStr">
        <is>
          <t>Closeout Evidence Ref (optional)</t>
        </is>
      </c>
      <c r="R1" s="118" t="inlineStr">
        <is>
          <t>Relationship Review State</t>
        </is>
      </c>
      <c r="S1" s="118" t="inlineStr">
        <is>
          <t>Notes</t>
        </is>
      </c>
      <c r="T1" s="118" t="inlineStr">
        <is>
          <t>Progress Row Check (derived)</t>
        </is>
      </c>
    </row>
    <row r="2" ht="30" customHeight="1" s="130">
      <c r="A2" s="51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7">
        <f>IF(A2="","",IF(COUNTIF('WP PROGRESS'!$A$2:$A$100,A2)=1,"OK",IF(COUNTIF('WP PROGRESS'!$A$2:$A$100,A2)=0,"NO PROGRESS ROW","DUPLICATE PROGRESS ROWS")))</f>
        <v/>
      </c>
    </row>
    <row r="3" ht="45" customHeight="1" s="130">
      <c r="A3" s="51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  <c r="O3" s="115" t="n"/>
      <c r="P3" s="115" t="n"/>
      <c r="Q3" s="115" t="n"/>
      <c r="R3" s="115" t="n"/>
      <c r="S3" s="115" t="n"/>
      <c r="T3" s="117">
        <f>IF(A3="","",IF(COUNTIF('WP PROGRESS'!$A$2:$A$100,A3)=1,"OK",IF(COUNTIF('WP PROGRESS'!$A$2:$A$100,A3)=0,"NO PROGRESS ROW","DUPLICATE PROGRESS ROWS")))</f>
        <v/>
      </c>
    </row>
    <row r="4" ht="45" customHeight="1" s="130">
      <c r="A4" s="51" t="n"/>
      <c r="B4" s="115" t="n"/>
      <c r="C4" s="115" t="n"/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  <c r="O4" s="115" t="n"/>
      <c r="P4" s="115" t="n"/>
      <c r="Q4" s="115" t="n"/>
      <c r="R4" s="115" t="n"/>
      <c r="S4" s="115" t="n"/>
      <c r="T4" s="117">
        <f>IF(A4="","",IF(COUNTIF('WP PROGRESS'!$A$2:$A$100,A4)=1,"OK",IF(COUNTIF('WP PROGRESS'!$A$2:$A$100,A4)=0,"NO PROGRESS ROW","DUPLICATE PROGRESS ROWS")))</f>
        <v/>
      </c>
    </row>
    <row r="5" ht="30" customHeight="1" s="130">
      <c r="A5" s="51" t="n"/>
      <c r="B5" s="115" t="n"/>
      <c r="C5" s="115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  <c r="O5" s="115" t="n"/>
      <c r="P5" s="115" t="n"/>
      <c r="Q5" s="115" t="n"/>
      <c r="R5" s="115" t="n"/>
      <c r="S5" s="115" t="n"/>
      <c r="T5" s="117">
        <f>IF(A5="","",IF(COUNTIF('WP PROGRESS'!$A$2:$A$100,A5)=1,"OK",IF(COUNTIF('WP PROGRESS'!$A$2:$A$100,A5)=0,"NO PROGRESS ROW","DUPLICATE PROGRESS ROWS")))</f>
        <v/>
      </c>
    </row>
    <row r="6" ht="45" customHeight="1" s="130">
      <c r="A6" s="51" t="n"/>
      <c r="B6" s="115" t="n"/>
      <c r="C6" s="115" t="n"/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  <c r="O6" s="115" t="n"/>
      <c r="P6" s="115" t="n"/>
      <c r="Q6" s="115" t="n"/>
      <c r="R6" s="115" t="n"/>
      <c r="S6" s="115" t="n"/>
      <c r="T6" s="117">
        <f>IF(A6="","",IF(COUNTIF('WP PROGRESS'!$A$2:$A$100,A6)=1,"OK",IF(COUNTIF('WP PROGRESS'!$A$2:$A$100,A6)=0,"NO PROGRESS ROW","DUPLICATE PROGRESS ROWS")))</f>
        <v/>
      </c>
    </row>
    <row r="7" ht="45" customHeight="1" s="130">
      <c r="A7" s="51" t="n"/>
      <c r="B7" s="115" t="n"/>
      <c r="C7" s="115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  <c r="O7" s="115" t="n"/>
      <c r="P7" s="115" t="n"/>
      <c r="Q7" s="115" t="n"/>
      <c r="R7" s="115" t="n"/>
      <c r="S7" s="115" t="n"/>
      <c r="T7" s="117">
        <f>IF(A7="","",IF(COUNTIF('WP PROGRESS'!$A$2:$A$100,A7)=1,"OK",IF(COUNTIF('WP PROGRESS'!$A$2:$A$100,A7)=0,"NO PROGRESS ROW","DUPLICATE PROGRESS ROWS")))</f>
        <v/>
      </c>
    </row>
    <row r="8">
      <c r="A8" s="51" t="n"/>
      <c r="B8" s="115" t="n"/>
      <c r="C8" s="115" t="n"/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  <c r="O8" s="115" t="n"/>
      <c r="P8" s="115" t="n"/>
      <c r="Q8" s="115" t="n"/>
      <c r="R8" s="115" t="n"/>
      <c r="S8" s="115" t="n"/>
      <c r="T8" s="117">
        <f>IF(A8="","",IF(COUNTIF('WP PROGRESS'!$A$2:$A$100,A8)=1,"OK",IF(COUNTIF('WP PROGRESS'!$A$2:$A$100,A8)=0,"NO PROGRESS ROW","DUPLICATE PROGRESS ROWS")))</f>
        <v/>
      </c>
    </row>
    <row r="9">
      <c r="A9" s="51" t="n"/>
      <c r="B9" s="115" t="n"/>
      <c r="C9" s="115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  <c r="O9" s="115" t="n"/>
      <c r="P9" s="115" t="n"/>
      <c r="Q9" s="115" t="n"/>
      <c r="R9" s="115" t="n"/>
      <c r="S9" s="115" t="n"/>
      <c r="T9" s="117">
        <f>IF(A9="","",IF(COUNTIF('WP PROGRESS'!$A$2:$A$100,A9)=1,"OK",IF(COUNTIF('WP PROGRESS'!$A$2:$A$100,A9)=0,"NO PROGRESS ROW","DUPLICATE PROGRESS ROWS")))</f>
        <v/>
      </c>
    </row>
    <row r="10">
      <c r="A10" s="51" t="n"/>
      <c r="B10" s="115" t="n"/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7">
        <f>IF(A10="","",IF(COUNTIF('WP PROGRESS'!$A$2:$A$100,A10)=1,"OK",IF(COUNTIF('WP PROGRESS'!$A$2:$A$100,A10)=0,"NO PROGRESS ROW","DUPLICATE PROGRESS ROWS")))</f>
        <v/>
      </c>
    </row>
    <row r="11">
      <c r="A11" s="51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  <c r="S11" s="115" t="n"/>
      <c r="T11" s="117">
        <f>IF(A11="","",IF(COUNTIF('WP PROGRESS'!$A$2:$A$100,A11)=1,"OK",IF(COUNTIF('WP PROGRESS'!$A$2:$A$100,A11)=0,"NO PROGRESS ROW","DUPLICATE PROGRESS ROWS")))</f>
        <v/>
      </c>
    </row>
    <row r="12">
      <c r="A12" s="51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  <c r="O12" s="115" t="n"/>
      <c r="P12" s="115" t="n"/>
      <c r="Q12" s="115" t="n"/>
      <c r="R12" s="115" t="n"/>
      <c r="S12" s="115" t="n"/>
      <c r="T12" s="117">
        <f>IF(A12="","",IF(COUNTIF('WP PROGRESS'!$A$2:$A$100,A12)=1,"OK",IF(COUNTIF('WP PROGRESS'!$A$2:$A$100,A12)=0,"NO PROGRESS ROW","DUPLICATE PROGRESS ROWS")))</f>
        <v/>
      </c>
    </row>
    <row r="13">
      <c r="A13" s="51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  <c r="S13" s="115" t="n"/>
      <c r="T13" s="117">
        <f>IF(A13="","",IF(COUNTIF('WP PROGRESS'!$A$2:$A$100,A13)=1,"OK",IF(COUNTIF('WP PROGRESS'!$A$2:$A$100,A13)=0,"NO PROGRESS ROW","DUPLICATE PROGRESS ROWS")))</f>
        <v/>
      </c>
    </row>
    <row r="14">
      <c r="A14" s="51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  <c r="S14" s="115" t="n"/>
      <c r="T14" s="117">
        <f>IF(A14="","",IF(COUNTIF('WP PROGRESS'!$A$2:$A$100,A14)=1,"OK",IF(COUNTIF('WP PROGRESS'!$A$2:$A$100,A14)=0,"NO PROGRESS ROW","DUPLICATE PROGRESS ROWS")))</f>
        <v/>
      </c>
    </row>
    <row r="15">
      <c r="A15" s="51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  <c r="O15" s="115" t="n"/>
      <c r="P15" s="115" t="n"/>
      <c r="Q15" s="115" t="n"/>
      <c r="R15" s="115" t="n"/>
      <c r="S15" s="115" t="n"/>
      <c r="T15" s="117">
        <f>IF(A15="","",IF(COUNTIF('WP PROGRESS'!$A$2:$A$100,A15)=1,"OK",IF(COUNTIF('WP PROGRESS'!$A$2:$A$100,A15)=0,"NO PROGRESS ROW","DUPLICATE PROGRESS ROWS")))</f>
        <v/>
      </c>
    </row>
    <row r="16">
      <c r="A16" s="51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5" t="n"/>
      <c r="R16" s="115" t="n"/>
      <c r="S16" s="115" t="n"/>
      <c r="T16" s="117">
        <f>IF(A16="","",IF(COUNTIF('WP PROGRESS'!$A$2:$A$100,A16)=1,"OK",IF(COUNTIF('WP PROGRESS'!$A$2:$A$100,A16)=0,"NO PROGRESS ROW","DUPLICATE PROGRESS ROWS")))</f>
        <v/>
      </c>
    </row>
    <row r="17">
      <c r="A17" s="51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  <c r="S17" s="115" t="n"/>
      <c r="T17" s="117">
        <f>IF(A17="","",IF(COUNTIF('WP PROGRESS'!$A$2:$A$100,A17)=1,"OK",IF(COUNTIF('WP PROGRESS'!$A$2:$A$100,A17)=0,"NO PROGRESS ROW","DUPLICATE PROGRESS ROWS")))</f>
        <v/>
      </c>
    </row>
    <row r="18">
      <c r="A18" s="51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  <c r="S18" s="115" t="n"/>
      <c r="T18" s="117">
        <f>IF(A18="","",IF(COUNTIF('WP PROGRESS'!$A$2:$A$100,A18)=1,"OK",IF(COUNTIF('WP PROGRESS'!$A$2:$A$100,A18)=0,"NO PROGRESS ROW","DUPLICATE PROGRESS ROWS")))</f>
        <v/>
      </c>
    </row>
    <row r="19">
      <c r="A19" s="51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117">
        <f>IF(A19="","",IF(COUNTIF('WP PROGRESS'!$A$2:$A$100,A19)=1,"OK",IF(COUNTIF('WP PROGRESS'!$A$2:$A$100,A19)=0,"NO PROGRESS ROW","DUPLICATE PROGRESS ROWS")))</f>
        <v/>
      </c>
    </row>
    <row r="20">
      <c r="A20" s="51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7">
        <f>IF(A20="","",IF(COUNTIF('WP PROGRESS'!$A$2:$A$100,A20)=1,"OK",IF(COUNTIF('WP PROGRESS'!$A$2:$A$100,A20)=0,"NO PROGRESS ROW","DUPLICATE PROGRESS ROWS")))</f>
        <v/>
      </c>
    </row>
    <row r="21">
      <c r="A21" s="51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117">
        <f>IF(A21="","",IF(COUNTIF('WP PROGRESS'!$A$2:$A$100,A21)=1,"OK",IF(COUNTIF('WP PROGRESS'!$A$2:$A$100,A21)=0,"NO PROGRESS ROW","DUPLICATE PROGRESS ROWS")))</f>
        <v/>
      </c>
    </row>
    <row r="22">
      <c r="A22" s="51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7">
        <f>IF(A22="","",IF(COUNTIF('WP PROGRESS'!$A$2:$A$100,A22)=1,"OK",IF(COUNTIF('WP PROGRESS'!$A$2:$A$100,A22)=0,"NO PROGRESS ROW","DUPLICATE PROGRESS ROWS")))</f>
        <v/>
      </c>
    </row>
    <row r="23">
      <c r="A23" s="51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7">
        <f>IF(A23="","",IF(COUNTIF('WP PROGRESS'!$A$2:$A$100,A23)=1,"OK",IF(COUNTIF('WP PROGRESS'!$A$2:$A$100,A23)=0,"NO PROGRESS ROW","DUPLICATE PROGRESS ROWS")))</f>
        <v/>
      </c>
    </row>
    <row r="24">
      <c r="A24" s="51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7">
        <f>IF(A24="","",IF(COUNTIF('WP PROGRESS'!$A$2:$A$100,A24)=1,"OK",IF(COUNTIF('WP PROGRESS'!$A$2:$A$100,A24)=0,"NO PROGRESS ROW","DUPLICATE PROGRESS ROWS")))</f>
        <v/>
      </c>
    </row>
    <row r="25">
      <c r="A25" s="51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7">
        <f>IF(A25="","",IF(COUNTIF('WP PROGRESS'!$A$2:$A$100,A25)=1,"OK",IF(COUNTIF('WP PROGRESS'!$A$2:$A$100,A25)=0,"NO PROGRESS ROW","DUPLICATE PROGRESS ROWS")))</f>
        <v/>
      </c>
    </row>
    <row r="26">
      <c r="A26" s="51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  <c r="S26" s="115" t="n"/>
      <c r="T26" s="117">
        <f>IF(A26="","",IF(COUNTIF('WP PROGRESS'!$A$2:$A$100,A26)=1,"OK",IF(COUNTIF('WP PROGRESS'!$A$2:$A$100,A26)=0,"NO PROGRESS ROW","DUPLICATE PROGRESS ROWS")))</f>
        <v/>
      </c>
    </row>
    <row r="27">
      <c r="A27" s="51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5" t="n"/>
      <c r="T27" s="117">
        <f>IF(A27="","",IF(COUNTIF('WP PROGRESS'!$A$2:$A$100,A27)=1,"OK",IF(COUNTIF('WP PROGRESS'!$A$2:$A$100,A27)=0,"NO PROGRESS ROW","DUPLICATE PROGRESS ROWS")))</f>
        <v/>
      </c>
    </row>
    <row r="28">
      <c r="A28" s="51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7">
        <f>IF(A28="","",IF(COUNTIF('WP PROGRESS'!$A$2:$A$100,A28)=1,"OK",IF(COUNTIF('WP PROGRESS'!$A$2:$A$100,A28)=0,"NO PROGRESS ROW","DUPLICATE PROGRESS ROWS")))</f>
        <v/>
      </c>
    </row>
    <row r="29">
      <c r="A29" s="51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7">
        <f>IF(A29="","",IF(COUNTIF('WP PROGRESS'!$A$2:$A$100,A29)=1,"OK",IF(COUNTIF('WP PROGRESS'!$A$2:$A$100,A29)=0,"NO PROGRESS ROW","DUPLICATE PROGRESS ROWS")))</f>
        <v/>
      </c>
    </row>
    <row r="30">
      <c r="A30" s="51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7">
        <f>IF(A30="","",IF(COUNTIF('WP PROGRESS'!$A$2:$A$100,A30)=1,"OK",IF(COUNTIF('WP PROGRESS'!$A$2:$A$100,A30)=0,"NO PROGRESS ROW","DUPLICATE PROGRESS ROWS")))</f>
        <v/>
      </c>
    </row>
    <row r="31">
      <c r="A31" s="51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7">
        <f>IF(A31="","",IF(COUNTIF('WP PROGRESS'!$A$2:$A$100,A31)=1,"OK",IF(COUNTIF('WP PROGRESS'!$A$2:$A$100,A31)=0,"NO PROGRESS ROW","DUPLICATE PROGRESS ROWS")))</f>
        <v/>
      </c>
    </row>
    <row r="32">
      <c r="A32" s="51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7">
        <f>IF(A32="","",IF(COUNTIF('WP PROGRESS'!$A$2:$A$100,A32)=1,"OK",IF(COUNTIF('WP PROGRESS'!$A$2:$A$100,A32)=0,"NO PROGRESS ROW","DUPLICATE PROGRESS ROWS")))</f>
        <v/>
      </c>
    </row>
    <row r="33">
      <c r="A33" s="51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  <c r="S33" s="115" t="n"/>
      <c r="T33" s="117">
        <f>IF(A33="","",IF(COUNTIF('WP PROGRESS'!$A$2:$A$100,A33)=1,"OK",IF(COUNTIF('WP PROGRESS'!$A$2:$A$100,A33)=0,"NO PROGRESS ROW","DUPLICATE PROGRESS ROWS")))</f>
        <v/>
      </c>
    </row>
    <row r="34">
      <c r="A34" s="51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7">
        <f>IF(A34="","",IF(COUNTIF('WP PROGRESS'!$A$2:$A$100,A34)=1,"OK",IF(COUNTIF('WP PROGRESS'!$A$2:$A$100,A34)=0,"NO PROGRESS ROW","DUPLICATE PROGRESS ROWS")))</f>
        <v/>
      </c>
    </row>
    <row r="35">
      <c r="A35" s="51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  <c r="S35" s="115" t="n"/>
      <c r="T35" s="117">
        <f>IF(A35="","",IF(COUNTIF('WP PROGRESS'!$A$2:$A$100,A35)=1,"OK",IF(COUNTIF('WP PROGRESS'!$A$2:$A$100,A35)=0,"NO PROGRESS ROW","DUPLICATE PROGRESS ROWS")))</f>
        <v/>
      </c>
    </row>
    <row r="36">
      <c r="A36" s="51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  <c r="S36" s="115" t="n"/>
      <c r="T36" s="117">
        <f>IF(A36="","",IF(COUNTIF('WP PROGRESS'!$A$2:$A$100,A36)=1,"OK",IF(COUNTIF('WP PROGRESS'!$A$2:$A$100,A36)=0,"NO PROGRESS ROW","DUPLICATE PROGRESS ROWS")))</f>
        <v/>
      </c>
    </row>
    <row r="37">
      <c r="A37" s="51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  <c r="S37" s="115" t="n"/>
      <c r="T37" s="117">
        <f>IF(A37="","",IF(COUNTIF('WP PROGRESS'!$A$2:$A$100,A37)=1,"OK",IF(COUNTIF('WP PROGRESS'!$A$2:$A$100,A37)=0,"NO PROGRESS ROW","DUPLICATE PROGRESS ROWS")))</f>
        <v/>
      </c>
    </row>
    <row r="38">
      <c r="A38" s="51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  <c r="S38" s="115" t="n"/>
      <c r="T38" s="117">
        <f>IF(A38="","",IF(COUNTIF('WP PROGRESS'!$A$2:$A$100,A38)=1,"OK",IF(COUNTIF('WP PROGRESS'!$A$2:$A$100,A38)=0,"NO PROGRESS ROW","DUPLICATE PROGRESS ROWS")))</f>
        <v/>
      </c>
    </row>
    <row r="39">
      <c r="A39" s="51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  <c r="S39" s="115" t="n"/>
      <c r="T39" s="117">
        <f>IF(A39="","",IF(COUNTIF('WP PROGRESS'!$A$2:$A$100,A39)=1,"OK",IF(COUNTIF('WP PROGRESS'!$A$2:$A$100,A39)=0,"NO PROGRESS ROW","DUPLICATE PROGRESS ROWS")))</f>
        <v/>
      </c>
    </row>
    <row r="40">
      <c r="A40" s="51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  <c r="S40" s="115" t="n"/>
      <c r="T40" s="117">
        <f>IF(A40="","",IF(COUNTIF('WP PROGRESS'!$A$2:$A$100,A40)=1,"OK",IF(COUNTIF('WP PROGRESS'!$A$2:$A$100,A40)=0,"NO PROGRESS ROW","DUPLICATE PROGRESS ROWS")))</f>
        <v/>
      </c>
    </row>
    <row r="41">
      <c r="A41" s="51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  <c r="S41" s="115" t="n"/>
      <c r="T41" s="117">
        <f>IF(A41="","",IF(COUNTIF('WP PROGRESS'!$A$2:$A$100,A41)=1,"OK",IF(COUNTIF('WP PROGRESS'!$A$2:$A$100,A41)=0,"NO PROGRESS ROW","DUPLICATE PROGRESS ROWS")))</f>
        <v/>
      </c>
    </row>
    <row r="42">
      <c r="A42" s="51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  <c r="S42" s="115" t="n"/>
      <c r="T42" s="117">
        <f>IF(A42="","",IF(COUNTIF('WP PROGRESS'!$A$2:$A$100,A42)=1,"OK",IF(COUNTIF('WP PROGRESS'!$A$2:$A$100,A42)=0,"NO PROGRESS ROW","DUPLICATE PROGRESS ROWS")))</f>
        <v/>
      </c>
    </row>
    <row r="43">
      <c r="A43" s="51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  <c r="S43" s="115" t="n"/>
      <c r="T43" s="117">
        <f>IF(A43="","",IF(COUNTIF('WP PROGRESS'!$A$2:$A$100,A43)=1,"OK",IF(COUNTIF('WP PROGRESS'!$A$2:$A$100,A43)=0,"NO PROGRESS ROW","DUPLICATE PROGRESS ROWS")))</f>
        <v/>
      </c>
    </row>
    <row r="44">
      <c r="A44" s="51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  <c r="S44" s="115" t="n"/>
      <c r="T44" s="117">
        <f>IF(A44="","",IF(COUNTIF('WP PROGRESS'!$A$2:$A$100,A44)=1,"OK",IF(COUNTIF('WP PROGRESS'!$A$2:$A$100,A44)=0,"NO PROGRESS ROW","DUPLICATE PROGRESS ROWS")))</f>
        <v/>
      </c>
    </row>
    <row r="45">
      <c r="A45" s="51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  <c r="S45" s="115" t="n"/>
      <c r="T45" s="117">
        <f>IF(A45="","",IF(COUNTIF('WP PROGRESS'!$A$2:$A$100,A45)=1,"OK",IF(COUNTIF('WP PROGRESS'!$A$2:$A$100,A45)=0,"NO PROGRESS ROW","DUPLICATE PROGRESS ROWS")))</f>
        <v/>
      </c>
    </row>
    <row r="46">
      <c r="A46" s="51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  <c r="S46" s="115" t="n"/>
      <c r="T46" s="117">
        <f>IF(A46="","",IF(COUNTIF('WP PROGRESS'!$A$2:$A$100,A46)=1,"OK",IF(COUNTIF('WP PROGRESS'!$A$2:$A$100,A46)=0,"NO PROGRESS ROW","DUPLICATE PROGRESS ROWS")))</f>
        <v/>
      </c>
    </row>
    <row r="47">
      <c r="A47" s="51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  <c r="S47" s="115" t="n"/>
      <c r="T47" s="117">
        <f>IF(A47="","",IF(COUNTIF('WP PROGRESS'!$A$2:$A$100,A47)=1,"OK",IF(COUNTIF('WP PROGRESS'!$A$2:$A$100,A47)=0,"NO PROGRESS ROW","DUPLICATE PROGRESS ROWS")))</f>
        <v/>
      </c>
    </row>
    <row r="48">
      <c r="A48" s="51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  <c r="S48" s="115" t="n"/>
      <c r="T48" s="117">
        <f>IF(A48="","",IF(COUNTIF('WP PROGRESS'!$A$2:$A$100,A48)=1,"OK",IF(COUNTIF('WP PROGRESS'!$A$2:$A$100,A48)=0,"NO PROGRESS ROW","DUPLICATE PROGRESS ROWS")))</f>
        <v/>
      </c>
    </row>
    <row r="49">
      <c r="A49" s="51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  <c r="S49" s="115" t="n"/>
      <c r="T49" s="117">
        <f>IF(A49="","",IF(COUNTIF('WP PROGRESS'!$A$2:$A$100,A49)=1,"OK",IF(COUNTIF('WP PROGRESS'!$A$2:$A$100,A49)=0,"NO PROGRESS ROW","DUPLICATE PROGRESS ROWS")))</f>
        <v/>
      </c>
    </row>
    <row r="50">
      <c r="A50" s="51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  <c r="S50" s="115" t="n"/>
      <c r="T50" s="117">
        <f>IF(A50="","",IF(COUNTIF('WP PROGRESS'!$A$2:$A$100,A50)=1,"OK",IF(COUNTIF('WP PROGRESS'!$A$2:$A$100,A50)=0,"NO PROGRESS ROW","DUPLICATE PROGRESS ROWS")))</f>
        <v/>
      </c>
    </row>
    <row r="51">
      <c r="A51" s="51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  <c r="S51" s="115" t="n"/>
      <c r="T51" s="117">
        <f>IF(A51="","",IF(COUNTIF('WP PROGRESS'!$A$2:$A$100,A51)=1,"OK",IF(COUNTIF('WP PROGRESS'!$A$2:$A$100,A51)=0,"NO PROGRESS ROW","DUPLICATE PROGRESS ROWS")))</f>
        <v/>
      </c>
    </row>
    <row r="52">
      <c r="A52" s="51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  <c r="S52" s="115" t="n"/>
      <c r="T52" s="117">
        <f>IF(A52="","",IF(COUNTIF('WP PROGRESS'!$A$2:$A$100,A52)=1,"OK",IF(COUNTIF('WP PROGRESS'!$A$2:$A$100,A52)=0,"NO PROGRESS ROW","DUPLICATE PROGRESS ROWS")))</f>
        <v/>
      </c>
    </row>
    <row r="53">
      <c r="A53" s="51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  <c r="S53" s="115" t="n"/>
      <c r="T53" s="117">
        <f>IF(A53="","",IF(COUNTIF('WP PROGRESS'!$A$2:$A$100,A53)=1,"OK",IF(COUNTIF('WP PROGRESS'!$A$2:$A$100,A53)=0,"NO PROGRESS ROW","DUPLICATE PROGRESS ROWS")))</f>
        <v/>
      </c>
    </row>
    <row r="54">
      <c r="A54" s="51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  <c r="S54" s="115" t="n"/>
      <c r="T54" s="117">
        <f>IF(A54="","",IF(COUNTIF('WP PROGRESS'!$A$2:$A$100,A54)=1,"OK",IF(COUNTIF('WP PROGRESS'!$A$2:$A$100,A54)=0,"NO PROGRESS ROW","DUPLICATE PROGRESS ROWS")))</f>
        <v/>
      </c>
    </row>
    <row r="55">
      <c r="A55" s="51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  <c r="S55" s="115" t="n"/>
      <c r="T55" s="117">
        <f>IF(A55="","",IF(COUNTIF('WP PROGRESS'!$A$2:$A$100,A55)=1,"OK",IF(COUNTIF('WP PROGRESS'!$A$2:$A$100,A55)=0,"NO PROGRESS ROW","DUPLICATE PROGRESS ROWS")))</f>
        <v/>
      </c>
    </row>
    <row r="56">
      <c r="A56" s="51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  <c r="S56" s="115" t="n"/>
      <c r="T56" s="117">
        <f>IF(A56="","",IF(COUNTIF('WP PROGRESS'!$A$2:$A$100,A56)=1,"OK",IF(COUNTIF('WP PROGRESS'!$A$2:$A$100,A56)=0,"NO PROGRESS ROW","DUPLICATE PROGRESS ROWS")))</f>
        <v/>
      </c>
    </row>
    <row r="57">
      <c r="A57" s="51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  <c r="S57" s="115" t="n"/>
      <c r="T57" s="117">
        <f>IF(A57="","",IF(COUNTIF('WP PROGRESS'!$A$2:$A$100,A57)=1,"OK",IF(COUNTIF('WP PROGRESS'!$A$2:$A$100,A57)=0,"NO PROGRESS ROW","DUPLICATE PROGRESS ROWS")))</f>
        <v/>
      </c>
    </row>
    <row r="58">
      <c r="A58" s="51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  <c r="S58" s="115" t="n"/>
      <c r="T58" s="117">
        <f>IF(A58="","",IF(COUNTIF('WP PROGRESS'!$A$2:$A$100,A58)=1,"OK",IF(COUNTIF('WP PROGRESS'!$A$2:$A$100,A58)=0,"NO PROGRESS ROW","DUPLICATE PROGRESS ROWS")))</f>
        <v/>
      </c>
    </row>
    <row r="59">
      <c r="A59" s="51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  <c r="S59" s="115" t="n"/>
      <c r="T59" s="117">
        <f>IF(A59="","",IF(COUNTIF('WP PROGRESS'!$A$2:$A$100,A59)=1,"OK",IF(COUNTIF('WP PROGRESS'!$A$2:$A$100,A59)=0,"NO PROGRESS ROW","DUPLICATE PROGRESS ROWS")))</f>
        <v/>
      </c>
    </row>
    <row r="60">
      <c r="A60" s="51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  <c r="S60" s="115" t="n"/>
      <c r="T60" s="117">
        <f>IF(A60="","",IF(COUNTIF('WP PROGRESS'!$A$2:$A$100,A60)=1,"OK",IF(COUNTIF('WP PROGRESS'!$A$2:$A$100,A60)=0,"NO PROGRESS ROW","DUPLICATE PROGRESS ROWS")))</f>
        <v/>
      </c>
    </row>
    <row r="61">
      <c r="A61" s="51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7">
        <f>IF(A61="","",IF(COUNTIF('WP PROGRESS'!$A$2:$A$100,A61)=1,"OK",IF(COUNTIF('WP PROGRESS'!$A$2:$A$100,A61)=0,"NO PROGRESS ROW","DUPLICATE PROGRESS ROWS")))</f>
        <v/>
      </c>
    </row>
    <row r="62">
      <c r="A62" s="51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  <c r="S62" s="115" t="n"/>
      <c r="T62" s="117">
        <f>IF(A62="","",IF(COUNTIF('WP PROGRESS'!$A$2:$A$100,A62)=1,"OK",IF(COUNTIF('WP PROGRESS'!$A$2:$A$100,A62)=0,"NO PROGRESS ROW","DUPLICATE PROGRESS ROWS")))</f>
        <v/>
      </c>
    </row>
    <row r="63">
      <c r="A63" s="51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  <c r="S63" s="115" t="n"/>
      <c r="T63" s="117">
        <f>IF(A63="","",IF(COUNTIF('WP PROGRESS'!$A$2:$A$100,A63)=1,"OK",IF(COUNTIF('WP PROGRESS'!$A$2:$A$100,A63)=0,"NO PROGRESS ROW","DUPLICATE PROGRESS ROWS")))</f>
        <v/>
      </c>
    </row>
    <row r="64">
      <c r="A64" s="51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  <c r="S64" s="115" t="n"/>
      <c r="T64" s="117">
        <f>IF(A64="","",IF(COUNTIF('WP PROGRESS'!$A$2:$A$100,A64)=1,"OK",IF(COUNTIF('WP PROGRESS'!$A$2:$A$100,A64)=0,"NO PROGRESS ROW","DUPLICATE PROGRESS ROWS")))</f>
        <v/>
      </c>
    </row>
    <row r="65">
      <c r="A65" s="51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  <c r="S65" s="115" t="n"/>
      <c r="T65" s="117">
        <f>IF(A65="","",IF(COUNTIF('WP PROGRESS'!$A$2:$A$100,A65)=1,"OK",IF(COUNTIF('WP PROGRESS'!$A$2:$A$100,A65)=0,"NO PROGRESS ROW","DUPLICATE PROGRESS ROWS")))</f>
        <v/>
      </c>
    </row>
    <row r="66">
      <c r="A66" s="51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  <c r="S66" s="115" t="n"/>
      <c r="T66" s="117">
        <f>IF(A66="","",IF(COUNTIF('WP PROGRESS'!$A$2:$A$100,A66)=1,"OK",IF(COUNTIF('WP PROGRESS'!$A$2:$A$100,A66)=0,"NO PROGRESS ROW","DUPLICATE PROGRESS ROWS")))</f>
        <v/>
      </c>
    </row>
    <row r="67">
      <c r="A67" s="51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  <c r="S67" s="115" t="n"/>
      <c r="T67" s="117">
        <f>IF(A67="","",IF(COUNTIF('WP PROGRESS'!$A$2:$A$100,A67)=1,"OK",IF(COUNTIF('WP PROGRESS'!$A$2:$A$100,A67)=0,"NO PROGRESS ROW","DUPLICATE PROGRESS ROWS")))</f>
        <v/>
      </c>
    </row>
    <row r="68">
      <c r="A68" s="51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  <c r="S68" s="115" t="n"/>
      <c r="T68" s="117">
        <f>IF(A68="","",IF(COUNTIF('WP PROGRESS'!$A$2:$A$100,A68)=1,"OK",IF(COUNTIF('WP PROGRESS'!$A$2:$A$100,A68)=0,"NO PROGRESS ROW","DUPLICATE PROGRESS ROWS")))</f>
        <v/>
      </c>
    </row>
    <row r="69">
      <c r="A69" s="51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7">
        <f>IF(A69="","",IF(COUNTIF('WP PROGRESS'!$A$2:$A$100,A69)=1,"OK",IF(COUNTIF('WP PROGRESS'!$A$2:$A$100,A69)=0,"NO PROGRESS ROW","DUPLICATE PROGRESS ROWS")))</f>
        <v/>
      </c>
    </row>
    <row r="70">
      <c r="A70" s="51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  <c r="S70" s="115" t="n"/>
      <c r="T70" s="117">
        <f>IF(A70="","",IF(COUNTIF('WP PROGRESS'!$A$2:$A$100,A70)=1,"OK",IF(COUNTIF('WP PROGRESS'!$A$2:$A$100,A70)=0,"NO PROGRESS ROW","DUPLICATE PROGRESS ROWS")))</f>
        <v/>
      </c>
    </row>
    <row r="71">
      <c r="A71" s="51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7">
        <f>IF(A71="","",IF(COUNTIF('WP PROGRESS'!$A$2:$A$100,A71)=1,"OK",IF(COUNTIF('WP PROGRESS'!$A$2:$A$100,A71)=0,"NO PROGRESS ROW","DUPLICATE PROGRESS ROWS")))</f>
        <v/>
      </c>
    </row>
    <row r="72">
      <c r="A72" s="51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7">
        <f>IF(A72="","",IF(COUNTIF('WP PROGRESS'!$A$2:$A$100,A72)=1,"OK",IF(COUNTIF('WP PROGRESS'!$A$2:$A$100,A72)=0,"NO PROGRESS ROW","DUPLICATE PROGRESS ROWS")))</f>
        <v/>
      </c>
    </row>
    <row r="73">
      <c r="A73" s="51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7">
        <f>IF(A73="","",IF(COUNTIF('WP PROGRESS'!$A$2:$A$100,A73)=1,"OK",IF(COUNTIF('WP PROGRESS'!$A$2:$A$100,A73)=0,"NO PROGRESS ROW","DUPLICATE PROGRESS ROWS")))</f>
        <v/>
      </c>
    </row>
    <row r="74">
      <c r="A74" s="51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7">
        <f>IF(A74="","",IF(COUNTIF('WP PROGRESS'!$A$2:$A$100,A74)=1,"OK",IF(COUNTIF('WP PROGRESS'!$A$2:$A$100,A74)=0,"NO PROGRESS ROW","DUPLICATE PROGRESS ROWS")))</f>
        <v/>
      </c>
    </row>
    <row r="75">
      <c r="A75" s="51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7">
        <f>IF(A75="","",IF(COUNTIF('WP PROGRESS'!$A$2:$A$100,A75)=1,"OK",IF(COUNTIF('WP PROGRESS'!$A$2:$A$100,A75)=0,"NO PROGRESS ROW","DUPLICATE PROGRESS ROWS")))</f>
        <v/>
      </c>
    </row>
    <row r="76">
      <c r="A76" s="51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7">
        <f>IF(A76="","",IF(COUNTIF('WP PROGRESS'!$A$2:$A$100,A76)=1,"OK",IF(COUNTIF('WP PROGRESS'!$A$2:$A$100,A76)=0,"NO PROGRESS ROW","DUPLICATE PROGRESS ROWS")))</f>
        <v/>
      </c>
    </row>
    <row r="77">
      <c r="A77" s="51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7">
        <f>IF(A77="","",IF(COUNTIF('WP PROGRESS'!$A$2:$A$100,A77)=1,"OK",IF(COUNTIF('WP PROGRESS'!$A$2:$A$100,A77)=0,"NO PROGRESS ROW","DUPLICATE PROGRESS ROWS")))</f>
        <v/>
      </c>
    </row>
    <row r="78">
      <c r="A78" s="51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7">
        <f>IF(A78="","",IF(COUNTIF('WP PROGRESS'!$A$2:$A$100,A78)=1,"OK",IF(COUNTIF('WP PROGRESS'!$A$2:$A$100,A78)=0,"NO PROGRESS ROW","DUPLICATE PROGRESS ROWS")))</f>
        <v/>
      </c>
    </row>
    <row r="79">
      <c r="A79" s="51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7">
        <f>IF(A79="","",IF(COUNTIF('WP PROGRESS'!$A$2:$A$100,A79)=1,"OK",IF(COUNTIF('WP PROGRESS'!$A$2:$A$100,A79)=0,"NO PROGRESS ROW","DUPLICATE PROGRESS ROWS")))</f>
        <v/>
      </c>
    </row>
    <row r="80">
      <c r="A80" s="51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7">
        <f>IF(A80="","",IF(COUNTIF('WP PROGRESS'!$A$2:$A$100,A80)=1,"OK",IF(COUNTIF('WP PROGRESS'!$A$2:$A$100,A80)=0,"NO PROGRESS ROW","DUPLICATE PROGRESS ROWS")))</f>
        <v/>
      </c>
    </row>
    <row r="81">
      <c r="A81" s="51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7">
        <f>IF(A81="","",IF(COUNTIF('WP PROGRESS'!$A$2:$A$100,A81)=1,"OK",IF(COUNTIF('WP PROGRESS'!$A$2:$A$100,A81)=0,"NO PROGRESS ROW","DUPLICATE PROGRESS ROWS")))</f>
        <v/>
      </c>
    </row>
    <row r="82">
      <c r="A82" s="51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7">
        <f>IF(A82="","",IF(COUNTIF('WP PROGRESS'!$A$2:$A$100,A82)=1,"OK",IF(COUNTIF('WP PROGRESS'!$A$2:$A$100,A82)=0,"NO PROGRESS ROW","DUPLICATE PROGRESS ROWS")))</f>
        <v/>
      </c>
    </row>
    <row r="83">
      <c r="A83" s="51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7">
        <f>IF(A83="","",IF(COUNTIF('WP PROGRESS'!$A$2:$A$100,A83)=1,"OK",IF(COUNTIF('WP PROGRESS'!$A$2:$A$100,A83)=0,"NO PROGRESS ROW","DUPLICATE PROGRESS ROWS")))</f>
        <v/>
      </c>
    </row>
    <row r="84">
      <c r="A84" s="51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7">
        <f>IF(A84="","",IF(COUNTIF('WP PROGRESS'!$A$2:$A$100,A84)=1,"OK",IF(COUNTIF('WP PROGRESS'!$A$2:$A$100,A84)=0,"NO PROGRESS ROW","DUPLICATE PROGRESS ROWS")))</f>
        <v/>
      </c>
    </row>
    <row r="85">
      <c r="A85" s="51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7">
        <f>IF(A85="","",IF(COUNTIF('WP PROGRESS'!$A$2:$A$100,A85)=1,"OK",IF(COUNTIF('WP PROGRESS'!$A$2:$A$100,A85)=0,"NO PROGRESS ROW","DUPLICATE PROGRESS ROWS")))</f>
        <v/>
      </c>
    </row>
    <row r="86">
      <c r="A86" s="51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7">
        <f>IF(A86="","",IF(COUNTIF('WP PROGRESS'!$A$2:$A$100,A86)=1,"OK",IF(COUNTIF('WP PROGRESS'!$A$2:$A$100,A86)=0,"NO PROGRESS ROW","DUPLICATE PROGRESS ROWS")))</f>
        <v/>
      </c>
    </row>
    <row r="87">
      <c r="A87" s="51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7">
        <f>IF(A87="","",IF(COUNTIF('WP PROGRESS'!$A$2:$A$100,A87)=1,"OK",IF(COUNTIF('WP PROGRESS'!$A$2:$A$100,A87)=0,"NO PROGRESS ROW","DUPLICATE PROGRESS ROWS")))</f>
        <v/>
      </c>
    </row>
    <row r="88">
      <c r="A88" s="51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7">
        <f>IF(A88="","",IF(COUNTIF('WP PROGRESS'!$A$2:$A$100,A88)=1,"OK",IF(COUNTIF('WP PROGRESS'!$A$2:$A$100,A88)=0,"NO PROGRESS ROW","DUPLICATE PROGRESS ROWS")))</f>
        <v/>
      </c>
    </row>
    <row r="89">
      <c r="A89" s="51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7">
        <f>IF(A89="","",IF(COUNTIF('WP PROGRESS'!$A$2:$A$100,A89)=1,"OK",IF(COUNTIF('WP PROGRESS'!$A$2:$A$100,A89)=0,"NO PROGRESS ROW","DUPLICATE PROGRESS ROWS")))</f>
        <v/>
      </c>
    </row>
    <row r="90">
      <c r="A90" s="51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7">
        <f>IF(A90="","",IF(COUNTIF('WP PROGRESS'!$A$2:$A$100,A90)=1,"OK",IF(COUNTIF('WP PROGRESS'!$A$2:$A$100,A90)=0,"NO PROGRESS ROW","DUPLICATE PROGRESS ROWS")))</f>
        <v/>
      </c>
    </row>
    <row r="91">
      <c r="A91" s="51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7">
        <f>IF(A91="","",IF(COUNTIF('WP PROGRESS'!$A$2:$A$100,A91)=1,"OK",IF(COUNTIF('WP PROGRESS'!$A$2:$A$100,A91)=0,"NO PROGRESS ROW","DUPLICATE PROGRESS ROWS")))</f>
        <v/>
      </c>
    </row>
    <row r="92">
      <c r="A92" s="51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7">
        <f>IF(A92="","",IF(COUNTIF('WP PROGRESS'!$A$2:$A$100,A92)=1,"OK",IF(COUNTIF('WP PROGRESS'!$A$2:$A$100,A92)=0,"NO PROGRESS ROW","DUPLICATE PROGRESS ROWS")))</f>
        <v/>
      </c>
    </row>
    <row r="93">
      <c r="A93" s="51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7">
        <f>IF(A93="","",IF(COUNTIF('WP PROGRESS'!$A$2:$A$100,A93)=1,"OK",IF(COUNTIF('WP PROGRESS'!$A$2:$A$100,A93)=0,"NO PROGRESS ROW","DUPLICATE PROGRESS ROWS")))</f>
        <v/>
      </c>
    </row>
    <row r="94">
      <c r="A94" s="51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7">
        <f>IF(A94="","",IF(COUNTIF('WP PROGRESS'!$A$2:$A$100,A94)=1,"OK",IF(COUNTIF('WP PROGRESS'!$A$2:$A$100,A94)=0,"NO PROGRESS ROW","DUPLICATE PROGRESS ROWS")))</f>
        <v/>
      </c>
    </row>
    <row r="95">
      <c r="A95" s="51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7">
        <f>IF(A95="","",IF(COUNTIF('WP PROGRESS'!$A$2:$A$100,A95)=1,"OK",IF(COUNTIF('WP PROGRESS'!$A$2:$A$100,A95)=0,"NO PROGRESS ROW","DUPLICATE PROGRESS ROWS")))</f>
        <v/>
      </c>
    </row>
    <row r="96">
      <c r="A96" s="51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7">
        <f>IF(A96="","",IF(COUNTIF('WP PROGRESS'!$A$2:$A$100,A96)=1,"OK",IF(COUNTIF('WP PROGRESS'!$A$2:$A$100,A96)=0,"NO PROGRESS ROW","DUPLICATE PROGRESS ROWS")))</f>
        <v/>
      </c>
    </row>
    <row r="97">
      <c r="A97" s="51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7">
        <f>IF(A97="","",IF(COUNTIF('WP PROGRESS'!$A$2:$A$100,A97)=1,"OK",IF(COUNTIF('WP PROGRESS'!$A$2:$A$100,A97)=0,"NO PROGRESS ROW","DUPLICATE PROGRESS ROWS")))</f>
        <v/>
      </c>
    </row>
    <row r="98">
      <c r="A98" s="51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7">
        <f>IF(A98="","",IF(COUNTIF('WP PROGRESS'!$A$2:$A$100,A98)=1,"OK",IF(COUNTIF('WP PROGRESS'!$A$2:$A$100,A98)=0,"NO PROGRESS ROW","DUPLICATE PROGRESS ROWS")))</f>
        <v/>
      </c>
    </row>
    <row r="99">
      <c r="A99" s="51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7">
        <f>IF(A99="","",IF(COUNTIF('WP PROGRESS'!$A$2:$A$100,A99)=1,"OK",IF(COUNTIF('WP PROGRESS'!$A$2:$A$100,A99)=0,"NO PROGRESS ROW","DUPLICATE PROGRESS ROWS")))</f>
        <v/>
      </c>
    </row>
    <row r="100">
      <c r="A100" s="51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7">
        <f>IF(A100="","",IF(COUNTIF('WP PROGRESS'!$A$2:$A$100,A100)=1,"OK",IF(COUNTIF('WP PROGRESS'!$A$2:$A$100,A100)=0,"NO PROGRESS ROW","DUPLICATE PROGRESS ROWS")))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T464"/>
  <sheetViews>
    <sheetView zoomScale="91" zoomScaleNormal="9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" sqref="F3"/>
    </sheetView>
  </sheetViews>
  <sheetFormatPr baseColWidth="8" defaultColWidth="8.5703125" defaultRowHeight="15"/>
  <cols>
    <col width="12.5703125" customWidth="1" style="56" min="1" max="1"/>
    <col width="10.5703125" customWidth="1" style="57" min="2" max="2"/>
    <col width="71" customWidth="1" style="58" min="3" max="3"/>
    <col width="20.28515625" customWidth="1" style="58" min="4" max="4"/>
    <col width="14.85546875" customWidth="1" style="59" min="5" max="5"/>
    <col width="36.7109375" customWidth="1" style="58" min="6" max="6"/>
    <col width="11.28515625" customWidth="1" style="57" min="7" max="7"/>
    <col width="17.7109375" customWidth="1" style="56" min="8" max="8"/>
    <col width="17.140625" customWidth="1" style="56" min="9" max="9"/>
    <col width="15.5703125" customWidth="1" style="56" min="10" max="10"/>
    <col width="53.42578125" customWidth="1" style="59" min="11" max="11"/>
    <col width="14.7109375" customWidth="1" style="60" min="12" max="12"/>
    <col width="13.85546875" customWidth="1" style="56" min="13" max="13"/>
    <col width="15.7109375" customWidth="1" style="56" min="14" max="14"/>
    <col width="11" customWidth="1" style="61" min="15" max="15"/>
    <col width="14.5703125" customWidth="1" style="62" min="16" max="16"/>
    <col width="14.5703125" customWidth="1" style="63" min="17" max="17"/>
    <col width="13.42578125" customWidth="1" style="56" min="18" max="18"/>
    <col width="12.85546875" customWidth="1" style="56" min="19" max="20"/>
    <col width="8.5703125" customWidth="1" style="56" min="21" max="21"/>
    <col width="8.5703125" customWidth="1" style="56" min="22" max="16384"/>
  </cols>
  <sheetData>
    <row r="1" ht="15" customHeight="1" s="130">
      <c r="B1" s="64">
        <f>SUBTOTAL(3,B3:B345)</f>
        <v/>
      </c>
      <c r="C1" s="65">
        <f>SUBTOTAL(3,C3:C345)</f>
        <v/>
      </c>
      <c r="D1" s="65">
        <f>SUBTOTAL(3,D3:D345)</f>
        <v/>
      </c>
      <c r="E1" s="66">
        <f>SUBTOTAL(3,E3:E345)</f>
        <v/>
      </c>
      <c r="F1" s="65">
        <f>SUBTOTAL(3,F3:F345)</f>
        <v/>
      </c>
      <c r="G1" s="64" t="n"/>
      <c r="H1" s="67">
        <f>SUBTOTAL(3,H3:H345)</f>
        <v/>
      </c>
      <c r="I1" s="67">
        <f>SUBTOTAL(3,I3:I345)</f>
        <v/>
      </c>
      <c r="J1" s="67">
        <f>SUBTOTAL(3,J3:J345)</f>
        <v/>
      </c>
      <c r="K1" s="67">
        <f>SUBTOTAL(3,K3:K345)</f>
        <v/>
      </c>
      <c r="L1" s="67">
        <f>SUBTOTAL(3,L3:L345)</f>
        <v/>
      </c>
      <c r="M1" s="67">
        <f>SUBTOTAL(3,M3:M345)</f>
        <v/>
      </c>
      <c r="N1" s="67">
        <f>SUBTOTAL(3,N3:N345)</f>
        <v/>
      </c>
      <c r="O1" s="64">
        <f>COUNTIF(O3:O339,"Open")</f>
        <v/>
      </c>
    </row>
    <row r="2" ht="25.5" customFormat="1" customHeight="1" s="68">
      <c r="B2" s="69" t="inlineStr">
        <is>
          <t>Punchlist</t>
        </is>
      </c>
      <c r="C2" s="70" t="inlineStr">
        <is>
          <t>Description</t>
        </is>
      </c>
      <c r="D2" s="70" t="inlineStr">
        <is>
          <t>Discipline</t>
        </is>
      </c>
      <c r="E2" s="71" t="inlineStr">
        <is>
          <t>Responsible
Party</t>
        </is>
      </c>
      <c r="F2" s="70" t="inlineStr">
        <is>
          <t>Work Package</t>
        </is>
      </c>
      <c r="G2" s="69" t="inlineStr">
        <is>
          <t>Package Code</t>
        </is>
      </c>
      <c r="H2" s="72" t="inlineStr">
        <is>
          <t>Tag ID</t>
        </is>
      </c>
      <c r="I2" s="72" t="inlineStr">
        <is>
          <t>DWG  #</t>
        </is>
      </c>
      <c r="J2" s="72" t="inlineStr">
        <is>
          <t>REF RFI #</t>
        </is>
      </c>
      <c r="K2" s="72" t="inlineStr">
        <is>
          <t>Comments</t>
        </is>
      </c>
      <c r="L2" s="73" t="inlineStr">
        <is>
          <t>Raised Date</t>
        </is>
      </c>
      <c r="M2" s="72" t="inlineStr">
        <is>
          <t>Cleared By</t>
        </is>
      </c>
      <c r="N2" s="72" t="inlineStr">
        <is>
          <t>Cleared Date</t>
        </is>
      </c>
      <c r="O2" s="74" t="inlineStr">
        <is>
          <t>Open
/ Close</t>
        </is>
      </c>
      <c r="P2" s="75" t="inlineStr">
        <is>
          <t>AGE</t>
        </is>
      </c>
      <c r="Q2" s="75" t="inlineStr">
        <is>
          <t>CLEAR TIME</t>
        </is>
      </c>
      <c r="R2" s="76" t="inlineStr">
        <is>
          <t>OLDER THAN 4WEEKS</t>
        </is>
      </c>
      <c r="S2" s="76" t="inlineStr">
        <is>
          <t>OLDER THAN 6 WEEKS</t>
        </is>
      </c>
      <c r="T2" s="76" t="inlineStr">
        <is>
          <t>OLDER THAN 8 WEEKS</t>
        </is>
      </c>
    </row>
    <row r="3" ht="30" customHeight="1" s="130">
      <c r="B3" s="64" t="n"/>
      <c r="C3" s="65" t="n"/>
      <c r="D3" s="65" t="n"/>
      <c r="E3" s="66" t="n"/>
      <c r="F3" s="77" t="n"/>
      <c r="G3" s="64">
        <f>IF($F3="","",INDEX('WORK PACKAGES'!$B$2:$B$47,MATCH($F3,'WORK PACKAGES'!$D$2:$D$47,0)))</f>
        <v/>
      </c>
      <c r="H3" s="67" t="n"/>
      <c r="I3" s="78" t="n"/>
      <c r="J3" s="78" t="n"/>
      <c r="K3" s="66" t="n"/>
      <c r="L3" s="79" t="n"/>
      <c r="M3" s="78" t="n"/>
      <c r="N3" s="79" t="n"/>
      <c r="O3" s="57" t="n"/>
      <c r="P3" s="63">
        <f>IF(O3="","",IF(O3="Open",TODAY()-L3,"--"))</f>
        <v/>
      </c>
      <c r="Q3" s="63">
        <f>IF(O3="","",IF(O3="Closed",N3-L3,"--"))</f>
        <v/>
      </c>
      <c r="R3" s="56" t="n"/>
      <c r="S3" s="56" t="n"/>
      <c r="T3" s="56" t="n"/>
    </row>
    <row r="4" ht="45" customHeight="1" s="130">
      <c r="B4" s="64">
        <f>IF(C4="","",B3+1)</f>
        <v/>
      </c>
      <c r="C4" s="65" t="n"/>
      <c r="D4" s="65" t="n"/>
      <c r="E4" s="66" t="n"/>
      <c r="F4" s="77" t="n"/>
      <c r="G4" s="64">
        <f>IF($F4="","",INDEX('WORK PACKAGES'!$B$2:$B$47,MATCH($F4,'WORK PACKAGES'!$D$2:$D$47,0)))</f>
        <v/>
      </c>
      <c r="H4" s="67" t="n"/>
      <c r="I4" s="78" t="n"/>
      <c r="J4" s="78" t="n"/>
      <c r="K4" s="66" t="n"/>
      <c r="L4" s="79" t="n"/>
      <c r="M4" s="78" t="n"/>
      <c r="N4" s="79" t="n"/>
      <c r="O4" s="57" t="n"/>
      <c r="P4" s="63">
        <f>IF(O4="","",IF(O4="Open",TODAY()-L4,"--"))</f>
        <v/>
      </c>
      <c r="Q4" s="63">
        <f>IF(O4="","",IF(O4="Closed",N4-L4,"--"))</f>
        <v/>
      </c>
      <c r="R4" s="56" t="n"/>
      <c r="S4" s="56" t="n"/>
      <c r="T4" s="56" t="n"/>
    </row>
    <row r="5" ht="75" customHeight="1" s="130">
      <c r="B5" s="64">
        <f>IF(C5="","",B4+1)</f>
        <v/>
      </c>
      <c r="C5" s="65" t="n"/>
      <c r="D5" s="65" t="n"/>
      <c r="E5" s="66" t="n"/>
      <c r="F5" s="77" t="n"/>
      <c r="G5" s="64">
        <f>IF($F5="","",INDEX('WORK PACKAGES'!$B$2:$B$47,MATCH($F5,'WORK PACKAGES'!$D$2:$D$47,0)))</f>
        <v/>
      </c>
      <c r="H5" s="67" t="n"/>
      <c r="I5" s="78" t="n"/>
      <c r="J5" s="78" t="n"/>
      <c r="K5" s="80" t="n"/>
      <c r="L5" s="79" t="n"/>
      <c r="M5" s="81" t="n"/>
      <c r="N5" s="79" t="n"/>
      <c r="O5" s="57" t="n"/>
      <c r="P5" s="63">
        <f>IF(O5="","",IF(O5="Open",TODAY()-L5,"--"))</f>
        <v/>
      </c>
      <c r="Q5" s="63">
        <f>IF(O5="","",IF(O5="Closed",N5-L5,"--"))</f>
        <v/>
      </c>
      <c r="R5" s="56" t="n"/>
      <c r="S5" s="56" t="n"/>
      <c r="T5" s="56" t="n"/>
    </row>
    <row r="6" ht="15" customHeight="1" s="130">
      <c r="B6" s="64">
        <f>IF(C6="","",B5+1)</f>
        <v/>
      </c>
      <c r="C6" s="65" t="n"/>
      <c r="D6" s="65" t="n"/>
      <c r="E6" s="66" t="n"/>
      <c r="F6" s="77" t="n"/>
      <c r="G6" s="64">
        <f>IF($F6="","",INDEX('WORK PACKAGES'!$B$2:$B$47,MATCH($F6,'WORK PACKAGES'!$D$2:$D$47,0)))</f>
        <v/>
      </c>
      <c r="H6" s="67" t="n"/>
      <c r="I6" s="78" t="n"/>
      <c r="J6" s="78" t="n"/>
      <c r="K6" s="80" t="n"/>
      <c r="L6" s="79" t="n"/>
      <c r="M6" s="78" t="n"/>
      <c r="N6" s="79" t="n"/>
      <c r="O6" s="57" t="n"/>
      <c r="P6" s="63">
        <f>IF(O6="","",IF(O6="Open",TODAY()-L6,"--"))</f>
        <v/>
      </c>
      <c r="Q6" s="63">
        <f>IF(O6="","",IF(O6="Closed",N6-L6,"--"))</f>
        <v/>
      </c>
      <c r="R6" s="56" t="n"/>
      <c r="S6" s="56" t="n"/>
      <c r="T6" s="56" t="n"/>
    </row>
    <row r="7" ht="15" customHeight="1" s="130">
      <c r="B7" s="64">
        <f>IF(C7="","",B6+1)</f>
        <v/>
      </c>
      <c r="C7" s="65" t="n"/>
      <c r="D7" s="65" t="n"/>
      <c r="E7" s="66" t="n"/>
      <c r="F7" s="77" t="n"/>
      <c r="G7" s="64">
        <f>IF($F7="","",INDEX('WORK PACKAGES'!$B$2:$B$47,MATCH($F7,'WORK PACKAGES'!$D$2:$D$47,0)))</f>
        <v/>
      </c>
      <c r="H7" s="78" t="n"/>
      <c r="I7" s="78" t="n"/>
      <c r="J7" s="78" t="n"/>
      <c r="K7" s="80" t="n"/>
      <c r="L7" s="79" t="n"/>
      <c r="M7" s="78" t="n"/>
      <c r="N7" s="79" t="n"/>
      <c r="O7" s="57" t="n"/>
      <c r="P7" s="63">
        <f>IF(O7="","",IF(O7="Open",TODAY()-L7,"--"))</f>
        <v/>
      </c>
      <c r="Q7" s="63">
        <f>IF(O7="","",IF(O7="Closed",N7-L7,"--"))</f>
        <v/>
      </c>
      <c r="R7" s="56" t="n"/>
      <c r="S7" s="56" t="n"/>
      <c r="T7" s="56" t="n"/>
    </row>
    <row r="8" ht="15" customHeight="1" s="130">
      <c r="B8" s="64">
        <f>IF(C8="","",B7+1)</f>
        <v/>
      </c>
      <c r="C8" s="65" t="n"/>
      <c r="D8" s="77" t="n"/>
      <c r="E8" s="66" t="n"/>
      <c r="F8" s="77" t="n"/>
      <c r="G8" s="64">
        <f>IF($F8="","",INDEX('WORK PACKAGES'!$B$2:$B$47,MATCH($F8,'WORK PACKAGES'!$D$2:$D$47,0)))</f>
        <v/>
      </c>
      <c r="H8" s="78" t="n"/>
      <c r="I8" s="78" t="n"/>
      <c r="J8" s="78" t="n"/>
      <c r="K8" s="66" t="n"/>
      <c r="L8" s="79" t="n"/>
      <c r="M8" s="78" t="n"/>
      <c r="N8" s="79" t="n"/>
      <c r="O8" s="57" t="n"/>
      <c r="P8" s="63">
        <f>IF(O8="","",IF(O8="Open",TODAY()-L8,"--"))</f>
        <v/>
      </c>
      <c r="Q8" s="63">
        <f>IF(O8="","",IF(O8="Closed",N8-L8,"--"))</f>
        <v/>
      </c>
      <c r="R8" s="56" t="n"/>
      <c r="S8" s="56" t="n"/>
      <c r="T8" s="56" t="n"/>
    </row>
    <row r="9" ht="30" customHeight="1" s="130">
      <c r="B9" s="64">
        <f>IF(C9="","",B8+1)</f>
        <v/>
      </c>
      <c r="C9" s="65" t="n"/>
      <c r="D9" s="77" t="n"/>
      <c r="E9" s="66" t="n"/>
      <c r="F9" s="77" t="n"/>
      <c r="G9" s="64">
        <f>IF($F9="","",INDEX('WORK PACKAGES'!$B$2:$B$47,MATCH($F9,'WORK PACKAGES'!$D$2:$D$47,0)))</f>
        <v/>
      </c>
      <c r="H9" s="78" t="n"/>
      <c r="I9" s="78" t="n"/>
      <c r="J9" s="78" t="n"/>
      <c r="K9" s="66" t="n"/>
      <c r="L9" s="79" t="n"/>
      <c r="M9" s="78" t="n"/>
      <c r="N9" s="79" t="n"/>
      <c r="O9" s="57" t="n"/>
      <c r="P9" s="63">
        <f>IF(O9="","",IF(O9="Open",TODAY()-L9,"--"))</f>
        <v/>
      </c>
      <c r="Q9" s="63">
        <f>IF(O9="","",IF(O9="Closed",N9-L9,"--"))</f>
        <v/>
      </c>
      <c r="R9" s="56" t="n"/>
      <c r="S9" s="56" t="n"/>
      <c r="T9" s="56" t="n"/>
    </row>
    <row r="10" ht="15" customHeight="1" s="130">
      <c r="B10" s="64">
        <f>IF(C10="","",B9+1)</f>
        <v/>
      </c>
      <c r="C10" s="65" t="n"/>
      <c r="D10" s="65" t="n"/>
      <c r="E10" s="66" t="n"/>
      <c r="F10" s="77" t="n"/>
      <c r="G10" s="64">
        <f>IF($F10="","",INDEX('WORK PACKAGES'!$B$2:$B$47,MATCH($F10,'WORK PACKAGES'!$D$2:$D$47,0)))</f>
        <v/>
      </c>
      <c r="H10" s="78" t="n"/>
      <c r="I10" s="78" t="n"/>
      <c r="J10" s="78" t="n"/>
      <c r="K10" s="66" t="n"/>
      <c r="L10" s="79" t="n"/>
      <c r="M10" s="78" t="n"/>
      <c r="N10" s="79" t="n"/>
      <c r="O10" s="57" t="n"/>
      <c r="P10" s="63">
        <f>IF(O10="","",IF(O10="Open",TODAY()-L10,"--"))</f>
        <v/>
      </c>
      <c r="Q10" s="63">
        <f>IF(O10="","",IF(O10="Closed",N10-L10,"--"))</f>
        <v/>
      </c>
      <c r="R10" s="56" t="n"/>
      <c r="S10" s="56" t="n"/>
      <c r="T10" s="56" t="n"/>
    </row>
    <row r="11" ht="15" customHeight="1" s="130">
      <c r="B11" s="64">
        <f>IF(C11="","",B10+1)</f>
        <v/>
      </c>
      <c r="C11" s="65" t="n"/>
      <c r="D11" s="65" t="n"/>
      <c r="E11" s="66" t="n"/>
      <c r="F11" s="77" t="n"/>
      <c r="G11" s="64">
        <f>IF($F11="","",INDEX('WORK PACKAGES'!$B$2:$B$47,MATCH($F11,'WORK PACKAGES'!$D$2:$D$47,0)))</f>
        <v/>
      </c>
      <c r="H11" s="78" t="n"/>
      <c r="I11" s="78" t="n"/>
      <c r="J11" s="78" t="n"/>
      <c r="K11" s="66" t="n"/>
      <c r="L11" s="79" t="n"/>
      <c r="M11" s="78" t="n"/>
      <c r="N11" s="79" t="n"/>
      <c r="O11" s="57" t="n"/>
      <c r="P11" s="63">
        <f>IF(O11="","",IF(O11="Open",TODAY()-L11,"--"))</f>
        <v/>
      </c>
      <c r="Q11" s="63">
        <f>IF(O11="","",IF(O11="Closed",N11-L11,"--"))</f>
        <v/>
      </c>
      <c r="R11" s="56" t="n"/>
      <c r="S11" s="56" t="n"/>
      <c r="T11" s="56" t="n"/>
    </row>
    <row r="12" ht="15" customHeight="1" s="130">
      <c r="B12" s="64">
        <f>IF(C12="","",B11+1)</f>
        <v/>
      </c>
      <c r="C12" s="65" t="n"/>
      <c r="D12" s="65" t="n"/>
      <c r="E12" s="66" t="n"/>
      <c r="F12" s="77" t="n"/>
      <c r="G12" s="64">
        <f>IF($F12="","",INDEX('WORK PACKAGES'!$B$2:$B$47,MATCH($F12,'WORK PACKAGES'!$D$2:$D$47,0)))</f>
        <v/>
      </c>
      <c r="H12" s="78" t="n"/>
      <c r="I12" s="78" t="n"/>
      <c r="J12" s="78" t="n"/>
      <c r="K12" s="80" t="n"/>
      <c r="L12" s="79" t="n"/>
      <c r="M12" s="78" t="n"/>
      <c r="N12" s="79" t="n"/>
      <c r="O12" s="57" t="n"/>
      <c r="P12" s="63">
        <f>IF(O12="","",IF(O12="Open",TODAY()-L12,"--"))</f>
        <v/>
      </c>
      <c r="Q12" s="63">
        <f>IF(O12="","",IF(O12="Closed",N12-L12,"--"))</f>
        <v/>
      </c>
      <c r="R12" s="56" t="n"/>
      <c r="S12" s="56" t="n"/>
      <c r="T12" s="56" t="n"/>
    </row>
    <row r="13" ht="15" customHeight="1" s="130">
      <c r="B13" s="64">
        <f>IF(C13="","",B12+1)</f>
        <v/>
      </c>
      <c r="C13" s="65" t="n"/>
      <c r="D13" s="65" t="n"/>
      <c r="E13" s="66" t="n"/>
      <c r="F13" s="77" t="n"/>
      <c r="G13" s="64">
        <f>IF($F13="","",INDEX('WORK PACKAGES'!$B$2:$B$47,MATCH($F13,'WORK PACKAGES'!$D$2:$D$47,0)))</f>
        <v/>
      </c>
      <c r="H13" s="78" t="n"/>
      <c r="I13" s="78" t="n"/>
      <c r="J13" s="78" t="n"/>
      <c r="K13" s="80" t="n"/>
      <c r="L13" s="79" t="n"/>
      <c r="M13" s="78" t="n"/>
      <c r="N13" s="79" t="n"/>
      <c r="O13" s="57" t="n"/>
      <c r="P13" s="63">
        <f>IF(O13="","",IF(O13="Open",TODAY()-L13,"--"))</f>
        <v/>
      </c>
      <c r="Q13" s="63">
        <f>IF(O13="","",IF(O13="Closed",N13-L13,"--"))</f>
        <v/>
      </c>
      <c r="R13" s="56" t="n"/>
      <c r="S13" s="56" t="n"/>
      <c r="T13" s="56" t="n"/>
    </row>
    <row r="14" ht="15" customHeight="1" s="130">
      <c r="B14" s="64">
        <f>IF(C14="","",B13+1)</f>
        <v/>
      </c>
      <c r="C14" s="65" t="n"/>
      <c r="D14" s="65" t="n"/>
      <c r="E14" s="66" t="n"/>
      <c r="F14" s="77" t="n"/>
      <c r="G14" s="64">
        <f>IF($F14="","",INDEX('WORK PACKAGES'!$B$2:$B$47,MATCH($F14,'WORK PACKAGES'!$D$2:$D$47,0)))</f>
        <v/>
      </c>
      <c r="H14" s="78" t="n"/>
      <c r="I14" s="78" t="n"/>
      <c r="J14" s="78" t="n"/>
      <c r="K14" s="66" t="n"/>
      <c r="L14" s="79" t="n"/>
      <c r="M14" s="78" t="n"/>
      <c r="N14" s="79" t="n"/>
      <c r="O14" s="57" t="n"/>
      <c r="P14" s="63">
        <f>IF(O14="","",IF(O14="Open",TODAY()-L14,"--"))</f>
        <v/>
      </c>
      <c r="Q14" s="63">
        <f>IF(O14="","",IF(O14="Closed",N14-L14,"--"))</f>
        <v/>
      </c>
      <c r="R14" s="56" t="n"/>
      <c r="S14" s="56" t="n"/>
      <c r="T14" s="56" t="n"/>
    </row>
    <row r="15" ht="15" customHeight="1" s="130">
      <c r="B15" s="64">
        <f>IF(C15="","",B14+1)</f>
        <v/>
      </c>
      <c r="C15" s="65" t="n"/>
      <c r="D15" s="65" t="n"/>
      <c r="E15" s="66" t="n"/>
      <c r="F15" s="77" t="n"/>
      <c r="G15" s="64">
        <f>IF($F15="","",INDEX('WORK PACKAGES'!$B$2:$B$47,MATCH($F15,'WORK PACKAGES'!$D$2:$D$47,0)))</f>
        <v/>
      </c>
      <c r="H15" s="78" t="n"/>
      <c r="I15" s="78" t="n"/>
      <c r="J15" s="78" t="n"/>
      <c r="K15" s="66" t="n"/>
      <c r="L15" s="79" t="n"/>
      <c r="M15" s="78" t="n"/>
      <c r="N15" s="79" t="n"/>
      <c r="O15" s="57" t="n"/>
      <c r="P15" s="63">
        <f>IF(O15="","",IF(O15="Open",TODAY()-L15,"--"))</f>
        <v/>
      </c>
      <c r="Q15" s="63">
        <f>IF(O15="","",IF(O15="Closed",N15-L15,"--"))</f>
        <v/>
      </c>
    </row>
    <row r="16" ht="15" customHeight="1" s="130">
      <c r="B16" s="64">
        <f>IF(C16="","",B15+1)</f>
        <v/>
      </c>
      <c r="C16" s="65" t="n"/>
      <c r="D16" s="65" t="n"/>
      <c r="E16" s="66" t="n"/>
      <c r="F16" s="77" t="n"/>
      <c r="G16" s="64">
        <f>IF($F16="","",INDEX('WORK PACKAGES'!$B$2:$B$47,MATCH($F16,'WORK PACKAGES'!$D$2:$D$47,0)))</f>
        <v/>
      </c>
      <c r="H16" s="78" t="n"/>
      <c r="I16" s="78" t="n"/>
      <c r="J16" s="78" t="n"/>
      <c r="K16" s="82" t="n"/>
      <c r="L16" s="79" t="n"/>
      <c r="M16" s="78" t="n"/>
      <c r="N16" s="79" t="n"/>
      <c r="O16" s="57" t="n"/>
      <c r="P16" s="63">
        <f>IF(O16="","",IF(O16="Open",TODAY()-L16,"--"))</f>
        <v/>
      </c>
      <c r="Q16" s="63">
        <f>IF(O16="","",IF(O16="Closed",N16-L16,"--"))</f>
        <v/>
      </c>
    </row>
    <row r="17" ht="15" customHeight="1" s="130">
      <c r="B17" s="64">
        <f>IF(C17="","",B16+1)</f>
        <v/>
      </c>
      <c r="C17" s="65" t="n"/>
      <c r="D17" s="65" t="n"/>
      <c r="E17" s="66" t="n"/>
      <c r="F17" s="77" t="n"/>
      <c r="G17" s="64">
        <f>IF($F17="","",INDEX('WORK PACKAGES'!$B$2:$B$47,MATCH($F17,'WORK PACKAGES'!$D$2:$D$47,0)))</f>
        <v/>
      </c>
      <c r="H17" s="78" t="n"/>
      <c r="I17" s="78" t="n"/>
      <c r="J17" s="78" t="n"/>
      <c r="K17" s="66" t="n"/>
      <c r="L17" s="79" t="n"/>
      <c r="M17" s="78" t="n"/>
      <c r="N17" s="79" t="n"/>
      <c r="O17" s="57" t="n"/>
      <c r="P17" s="63">
        <f>IF(O17="","",IF(O17="Open",TODAY()-L17,"--"))</f>
        <v/>
      </c>
      <c r="Q17" s="63">
        <f>IF(O17="","",IF(O17="Closed",N17-L17,"--"))</f>
        <v/>
      </c>
    </row>
    <row r="18" ht="15" customHeight="1" s="130">
      <c r="B18" s="64">
        <f>IF(C18="","",B17+1)</f>
        <v/>
      </c>
      <c r="C18" s="65" t="n"/>
      <c r="D18" s="65" t="n"/>
      <c r="E18" s="66" t="n"/>
      <c r="F18" s="77" t="n"/>
      <c r="G18" s="64">
        <f>IF($F18="","",INDEX('WORK PACKAGES'!$B$2:$B$47,MATCH($F18,'WORK PACKAGES'!$D$2:$D$47,0)))</f>
        <v/>
      </c>
      <c r="H18" s="78" t="n"/>
      <c r="I18" s="78" t="n"/>
      <c r="J18" s="78" t="n"/>
      <c r="K18" s="82" t="n"/>
      <c r="L18" s="79" t="n"/>
      <c r="M18" s="78" t="n"/>
      <c r="N18" s="79" t="n"/>
      <c r="O18" s="57" t="n"/>
      <c r="P18" s="63">
        <f>IF(O18="","",IF(O18="Open",TODAY()-L18,"--"))</f>
        <v/>
      </c>
      <c r="Q18" s="63">
        <f>IF(O18="","",IF(O18="Closed",N18-L18,"--"))</f>
        <v/>
      </c>
    </row>
    <row r="19" ht="15" customHeight="1" s="130">
      <c r="B19" s="64">
        <f>IF(C19="","",B18+1)</f>
        <v/>
      </c>
      <c r="C19" s="65" t="n"/>
      <c r="D19" s="65" t="n"/>
      <c r="E19" s="66" t="n"/>
      <c r="F19" s="77" t="n"/>
      <c r="G19" s="64">
        <f>IF($F19="","",INDEX('WORK PACKAGES'!$B$2:$B$47,MATCH($F19,'WORK PACKAGES'!$D$2:$D$47,0)))</f>
        <v/>
      </c>
      <c r="H19" s="78" t="n"/>
      <c r="I19" s="78" t="n"/>
      <c r="J19" s="78" t="n"/>
      <c r="K19" s="82" t="n"/>
      <c r="L19" s="79" t="n"/>
      <c r="M19" s="78" t="n"/>
      <c r="N19" s="79" t="n"/>
      <c r="O19" s="57" t="n"/>
      <c r="P19" s="63">
        <f>IF(O19="","",IF(O19="Open",TODAY()-L19,"--"))</f>
        <v/>
      </c>
      <c r="Q19" s="63">
        <f>IF(O19="","",IF(O19="Closed",N19-L19,"--"))</f>
        <v/>
      </c>
    </row>
    <row r="20" ht="15" customHeight="1" s="130">
      <c r="B20" s="64">
        <f>IF(C20="","",B19+1)</f>
        <v/>
      </c>
      <c r="C20" s="65" t="n"/>
      <c r="D20" s="65" t="n"/>
      <c r="E20" s="66" t="n"/>
      <c r="F20" s="77" t="n"/>
      <c r="G20" s="64">
        <f>IF($F20="","",INDEX('WORK PACKAGES'!$B$2:$B$47,MATCH($F20,'WORK PACKAGES'!$D$2:$D$47,0)))</f>
        <v/>
      </c>
      <c r="H20" s="78" t="n"/>
      <c r="I20" s="78" t="n"/>
      <c r="J20" s="78" t="n"/>
      <c r="K20" s="82" t="n"/>
      <c r="L20" s="79" t="n"/>
      <c r="M20" s="78" t="n"/>
      <c r="N20" s="79" t="n"/>
      <c r="O20" s="57" t="n"/>
      <c r="P20" s="63">
        <f>IF(O20="","",IF(O20="Open",TODAY()-L20,"--"))</f>
        <v/>
      </c>
      <c r="Q20" s="63">
        <f>IF(O20="","",IF(O20="Closed",N20-L20,"--"))</f>
        <v/>
      </c>
    </row>
    <row r="21" ht="15" customHeight="1" s="130">
      <c r="B21" s="64">
        <f>IF(C21="","",B20+1)</f>
        <v/>
      </c>
      <c r="C21" s="65" t="n"/>
      <c r="D21" s="65" t="n"/>
      <c r="E21" s="66" t="n"/>
      <c r="F21" s="77" t="n"/>
      <c r="G21" s="64">
        <f>IF($F21="","",INDEX('WORK PACKAGES'!$B$2:$B$47,MATCH($F21,'WORK PACKAGES'!$D$2:$D$47,0)))</f>
        <v/>
      </c>
      <c r="H21" s="78" t="n"/>
      <c r="I21" s="78" t="n"/>
      <c r="J21" s="78" t="n"/>
      <c r="K21" s="82" t="n"/>
      <c r="L21" s="79" t="n"/>
      <c r="M21" s="78" t="n"/>
      <c r="N21" s="79" t="n"/>
      <c r="O21" s="57" t="n"/>
      <c r="P21" s="63">
        <f>IF(O21="","",IF(O21="Open",TODAY()-L21,"--"))</f>
        <v/>
      </c>
      <c r="Q21" s="63">
        <f>IF(O21="","",IF(O21="Closed",N21-L21,"--"))</f>
        <v/>
      </c>
    </row>
    <row r="22" ht="15" customHeight="1" s="130">
      <c r="B22" s="64">
        <f>IF(C22="","",B21+1)</f>
        <v/>
      </c>
      <c r="C22" s="65" t="n"/>
      <c r="D22" s="65" t="n"/>
      <c r="E22" s="66" t="n"/>
      <c r="F22" s="77" t="n"/>
      <c r="G22" s="64">
        <f>IF($F22="","",INDEX('WORK PACKAGES'!$B$2:$B$47,MATCH($F22,'WORK PACKAGES'!$D$2:$D$47,0)))</f>
        <v/>
      </c>
      <c r="H22" s="78" t="n"/>
      <c r="I22" s="78" t="n"/>
      <c r="J22" s="78" t="n"/>
      <c r="K22" s="82" t="n"/>
      <c r="L22" s="79" t="n"/>
      <c r="M22" s="78" t="n"/>
      <c r="N22" s="79" t="n"/>
      <c r="O22" s="57" t="n"/>
      <c r="P22" s="63">
        <f>IF(O22="","",IF(O22="Open",TODAY()-L22,"--"))</f>
        <v/>
      </c>
      <c r="Q22" s="63">
        <f>IF(O22="","",IF(O22="Closed",N22-L22,"--"))</f>
        <v/>
      </c>
    </row>
    <row r="23" ht="15" customHeight="1" s="130">
      <c r="B23" s="64">
        <f>IF(C23="","",B22+1)</f>
        <v/>
      </c>
      <c r="C23" s="83" t="n"/>
      <c r="D23" s="65" t="n"/>
      <c r="E23" s="66" t="n"/>
      <c r="F23" s="77" t="n"/>
      <c r="G23" s="64">
        <f>IF($F23="","",INDEX('WORK PACKAGES'!$B$2:$B$47,MATCH($F23,'WORK PACKAGES'!$D$2:$D$47,0)))</f>
        <v/>
      </c>
      <c r="H23" s="78" t="n"/>
      <c r="I23" s="78" t="n"/>
      <c r="J23" s="78" t="n"/>
      <c r="K23" s="82" t="n"/>
      <c r="L23" s="79" t="n"/>
      <c r="M23" s="78" t="n"/>
      <c r="N23" s="79" t="n"/>
      <c r="O23" s="57" t="n"/>
      <c r="P23" s="63">
        <f>IF(O23="","",IF(O23="Open",TODAY()-L23,"--"))</f>
        <v/>
      </c>
      <c r="Q23" s="63">
        <f>IF(O23="","",IF(O23="Closed",N23-L23,"--"))</f>
        <v/>
      </c>
    </row>
    <row r="24" ht="15" customHeight="1" s="130">
      <c r="B24" s="64">
        <f>IF(C24="","",B23+1)</f>
        <v/>
      </c>
      <c r="C24" s="65" t="n"/>
      <c r="D24" s="65" t="n"/>
      <c r="E24" s="66" t="n"/>
      <c r="F24" s="77" t="n"/>
      <c r="G24" s="64">
        <f>IF($F24="","",INDEX('WORK PACKAGES'!$B$2:$B$47,MATCH($F24,'WORK PACKAGES'!$D$2:$D$47,0)))</f>
        <v/>
      </c>
      <c r="H24" s="78" t="n"/>
      <c r="I24" s="78" t="n"/>
      <c r="J24" s="78" t="n"/>
      <c r="K24" s="82" t="n"/>
      <c r="L24" s="79" t="n"/>
      <c r="M24" s="78" t="n"/>
      <c r="N24" s="79" t="n"/>
      <c r="O24" s="57" t="n"/>
      <c r="P24" s="63">
        <f>IF(O24="","",IF(O24="Open",TODAY()-L24,"--"))</f>
        <v/>
      </c>
      <c r="Q24" s="63">
        <f>IF(O24="","",IF(O24="Closed",N24-L24,"--"))</f>
        <v/>
      </c>
    </row>
    <row r="25" ht="15" customHeight="1" s="130">
      <c r="B25" s="64">
        <f>IF(C25="","",B24+1)</f>
        <v/>
      </c>
      <c r="C25" s="65" t="n"/>
      <c r="D25" s="65" t="n"/>
      <c r="E25" s="66" t="n"/>
      <c r="F25" s="77" t="n"/>
      <c r="G25" s="64">
        <f>IF($F25="","",INDEX('WORK PACKAGES'!$B$2:$B$47,MATCH($F25,'WORK PACKAGES'!$D$2:$D$47,0)))</f>
        <v/>
      </c>
      <c r="H25" s="78" t="n"/>
      <c r="I25" s="84" t="n"/>
      <c r="J25" s="78" t="n"/>
      <c r="K25" s="66" t="n"/>
      <c r="L25" s="79" t="n"/>
      <c r="M25" s="78" t="n"/>
      <c r="N25" s="79" t="n"/>
      <c r="O25" s="57" t="n"/>
      <c r="P25" s="63">
        <f>IF(O25="","",IF(O25="Open",TODAY()-L25,"--"))</f>
        <v/>
      </c>
      <c r="Q25" s="63">
        <f>IF(O25="","",IF(O25="Closed",N25-L25,"--"))</f>
        <v/>
      </c>
    </row>
    <row r="26" ht="15" customHeight="1" s="130">
      <c r="B26" s="64">
        <f>IF(C26="","",B25+1)</f>
        <v/>
      </c>
      <c r="C26" s="65" t="n"/>
      <c r="D26" s="65" t="n"/>
      <c r="E26" s="66" t="n"/>
      <c r="F26" s="77" t="n"/>
      <c r="G26" s="64">
        <f>IF($F26="","",INDEX('WORK PACKAGES'!$B$2:$B$47,MATCH($F26,'WORK PACKAGES'!$D$2:$D$47,0)))</f>
        <v/>
      </c>
      <c r="H26" s="78" t="n"/>
      <c r="I26" s="84" t="n"/>
      <c r="J26" s="78" t="n"/>
      <c r="K26" s="82" t="n"/>
      <c r="L26" s="79" t="n"/>
      <c r="M26" s="78" t="n"/>
      <c r="N26" s="79" t="n"/>
      <c r="O26" s="57" t="n"/>
      <c r="P26" s="63">
        <f>IF(O26="","",IF(O26="Open",TODAY()-L26,"--"))</f>
        <v/>
      </c>
      <c r="Q26" s="63">
        <f>IF(O26="","",IF(O26="Closed",N26-L26,"--"))</f>
        <v/>
      </c>
    </row>
    <row r="27" ht="15" customHeight="1" s="130">
      <c r="B27" s="64">
        <f>IF(C27="","",B26+1)</f>
        <v/>
      </c>
      <c r="C27" s="65" t="n"/>
      <c r="D27" s="65" t="n"/>
      <c r="E27" s="66" t="n"/>
      <c r="F27" s="77" t="n"/>
      <c r="G27" s="64">
        <f>IF($F27="","",INDEX('WORK PACKAGES'!$B$2:$B$47,MATCH($F27,'WORK PACKAGES'!$D$2:$D$47,0)))</f>
        <v/>
      </c>
      <c r="H27" s="78" t="n"/>
      <c r="I27" s="84" t="n"/>
      <c r="J27" s="78" t="n"/>
      <c r="K27" s="82" t="n"/>
      <c r="L27" s="79" t="n"/>
      <c r="M27" s="78" t="n"/>
      <c r="N27" s="79" t="n"/>
      <c r="P27" s="63">
        <f>IF(O27="","",IF(O27="Open",TODAY()-L27,"--"))</f>
        <v/>
      </c>
      <c r="Q27" s="63">
        <f>IF(O27="","",IF(O27="Closed",N27-L27,"--"))</f>
        <v/>
      </c>
    </row>
    <row r="28" ht="15" customHeight="1" s="130">
      <c r="B28" s="64">
        <f>IF(C28="","",B27+1)</f>
        <v/>
      </c>
      <c r="C28" s="65" t="n"/>
      <c r="D28" s="65" t="n"/>
      <c r="E28" s="66" t="n"/>
      <c r="F28" s="77" t="n"/>
      <c r="G28" s="64">
        <f>IF($F28="","",INDEX('WORK PACKAGES'!$B$2:$B$47,MATCH($F28,'WORK PACKAGES'!$D$2:$D$47,0)))</f>
        <v/>
      </c>
      <c r="H28" s="78" t="n"/>
      <c r="I28" s="84" t="n"/>
      <c r="J28" s="78" t="n"/>
      <c r="K28" s="82" t="n"/>
      <c r="L28" s="79" t="n"/>
      <c r="M28" s="78" t="n"/>
      <c r="N28" s="79" t="n"/>
      <c r="P28" s="63">
        <f>IF(O28="","",IF(O28="Open",TODAY()-L28,"--"))</f>
        <v/>
      </c>
      <c r="Q28" s="63">
        <f>IF(O28="","",IF(O28="Closed",N28-L28,"--"))</f>
        <v/>
      </c>
    </row>
    <row r="29" ht="15" customHeight="1" s="130">
      <c r="B29" s="64">
        <f>IF(C29="","",B28+1)</f>
        <v/>
      </c>
      <c r="C29" s="65" t="n"/>
      <c r="D29" s="65" t="n"/>
      <c r="E29" s="66" t="n"/>
      <c r="F29" s="77" t="n"/>
      <c r="G29" s="64">
        <f>IF($F29="","",INDEX('WORK PACKAGES'!$B$2:$B$47,MATCH($F29,'WORK PACKAGES'!$D$2:$D$47,0)))</f>
        <v/>
      </c>
      <c r="H29" s="78" t="n"/>
      <c r="I29" s="78" t="n"/>
      <c r="J29" s="78" t="n"/>
      <c r="K29" s="82" t="n"/>
      <c r="L29" s="79" t="n"/>
      <c r="M29" s="78" t="n"/>
      <c r="N29" s="79" t="n"/>
      <c r="P29" s="63">
        <f>IF(O29="","",IF(O29="Open",TODAY()-L29,"--"))</f>
        <v/>
      </c>
      <c r="Q29" s="63">
        <f>IF(O29="","",IF(O29="Closed",N29-L29,"--"))</f>
        <v/>
      </c>
    </row>
    <row r="30" ht="15" customHeight="1" s="130">
      <c r="B30" s="64">
        <f>IF(C30="","",B29+1)</f>
        <v/>
      </c>
      <c r="C30" s="65" t="n"/>
      <c r="D30" s="65" t="n"/>
      <c r="E30" s="66" t="n"/>
      <c r="F30" s="77" t="n"/>
      <c r="G30" s="64">
        <f>IF($F30="","",INDEX('WORK PACKAGES'!$B$2:$B$47,MATCH($F30,'WORK PACKAGES'!$D$2:$D$47,0)))</f>
        <v/>
      </c>
      <c r="H30" s="78" t="n"/>
      <c r="I30" s="78" t="n"/>
      <c r="J30" s="78" t="n"/>
      <c r="K30" s="82" t="n"/>
      <c r="L30" s="79" t="n"/>
      <c r="M30" s="78" t="n"/>
      <c r="N30" s="79" t="n"/>
      <c r="P30" s="63">
        <f>IF(O30="","",IF(O30="Open",TODAY()-L30,"--"))</f>
        <v/>
      </c>
      <c r="Q30" s="63">
        <f>IF(O30="","",IF(O30="Closed",N30-L30,"--"))</f>
        <v/>
      </c>
    </row>
    <row r="31" ht="15" customHeight="1" s="130">
      <c r="B31" s="64">
        <f>IF(C31="","",B30+1)</f>
        <v/>
      </c>
      <c r="C31" s="65" t="n"/>
      <c r="D31" s="65" t="n"/>
      <c r="E31" s="66" t="n"/>
      <c r="F31" s="77" t="n"/>
      <c r="G31" s="64">
        <f>IF($F31="","",INDEX('WORK PACKAGES'!$B$2:$B$47,MATCH($F31,'WORK PACKAGES'!$D$2:$D$47,0)))</f>
        <v/>
      </c>
      <c r="H31" s="78" t="n"/>
      <c r="I31" s="78" t="n"/>
      <c r="J31" s="78" t="n"/>
      <c r="K31" s="82" t="n"/>
      <c r="L31" s="79" t="n"/>
      <c r="M31" s="85" t="n"/>
      <c r="N31" s="86" t="n"/>
      <c r="P31" s="63">
        <f>IF(O31="","",IF(O31="Open",TODAY()-L31,"--"))</f>
        <v/>
      </c>
      <c r="Q31" s="63">
        <f>IF(O31="","",IF(O31="Closed",N31-L31,"--"))</f>
        <v/>
      </c>
    </row>
    <row r="32" ht="15" customHeight="1" s="130">
      <c r="B32" s="64">
        <f>IF(C32="","",B31+1)</f>
        <v/>
      </c>
      <c r="C32" s="65" t="n"/>
      <c r="D32" s="65" t="n"/>
      <c r="E32" s="66" t="n"/>
      <c r="F32" s="77" t="n"/>
      <c r="G32" s="64">
        <f>IF($F32="","",INDEX('WORK PACKAGES'!$B$2:$B$47,MATCH($F32,'WORK PACKAGES'!$D$2:$D$47,0)))</f>
        <v/>
      </c>
      <c r="H32" s="78" t="n"/>
      <c r="I32" s="78" t="n"/>
      <c r="J32" s="78" t="n"/>
      <c r="K32" s="82" t="n"/>
      <c r="L32" s="79" t="n"/>
      <c r="M32" s="78" t="n"/>
      <c r="N32" s="79" t="n"/>
      <c r="P32" s="63">
        <f>IF(O32="","",IF(O32="Open",TODAY()-L32,"--"))</f>
        <v/>
      </c>
      <c r="Q32" s="63">
        <f>IF(O32="","",IF(O32="Closed",N32-L32,"--"))</f>
        <v/>
      </c>
    </row>
    <row r="33" ht="15" customHeight="1" s="130">
      <c r="B33" s="64">
        <f>IF(C33="","",B32+1)</f>
        <v/>
      </c>
      <c r="C33" s="65" t="n"/>
      <c r="D33" s="65" t="n"/>
      <c r="E33" s="66" t="n"/>
      <c r="F33" s="77" t="n"/>
      <c r="G33" s="64">
        <f>IF($F33="","",INDEX('WORK PACKAGES'!$B$2:$B$47,MATCH($F33,'WORK PACKAGES'!$D$2:$D$47,0)))</f>
        <v/>
      </c>
      <c r="H33" s="78" t="n"/>
      <c r="I33" s="78" t="n"/>
      <c r="J33" s="78" t="n"/>
      <c r="K33" s="82" t="n"/>
      <c r="L33" s="79" t="n"/>
      <c r="M33" s="85" t="n"/>
      <c r="N33" s="86" t="n"/>
      <c r="P33" s="63">
        <f>IF(O33="","",IF(O33="Open",TODAY()-L33,"--"))</f>
        <v/>
      </c>
      <c r="Q33" s="63">
        <f>IF(O33="","",IF(O33="Closed",N33-L33,"--"))</f>
        <v/>
      </c>
    </row>
    <row r="34" ht="15" customHeight="1" s="130">
      <c r="B34" s="64">
        <f>IF(C34="","",B33+1)</f>
        <v/>
      </c>
      <c r="C34" s="65" t="n"/>
      <c r="D34" s="65" t="n"/>
      <c r="E34" s="66" t="n"/>
      <c r="F34" s="77" t="n"/>
      <c r="G34" s="64">
        <f>IF($F34="","",INDEX('WORK PACKAGES'!$B$2:$B$47,MATCH($F34,'WORK PACKAGES'!$D$2:$D$47,0)))</f>
        <v/>
      </c>
      <c r="H34" s="78" t="n"/>
      <c r="I34" s="78" t="n"/>
      <c r="J34" s="78" t="n"/>
      <c r="K34" s="82" t="n"/>
      <c r="L34" s="79" t="n"/>
      <c r="M34" s="78" t="n"/>
      <c r="N34" s="79" t="n"/>
      <c r="P34" s="63">
        <f>IF(O34="","",IF(O34="Open",TODAY()-L34,"--"))</f>
        <v/>
      </c>
      <c r="Q34" s="63">
        <f>IF(O34="","",IF(O34="Closed",N34-L34,"--"))</f>
        <v/>
      </c>
    </row>
    <row r="35" ht="15" customHeight="1" s="130">
      <c r="B35" s="64">
        <f>IF(C35="","",B34+1)</f>
        <v/>
      </c>
      <c r="C35" s="65" t="n"/>
      <c r="D35" s="65" t="n"/>
      <c r="E35" s="66" t="n"/>
      <c r="F35" s="77" t="n"/>
      <c r="G35" s="64">
        <f>IF($F35="","",INDEX('WORK PACKAGES'!$B$2:$B$47,MATCH($F35,'WORK PACKAGES'!$D$2:$D$47,0)))</f>
        <v/>
      </c>
      <c r="H35" s="78" t="n"/>
      <c r="I35" s="78" t="n"/>
      <c r="J35" s="78" t="n"/>
      <c r="K35" s="82" t="n"/>
      <c r="L35" s="79" t="n"/>
      <c r="M35" s="85" t="n"/>
      <c r="N35" s="86" t="n"/>
      <c r="P35" s="63">
        <f>IF(O35="","",IF(O35="Open",TODAY()-L35,"--"))</f>
        <v/>
      </c>
      <c r="Q35" s="63">
        <f>IF(O35="","",IF(O35="Closed",N35-L35,"--"))</f>
        <v/>
      </c>
    </row>
    <row r="36" ht="15" customHeight="1" s="130">
      <c r="B36" s="64">
        <f>IF(C36="","",B35+1)</f>
        <v/>
      </c>
      <c r="C36" s="65" t="n"/>
      <c r="D36" s="65" t="n"/>
      <c r="E36" s="66" t="n"/>
      <c r="F36" s="77" t="n"/>
      <c r="G36" s="64">
        <f>IF($F36="","",INDEX('WORK PACKAGES'!$B$2:$B$47,MATCH($F36,'WORK PACKAGES'!$D$2:$D$47,0)))</f>
        <v/>
      </c>
      <c r="H36" s="78" t="n"/>
      <c r="I36" s="78" t="n"/>
      <c r="J36" s="78" t="n"/>
      <c r="K36" s="82" t="n"/>
      <c r="L36" s="79" t="n"/>
      <c r="M36" s="78" t="n"/>
      <c r="N36" s="79" t="n"/>
      <c r="P36" s="63">
        <f>IF(O36="","",IF(O36="Open",TODAY()-L36,"--"))</f>
        <v/>
      </c>
      <c r="Q36" s="63">
        <f>IF(O36="","",IF(O36="Closed",N36-L36,"--"))</f>
        <v/>
      </c>
    </row>
    <row r="37" ht="15" customHeight="1" s="130">
      <c r="B37" s="64">
        <f>IF(C37="","",B36+1)</f>
        <v/>
      </c>
      <c r="C37" s="77" t="n"/>
      <c r="D37" s="65" t="n"/>
      <c r="E37" s="66" t="n"/>
      <c r="F37" s="77" t="n"/>
      <c r="G37" s="64">
        <f>IF($F37="","",INDEX('WORK PACKAGES'!$B$2:$B$47,MATCH($F37,'WORK PACKAGES'!$D$2:$D$47,0)))</f>
        <v/>
      </c>
      <c r="H37" s="78" t="n"/>
      <c r="I37" s="78" t="n"/>
      <c r="J37" s="67" t="n"/>
      <c r="K37" s="82" t="n"/>
      <c r="L37" s="79" t="n"/>
      <c r="M37" s="85" t="n"/>
      <c r="N37" s="86" t="n"/>
      <c r="P37" s="63">
        <f>IF(O37="","",IF(O37="Open",TODAY()-L37,"--"))</f>
        <v/>
      </c>
      <c r="Q37" s="63">
        <f>IF(O37="","",IF(O37="Closed",N37-L37,"--"))</f>
        <v/>
      </c>
      <c r="R37" s="56" t="n"/>
      <c r="S37" s="56" t="n"/>
    </row>
    <row r="38" ht="15" customHeight="1" s="130">
      <c r="B38" s="64">
        <f>IF(C38="","",B37+1)</f>
        <v/>
      </c>
      <c r="C38" s="65" t="n"/>
      <c r="D38" s="65" t="n"/>
      <c r="E38" s="66" t="n"/>
      <c r="F38" s="77" t="n"/>
      <c r="G38" s="64">
        <f>IF($F38="","",INDEX('WORK PACKAGES'!$B$2:$B$47,MATCH($F38,'WORK PACKAGES'!$D$2:$D$47,0)))</f>
        <v/>
      </c>
      <c r="H38" s="78" t="n"/>
      <c r="I38" s="78" t="n"/>
      <c r="J38" s="67" t="n"/>
      <c r="K38" s="80" t="n"/>
      <c r="L38" s="79" t="n"/>
      <c r="M38" s="78" t="n"/>
      <c r="N38" s="79" t="n"/>
      <c r="P38" s="63">
        <f>IF(O38="","",IF(O38="Open",TODAY()-L38,"--"))</f>
        <v/>
      </c>
      <c r="Q38" s="63">
        <f>IF(O38="","",IF(O38="Closed",N38-L38,"--"))</f>
        <v/>
      </c>
      <c r="R38" s="56" t="n"/>
      <c r="S38" s="56" t="n"/>
      <c r="T38" s="56" t="n"/>
    </row>
    <row r="39" ht="15" customHeight="1" s="130">
      <c r="B39" s="64">
        <f>IF(C39="","",B38+1)</f>
        <v/>
      </c>
      <c r="C39" s="65" t="n"/>
      <c r="D39" s="65" t="n"/>
      <c r="E39" s="66" t="n"/>
      <c r="F39" s="77" t="n"/>
      <c r="G39" s="64">
        <f>IF($F39="","",INDEX('WORK PACKAGES'!$B$2:$B$47,MATCH($F39,'WORK PACKAGES'!$D$2:$D$47,0)))</f>
        <v/>
      </c>
      <c r="H39" s="78" t="n"/>
      <c r="I39" s="78" t="n"/>
      <c r="J39" s="78" t="n"/>
      <c r="K39" s="80" t="n"/>
      <c r="L39" s="79" t="n"/>
      <c r="M39" s="78" t="n"/>
      <c r="N39" s="79" t="n"/>
      <c r="P39" s="63">
        <f>IF(O39="","",IF(O39="Open",TODAY()-L39,"--"))</f>
        <v/>
      </c>
      <c r="Q39" s="63">
        <f>IF(O39="","",IF(O39="Closed",N39-L39,"--"))</f>
        <v/>
      </c>
    </row>
    <row r="40" ht="15" customHeight="1" s="130">
      <c r="A40" s="87" t="n"/>
      <c r="B40" s="64">
        <f>IF(C40="","",B39+1)</f>
        <v/>
      </c>
      <c r="C40" s="65" t="n"/>
      <c r="D40" s="65" t="n"/>
      <c r="E40" s="66" t="n"/>
      <c r="F40" s="77" t="n"/>
      <c r="G40" s="64">
        <f>IF($F40="","",INDEX('WORK PACKAGES'!$B$2:$B$47,MATCH($F40,'WORK PACKAGES'!$D$2:$D$47,0)))</f>
        <v/>
      </c>
      <c r="H40" s="78" t="n"/>
      <c r="I40" s="78" t="n"/>
      <c r="J40" s="78" t="n"/>
      <c r="K40" s="66" t="n"/>
      <c r="L40" s="79" t="n"/>
      <c r="M40" s="67" t="n"/>
      <c r="N40" s="79" t="n"/>
      <c r="P40" s="63">
        <f>IF(O40="","",IF(O40="Open",TODAY()-L40,"--"))</f>
        <v/>
      </c>
      <c r="Q40" s="63">
        <f>IF(O40="","",IF(O40="Closed",N40-L40,"--"))</f>
        <v/>
      </c>
    </row>
    <row r="41" ht="15" customHeight="1" s="130">
      <c r="B41" s="64">
        <f>IF(C41="","",B40+1)</f>
        <v/>
      </c>
      <c r="C41" s="65" t="n"/>
      <c r="D41" s="65" t="n"/>
      <c r="E41" s="66" t="n"/>
      <c r="F41" s="77" t="n"/>
      <c r="G41" s="64">
        <f>IF($F41="","",INDEX('WORK PACKAGES'!$B$2:$B$47,MATCH($F41,'WORK PACKAGES'!$D$2:$D$47,0)))</f>
        <v/>
      </c>
      <c r="H41" s="78" t="n"/>
      <c r="I41" s="78" t="n"/>
      <c r="J41" s="78" t="n"/>
      <c r="K41" s="66" t="n"/>
      <c r="L41" s="79" t="n"/>
      <c r="M41" s="78" t="n"/>
      <c r="N41" s="79" t="n"/>
      <c r="P41" s="63">
        <f>IF(O41="","",IF(O41="Open",TODAY()-L41,"--"))</f>
        <v/>
      </c>
      <c r="Q41" s="63">
        <f>IF(O41="","",IF(O41="Closed",N41-L41,"--"))</f>
        <v/>
      </c>
    </row>
    <row r="42" ht="15" customHeight="1" s="130">
      <c r="B42" s="64">
        <f>IF(C42="","",B41+1)</f>
        <v/>
      </c>
      <c r="C42" s="65" t="n"/>
      <c r="D42" s="65" t="n"/>
      <c r="E42" s="66" t="n"/>
      <c r="F42" s="77" t="n"/>
      <c r="G42" s="64">
        <f>IF($F42="","",INDEX('WORK PACKAGES'!$B$2:$B$47,MATCH($F42,'WORK PACKAGES'!$D$2:$D$47,0)))</f>
        <v/>
      </c>
      <c r="H42" s="78" t="n"/>
      <c r="I42" s="78" t="n"/>
      <c r="J42" s="78" t="n"/>
      <c r="K42" s="66" t="n"/>
      <c r="L42" s="79" t="n"/>
      <c r="M42" s="78" t="n"/>
      <c r="N42" s="79" t="n"/>
      <c r="P42" s="63">
        <f>IF(O42="","",IF(O42="Open",TODAY()-L42,"--"))</f>
        <v/>
      </c>
      <c r="Q42" s="63">
        <f>IF(O42="","",IF(O42="Closed",N42-L42,"--"))</f>
        <v/>
      </c>
    </row>
    <row r="43" ht="15" customHeight="1" s="130">
      <c r="A43" s="87" t="n"/>
      <c r="B43" s="64">
        <f>IF(C43="","",B42+1)</f>
        <v/>
      </c>
      <c r="C43" s="65" t="n"/>
      <c r="D43" s="65" t="n"/>
      <c r="E43" s="66" t="n"/>
      <c r="F43" s="77" t="n"/>
      <c r="G43" s="64">
        <f>IF($F43="","",INDEX('WORK PACKAGES'!$B$2:$B$47,MATCH($F43,'WORK PACKAGES'!$D$2:$D$47,0)))</f>
        <v/>
      </c>
      <c r="H43" s="78" t="n"/>
      <c r="I43" s="78" t="n"/>
      <c r="J43" s="78" t="n"/>
      <c r="K43" s="66" t="n"/>
      <c r="L43" s="79" t="n"/>
      <c r="M43" s="78" t="n"/>
      <c r="N43" s="79" t="n"/>
      <c r="P43" s="63">
        <f>IF(O43="","",IF(O43="Open",TODAY()-L43,"--"))</f>
        <v/>
      </c>
      <c r="Q43" s="63">
        <f>IF(O43="","",IF(O43="Closed",N43-L43,"--"))</f>
        <v/>
      </c>
    </row>
    <row r="44" ht="15" customHeight="1" s="130">
      <c r="B44" s="64">
        <f>IF(C44="","",B43+1)</f>
        <v/>
      </c>
      <c r="C44" s="65" t="n"/>
      <c r="D44" s="65" t="n"/>
      <c r="E44" s="66" t="n"/>
      <c r="F44" s="77" t="n"/>
      <c r="G44" s="64">
        <f>IF($F44="","",INDEX('WORK PACKAGES'!$B$2:$B$47,MATCH($F44,'WORK PACKAGES'!$D$2:$D$47,0)))</f>
        <v/>
      </c>
      <c r="H44" s="78" t="n"/>
      <c r="I44" s="78" t="n"/>
      <c r="J44" s="78" t="n"/>
      <c r="K44" s="66" t="n"/>
      <c r="L44" s="79" t="n"/>
      <c r="M44" s="78" t="n"/>
      <c r="N44" s="79" t="n"/>
      <c r="P44" s="63">
        <f>IF(O44="","",IF(O44="Open",TODAY()-L44,"--"))</f>
        <v/>
      </c>
      <c r="Q44" s="63">
        <f>IF(O44="","",IF(O44="Closed",N44-L44,"--"))</f>
        <v/>
      </c>
    </row>
    <row r="45" ht="15" customHeight="1" s="130">
      <c r="B45" s="64">
        <f>IF(C45="","",B44+1)</f>
        <v/>
      </c>
      <c r="C45" s="65" t="n"/>
      <c r="D45" s="65" t="n"/>
      <c r="E45" s="66" t="n"/>
      <c r="F45" s="77" t="n"/>
      <c r="G45" s="64">
        <f>IF($F45="","",INDEX('WORK PACKAGES'!$B$2:$B$47,MATCH($F45,'WORK PACKAGES'!$D$2:$D$47,0)))</f>
        <v/>
      </c>
      <c r="H45" s="78" t="n"/>
      <c r="I45" s="78" t="n"/>
      <c r="J45" s="78" t="n"/>
      <c r="K45" s="82" t="n"/>
      <c r="L45" s="79" t="n"/>
      <c r="M45" s="78" t="n"/>
      <c r="N45" s="79" t="n"/>
      <c r="P45" s="63">
        <f>IF(O45="","",IF(O45="Open",TODAY()-L45,"--"))</f>
        <v/>
      </c>
      <c r="Q45" s="63">
        <f>IF(O45="","",IF(O45="Closed",N45-L45,"--"))</f>
        <v/>
      </c>
      <c r="R45" s="56" t="n"/>
      <c r="S45" s="56" t="n"/>
    </row>
    <row r="46" ht="15" customHeight="1" s="130">
      <c r="B46" s="64">
        <f>IF(C46="","",B45+1)</f>
        <v/>
      </c>
      <c r="C46" s="65" t="n"/>
      <c r="D46" s="65" t="n"/>
      <c r="E46" s="66" t="n"/>
      <c r="F46" s="77" t="n"/>
      <c r="G46" s="64">
        <f>IF($F46="","",INDEX('WORK PACKAGES'!$B$2:$B$47,MATCH($F46,'WORK PACKAGES'!$D$2:$D$47,0)))</f>
        <v/>
      </c>
      <c r="H46" s="78" t="n"/>
      <c r="I46" s="78" t="n"/>
      <c r="J46" s="78" t="n"/>
      <c r="K46" s="82" t="n"/>
      <c r="L46" s="79" t="n"/>
      <c r="M46" s="78" t="n"/>
      <c r="N46" s="79" t="n"/>
      <c r="P46" s="63">
        <f>IF(O46="","",IF(O46="Open",TODAY()-L46,"--"))</f>
        <v/>
      </c>
      <c r="Q46" s="63">
        <f>IF(O46="","",IF(O46="Closed",N46-L46,"--"))</f>
        <v/>
      </c>
      <c r="R46" s="56" t="n"/>
      <c r="S46" s="56" t="n"/>
    </row>
    <row r="47" ht="15" customHeight="1" s="130">
      <c r="B47" s="64">
        <f>IF(C47="","",B46+1)</f>
        <v/>
      </c>
      <c r="C47" s="65" t="n"/>
      <c r="D47" s="65" t="n"/>
      <c r="E47" s="66" t="n"/>
      <c r="F47" s="77" t="n"/>
      <c r="G47" s="64">
        <f>IF($F47="","",INDEX('WORK PACKAGES'!$B$2:$B$47,MATCH($F47,'WORK PACKAGES'!$D$2:$D$47,0)))</f>
        <v/>
      </c>
      <c r="H47" s="78" t="n"/>
      <c r="I47" s="78" t="n"/>
      <c r="J47" s="67" t="n"/>
      <c r="K47" s="82" t="n"/>
      <c r="L47" s="79" t="n"/>
      <c r="M47" s="78" t="n"/>
      <c r="N47" s="79" t="n"/>
      <c r="P47" s="63">
        <f>IF(O47="","",IF(O47="Open",TODAY()-L47,"--"))</f>
        <v/>
      </c>
      <c r="Q47" s="63">
        <f>IF(O47="","",IF(O47="Closed",N47-L47,"--"))</f>
        <v/>
      </c>
      <c r="R47" s="56" t="n"/>
      <c r="S47" s="56" t="n"/>
    </row>
    <row r="48" ht="15" customHeight="1" s="130">
      <c r="B48" s="64">
        <f>IF(C48="","",B47+1)</f>
        <v/>
      </c>
      <c r="C48" s="65" t="n"/>
      <c r="D48" s="65" t="n"/>
      <c r="E48" s="66" t="n"/>
      <c r="F48" s="77" t="n"/>
      <c r="G48" s="64">
        <f>IF($F48="","",INDEX('WORK PACKAGES'!$B$2:$B$47,MATCH($F48,'WORK PACKAGES'!$D$2:$D$47,0)))</f>
        <v/>
      </c>
      <c r="H48" s="78" t="n"/>
      <c r="I48" s="78" t="n"/>
      <c r="J48" s="78" t="n"/>
      <c r="K48" s="66" t="n"/>
      <c r="L48" s="79" t="n"/>
      <c r="M48" s="78" t="n"/>
      <c r="N48" s="79" t="n"/>
      <c r="P48" s="63">
        <f>IF(O48="","",IF(O48="Open",TODAY()-L48,"--"))</f>
        <v/>
      </c>
      <c r="Q48" s="63">
        <f>IF(O48="","",IF(O48="Closed",N48-L48,"--"))</f>
        <v/>
      </c>
    </row>
    <row r="49" ht="15" customHeight="1" s="130">
      <c r="B49" s="64">
        <f>IF(C49="","",B48+1)</f>
        <v/>
      </c>
      <c r="C49" s="65" t="n"/>
      <c r="D49" s="65" t="n"/>
      <c r="E49" s="66" t="n"/>
      <c r="F49" s="77" t="n"/>
      <c r="G49" s="64">
        <f>IF($F49="","",INDEX('WORK PACKAGES'!$B$2:$B$47,MATCH($F49,'WORK PACKAGES'!$D$2:$D$47,0)))</f>
        <v/>
      </c>
      <c r="H49" s="78" t="n"/>
      <c r="I49" s="78" t="n"/>
      <c r="J49" s="78" t="n"/>
      <c r="K49" s="66" t="n"/>
      <c r="L49" s="79" t="n"/>
      <c r="M49" s="78" t="n"/>
      <c r="N49" s="79" t="n"/>
      <c r="P49" s="63">
        <f>IF(O49="","",IF(O49="Open",TODAY()-L49,"--"))</f>
        <v/>
      </c>
      <c r="Q49" s="63">
        <f>IF(O49="","",IF(O49="Closed",N49-L49,"--"))</f>
        <v/>
      </c>
    </row>
    <row r="50" ht="15" customHeight="1" s="130">
      <c r="B50" s="64">
        <f>IF(C50="","",B49+1)</f>
        <v/>
      </c>
      <c r="C50" s="77" t="n"/>
      <c r="D50" s="65" t="n"/>
      <c r="E50" s="66" t="n"/>
      <c r="F50" s="77" t="n"/>
      <c r="G50" s="64">
        <f>IF($F50="","",INDEX('WORK PACKAGES'!$B$2:$B$47,MATCH($F50,'WORK PACKAGES'!$D$2:$D$47,0)))</f>
        <v/>
      </c>
      <c r="H50" s="78" t="n"/>
      <c r="I50" s="78" t="n"/>
      <c r="J50" s="78" t="n"/>
      <c r="K50" s="66" t="n"/>
      <c r="L50" s="79" t="n"/>
      <c r="M50" s="78" t="n"/>
      <c r="N50" s="79" t="n"/>
      <c r="P50" s="63">
        <f>IF(O50="","",IF(O50="Open",TODAY()-L50,"--"))</f>
        <v/>
      </c>
      <c r="Q50" s="63">
        <f>IF(O50="","",IF(O50="Closed",N50-L50,"--"))</f>
        <v/>
      </c>
    </row>
    <row r="51" ht="15" customHeight="1" s="130">
      <c r="B51" s="64">
        <f>IF(C51="","",B50+1)</f>
        <v/>
      </c>
      <c r="C51" s="77" t="n"/>
      <c r="D51" s="65" t="n"/>
      <c r="E51" s="66" t="n"/>
      <c r="F51" s="77" t="n"/>
      <c r="G51" s="64">
        <f>IF($F51="","",INDEX('WORK PACKAGES'!$B$2:$B$47,MATCH($F51,'WORK PACKAGES'!$D$2:$D$47,0)))</f>
        <v/>
      </c>
      <c r="H51" s="78" t="n"/>
      <c r="I51" s="78" t="n"/>
      <c r="J51" s="78" t="n"/>
      <c r="K51" s="66" t="n"/>
      <c r="L51" s="79" t="n"/>
      <c r="M51" s="78" t="n"/>
      <c r="N51" s="79" t="n"/>
      <c r="P51" s="63">
        <f>IF(O51="","",IF(O51="Open",TODAY()-L51,"--"))</f>
        <v/>
      </c>
      <c r="Q51" s="63">
        <f>IF(O51="","",IF(O51="Closed",N51-L51,"--"))</f>
        <v/>
      </c>
    </row>
    <row r="52" ht="15" customHeight="1" s="130">
      <c r="B52" s="64">
        <f>IF(C52="","",B51+1)</f>
        <v/>
      </c>
      <c r="C52" s="77" t="n"/>
      <c r="D52" s="65" t="n"/>
      <c r="E52" s="66" t="n"/>
      <c r="F52" s="77" t="n"/>
      <c r="G52" s="64">
        <f>IF($F52="","",INDEX('WORK PACKAGES'!$B$2:$B$47,MATCH($F52,'WORK PACKAGES'!$D$2:$D$47,0)))</f>
        <v/>
      </c>
      <c r="H52" s="78" t="n"/>
      <c r="I52" s="78" t="n"/>
      <c r="J52" s="78" t="n"/>
      <c r="K52" s="66" t="n"/>
      <c r="L52" s="79" t="n"/>
      <c r="M52" s="78" t="n"/>
      <c r="N52" s="79" t="n"/>
      <c r="P52" s="63">
        <f>IF(O52="","",IF(O52="Open",TODAY()-L52,"--"))</f>
        <v/>
      </c>
      <c r="Q52" s="63">
        <f>IF(O52="","",IF(O52="Closed",N52-L52,"--"))</f>
        <v/>
      </c>
    </row>
    <row r="53" ht="15" customHeight="1" s="130">
      <c r="B53" s="64">
        <f>IF(C53="","",B52+1)</f>
        <v/>
      </c>
      <c r="C53" s="77" t="n"/>
      <c r="D53" s="65" t="n"/>
      <c r="E53" s="66" t="n"/>
      <c r="F53" s="77" t="n"/>
      <c r="G53" s="64">
        <f>IF($F53="","",INDEX('WORK PACKAGES'!$B$2:$B$47,MATCH($F53,'WORK PACKAGES'!$D$2:$D$47,0)))</f>
        <v/>
      </c>
      <c r="H53" s="78" t="n"/>
      <c r="I53" s="78" t="n"/>
      <c r="J53" s="78" t="n"/>
      <c r="K53" s="66" t="n"/>
      <c r="L53" s="79" t="n"/>
      <c r="M53" s="78" t="n"/>
      <c r="N53" s="79" t="n"/>
      <c r="P53" s="63">
        <f>IF(O53="","",IF(O53="Open",TODAY()-L53,"--"))</f>
        <v/>
      </c>
      <c r="Q53" s="63">
        <f>IF(O53="","",IF(O53="Closed",N53-L53,"--"))</f>
        <v/>
      </c>
    </row>
    <row r="54" ht="15" customHeight="1" s="130">
      <c r="B54" s="64">
        <f>IF(C54="","",B53+1)</f>
        <v/>
      </c>
      <c r="C54" s="77" t="n"/>
      <c r="D54" s="65" t="n"/>
      <c r="E54" s="66" t="n"/>
      <c r="F54" s="77" t="n"/>
      <c r="G54" s="64">
        <f>IF($F54="","",INDEX('WORK PACKAGES'!$B$2:$B$47,MATCH($F54,'WORK PACKAGES'!$D$2:$D$47,0)))</f>
        <v/>
      </c>
      <c r="H54" s="78" t="n"/>
      <c r="I54" s="78" t="n"/>
      <c r="J54" s="78" t="n"/>
      <c r="K54" s="66" t="n"/>
      <c r="L54" s="79" t="n"/>
      <c r="M54" s="78" t="n"/>
      <c r="N54" s="79" t="n"/>
      <c r="P54" s="63">
        <f>IF(O54="","",IF(O54="Open",TODAY()-L54,"--"))</f>
        <v/>
      </c>
      <c r="Q54" s="63">
        <f>IF(O54="","",IF(O54="Closed",N54-L54,"--"))</f>
        <v/>
      </c>
    </row>
    <row r="55" ht="15" customHeight="1" s="130">
      <c r="B55" s="64">
        <f>IF(C55="","",B54+1)</f>
        <v/>
      </c>
      <c r="C55" s="77" t="n"/>
      <c r="D55" s="65" t="n"/>
      <c r="E55" s="66" t="n"/>
      <c r="F55" s="77" t="n"/>
      <c r="G55" s="64">
        <f>IF($F55="","",INDEX('WORK PACKAGES'!$B$2:$B$47,MATCH($F55,'WORK PACKAGES'!$D$2:$D$47,0)))</f>
        <v/>
      </c>
      <c r="H55" s="78" t="n"/>
      <c r="I55" s="78" t="n"/>
      <c r="J55" s="78" t="n"/>
      <c r="K55" s="66" t="n"/>
      <c r="L55" s="79" t="n"/>
      <c r="M55" s="78" t="n"/>
      <c r="N55" s="79" t="n"/>
      <c r="P55" s="63">
        <f>IF(O55="","",IF(O55="Open",TODAY()-L55,"--"))</f>
        <v/>
      </c>
      <c r="Q55" s="63">
        <f>IF(O55="","",IF(O55="Closed",N55-L55,"--"))</f>
        <v/>
      </c>
    </row>
    <row r="56" ht="15" customHeight="1" s="130">
      <c r="B56" s="64">
        <f>IF(C56="","",B55+1)</f>
        <v/>
      </c>
      <c r="C56" s="77" t="n"/>
      <c r="D56" s="65" t="n"/>
      <c r="E56" s="66" t="n"/>
      <c r="F56" s="77" t="n"/>
      <c r="G56" s="64">
        <f>IF($F56="","",INDEX('WORK PACKAGES'!$B$2:$B$47,MATCH($F56,'WORK PACKAGES'!$D$2:$D$47,0)))</f>
        <v/>
      </c>
      <c r="H56" s="78" t="n"/>
      <c r="I56" s="78" t="n"/>
      <c r="J56" s="78" t="n"/>
      <c r="K56" s="66" t="n"/>
      <c r="L56" s="79" t="n"/>
      <c r="M56" s="78" t="n"/>
      <c r="N56" s="79" t="n"/>
      <c r="P56" s="63">
        <f>IF(O56="","",IF(O56="Open",TODAY()-L56,"--"))</f>
        <v/>
      </c>
      <c r="Q56" s="63">
        <f>IF(O56="","",IF(O56="Closed",N56-L56,"--"))</f>
        <v/>
      </c>
      <c r="R56" s="56" t="n"/>
      <c r="S56" s="56" t="n"/>
      <c r="T56" s="56" t="n"/>
    </row>
    <row r="57" ht="15" customHeight="1" s="130">
      <c r="B57" s="64">
        <f>IF(C57="","",B56+1)</f>
        <v/>
      </c>
      <c r="C57" s="77" t="n"/>
      <c r="D57" s="65" t="n"/>
      <c r="E57" s="66" t="n"/>
      <c r="F57" s="77" t="n"/>
      <c r="G57" s="64">
        <f>IF($F57="","",INDEX('WORK PACKAGES'!$B$2:$B$47,MATCH($F57,'WORK PACKAGES'!$D$2:$D$47,0)))</f>
        <v/>
      </c>
      <c r="H57" s="78" t="n"/>
      <c r="I57" s="78" t="n"/>
      <c r="J57" s="67" t="n"/>
      <c r="K57" s="66" t="n"/>
      <c r="L57" s="79" t="n"/>
      <c r="M57" s="78" t="n"/>
      <c r="N57" s="79" t="n"/>
      <c r="P57" s="63">
        <f>IF(O57="","",IF(O57="Open",TODAY()-L57,"--"))</f>
        <v/>
      </c>
      <c r="Q57" s="63">
        <f>IF(O57="","",IF(O57="Closed",N57-L57,"--"))</f>
        <v/>
      </c>
    </row>
    <row r="58" ht="15" customHeight="1" s="130">
      <c r="B58" s="64">
        <f>IF(C58="","",B57+1)</f>
        <v/>
      </c>
      <c r="C58" s="77" t="n"/>
      <c r="D58" s="65" t="n"/>
      <c r="E58" s="66" t="n"/>
      <c r="F58" s="77" t="n"/>
      <c r="G58" s="64">
        <f>IF($F58="","",INDEX('WORK PACKAGES'!$B$2:$B$47,MATCH($F58,'WORK PACKAGES'!$D$2:$D$47,0)))</f>
        <v/>
      </c>
      <c r="H58" s="78" t="n"/>
      <c r="I58" s="78" t="n"/>
      <c r="J58" s="78" t="n"/>
      <c r="K58" s="66" t="n"/>
      <c r="L58" s="79" t="n"/>
      <c r="M58" s="78" t="n"/>
      <c r="N58" s="79" t="n"/>
      <c r="P58" s="63">
        <f>IF(O58="","",IF(O58="Open",TODAY()-L58,"--"))</f>
        <v/>
      </c>
      <c r="Q58" s="63">
        <f>IF(O58="","",IF(O58="Closed",N58-L58,"--"))</f>
        <v/>
      </c>
    </row>
    <row r="59" ht="15" customHeight="1" s="130">
      <c r="B59" s="64">
        <f>IF(C59="","",B58+1)</f>
        <v/>
      </c>
      <c r="C59" s="77" t="n"/>
      <c r="D59" s="65" t="n"/>
      <c r="E59" s="66" t="n"/>
      <c r="F59" s="77" t="n"/>
      <c r="G59" s="64">
        <f>IF($F59="","",INDEX('WORK PACKAGES'!$B$2:$B$47,MATCH($F59,'WORK PACKAGES'!$D$2:$D$47,0)))</f>
        <v/>
      </c>
      <c r="H59" s="78" t="n"/>
      <c r="I59" s="78" t="n"/>
      <c r="J59" s="67" t="n"/>
      <c r="K59" s="66" t="n"/>
      <c r="L59" s="79" t="n"/>
      <c r="M59" s="78" t="n"/>
      <c r="N59" s="79" t="n"/>
      <c r="P59" s="63">
        <f>IF(O59="","",IF(O59="Open",TODAY()-L59,"--"))</f>
        <v/>
      </c>
      <c r="Q59" s="63">
        <f>IF(O59="","",IF(O59="Closed",N59-L59,"--"))</f>
        <v/>
      </c>
    </row>
    <row r="60" ht="15" customHeight="1" s="130">
      <c r="B60" s="64">
        <f>IF(C60="","",B59+1)</f>
        <v/>
      </c>
      <c r="C60" s="77" t="n"/>
      <c r="D60" s="65" t="n"/>
      <c r="E60" s="66" t="n"/>
      <c r="F60" s="77" t="n"/>
      <c r="G60" s="64">
        <f>IF($F60="","",INDEX('WORK PACKAGES'!$B$2:$B$47,MATCH($F60,'WORK PACKAGES'!$D$2:$D$47,0)))</f>
        <v/>
      </c>
      <c r="H60" s="78" t="n"/>
      <c r="I60" s="78" t="n"/>
      <c r="J60" s="78" t="n"/>
      <c r="K60" s="66" t="n"/>
      <c r="L60" s="79" t="n"/>
      <c r="M60" s="78" t="n"/>
      <c r="N60" s="79" t="n"/>
      <c r="P60" s="63">
        <f>IF(O60="","",IF(O60="Open",TODAY()-L60,"--"))</f>
        <v/>
      </c>
      <c r="Q60" s="63">
        <f>IF(O60="","",IF(O60="Closed",N60-L60,"--"))</f>
        <v/>
      </c>
    </row>
    <row r="61" ht="15" customHeight="1" s="130">
      <c r="B61" s="64">
        <f>IF(C61="","",B60+1)</f>
        <v/>
      </c>
      <c r="C61" s="77" t="n"/>
      <c r="D61" s="65" t="n"/>
      <c r="E61" s="66" t="n"/>
      <c r="F61" s="77" t="n"/>
      <c r="G61" s="64">
        <f>IF($F61="","",INDEX('WORK PACKAGES'!$B$2:$B$47,MATCH($F61,'WORK PACKAGES'!$D$2:$D$47,0)))</f>
        <v/>
      </c>
      <c r="H61" s="78" t="n"/>
      <c r="I61" s="88" t="n"/>
      <c r="J61" s="78" t="n"/>
      <c r="K61" s="66" t="n"/>
      <c r="L61" s="79" t="n"/>
      <c r="M61" s="78" t="n"/>
      <c r="N61" s="79" t="n"/>
      <c r="P61" s="63">
        <f>IF(O61="","",IF(O61="Open",TODAY()-L61,"--"))</f>
        <v/>
      </c>
      <c r="Q61" s="63">
        <f>IF(O61="","",IF(O61="Closed",N61-L61,"--"))</f>
        <v/>
      </c>
    </row>
    <row r="62" ht="15" customHeight="1" s="130">
      <c r="B62" s="64">
        <f>IF(C62="","",B61+1)</f>
        <v/>
      </c>
      <c r="C62" s="77" t="n"/>
      <c r="D62" s="65" t="n"/>
      <c r="E62" s="66" t="n"/>
      <c r="F62" s="77" t="n"/>
      <c r="G62" s="64">
        <f>IF($F62="","",INDEX('WORK PACKAGES'!$B$2:$B$47,MATCH($F62,'WORK PACKAGES'!$D$2:$D$47,0)))</f>
        <v/>
      </c>
      <c r="H62" s="78" t="n"/>
      <c r="I62" s="78" t="n"/>
      <c r="J62" s="78" t="n"/>
      <c r="K62" s="66" t="n"/>
      <c r="L62" s="79" t="n"/>
      <c r="M62" s="78" t="n"/>
      <c r="N62" s="79" t="n"/>
      <c r="P62" s="63">
        <f>IF(O62="","",IF(O62="Open",TODAY()-L62,"--"))</f>
        <v/>
      </c>
      <c r="Q62" s="63">
        <f>IF(O62="","",IF(O62="Closed",N62-L62,"--"))</f>
        <v/>
      </c>
    </row>
    <row r="63" ht="15" customHeight="1" s="130">
      <c r="B63" s="64">
        <f>IF(C63="","",B62+1)</f>
        <v/>
      </c>
      <c r="C63" s="77" t="n"/>
      <c r="D63" s="65" t="n"/>
      <c r="E63" s="66" t="n"/>
      <c r="F63" s="77" t="n"/>
      <c r="G63" s="64">
        <f>IF($F63="","",INDEX('WORK PACKAGES'!$B$2:$B$47,MATCH($F63,'WORK PACKAGES'!$D$2:$D$47,0)))</f>
        <v/>
      </c>
      <c r="H63" s="78" t="n"/>
      <c r="I63" s="78" t="n"/>
      <c r="J63" s="78" t="n"/>
      <c r="K63" s="66" t="n"/>
      <c r="L63" s="79" t="n"/>
      <c r="M63" s="78" t="n"/>
      <c r="N63" s="79" t="n"/>
      <c r="P63" s="63">
        <f>IF(O63="","",IF(O63="Open",TODAY()-L63,"--"))</f>
        <v/>
      </c>
      <c r="Q63" s="63">
        <f>IF(O63="","",IF(O63="Closed",N63-L63,"--"))</f>
        <v/>
      </c>
    </row>
    <row r="64" ht="15" customHeight="1" s="130">
      <c r="B64" s="64">
        <f>IF(C64="","",B63+1)</f>
        <v/>
      </c>
      <c r="C64" s="77" t="n"/>
      <c r="D64" s="65" t="n"/>
      <c r="E64" s="66" t="n"/>
      <c r="F64" s="77" t="n"/>
      <c r="G64" s="64">
        <f>IF($F64="","",INDEX('WORK PACKAGES'!$B$2:$B$47,MATCH($F64,'WORK PACKAGES'!$D$2:$D$47,0)))</f>
        <v/>
      </c>
      <c r="H64" s="78" t="n"/>
      <c r="I64" s="78" t="n"/>
      <c r="J64" s="78" t="n"/>
      <c r="K64" s="66" t="n"/>
      <c r="L64" s="79" t="n"/>
      <c r="M64" s="78" t="n"/>
      <c r="N64" s="79" t="n"/>
      <c r="P64" s="63">
        <f>IF(O64="","",IF(O64="Open",TODAY()-L64,"--"))</f>
        <v/>
      </c>
      <c r="Q64" s="63">
        <f>IF(O64="","",IF(O64="Closed",N64-L64,"--"))</f>
        <v/>
      </c>
    </row>
    <row r="65" ht="15" customHeight="1" s="130">
      <c r="B65" s="64">
        <f>IF(C65="","",B64+1)</f>
        <v/>
      </c>
      <c r="C65" s="77" t="n"/>
      <c r="D65" s="65" t="n"/>
      <c r="E65" s="66" t="n"/>
      <c r="F65" s="77" t="n"/>
      <c r="G65" s="64">
        <f>IF($F65="","",INDEX('WORK PACKAGES'!$B$2:$B$47,MATCH($F65,'WORK PACKAGES'!$D$2:$D$47,0)))</f>
        <v/>
      </c>
      <c r="H65" s="78" t="n"/>
      <c r="I65" s="78" t="n"/>
      <c r="J65" s="78" t="n"/>
      <c r="K65" s="66" t="n"/>
      <c r="L65" s="79" t="n"/>
      <c r="M65" s="78" t="n"/>
      <c r="N65" s="79" t="n"/>
      <c r="P65" s="63">
        <f>IF(O65="","",IF(O65="Open",TODAY()-L65,"--"))</f>
        <v/>
      </c>
      <c r="Q65" s="63">
        <f>IF(O65="","",IF(O65="Closed",N65-L65,"--"))</f>
        <v/>
      </c>
    </row>
    <row r="66" ht="15" customHeight="1" s="130">
      <c r="B66" s="64">
        <f>IF(C66="","",B65+1)</f>
        <v/>
      </c>
      <c r="C66" s="77" t="n"/>
      <c r="D66" s="65" t="n"/>
      <c r="E66" s="66" t="n"/>
      <c r="F66" s="77" t="n"/>
      <c r="G66" s="64">
        <f>IF($F66="","",INDEX('WORK PACKAGES'!$B$2:$B$47,MATCH($F66,'WORK PACKAGES'!$D$2:$D$47,0)))</f>
        <v/>
      </c>
      <c r="H66" s="78" t="n"/>
      <c r="I66" s="78" t="n"/>
      <c r="J66" s="78" t="n"/>
      <c r="K66" s="66" t="n"/>
      <c r="L66" s="79" t="n"/>
      <c r="M66" s="78" t="n"/>
      <c r="N66" s="79" t="n"/>
      <c r="P66" s="63">
        <f>IF(O66="","",IF(O66="Open",TODAY()-L66,"--"))</f>
        <v/>
      </c>
      <c r="Q66" s="63">
        <f>IF(O66="","",IF(O66="Closed",N66-L66,"--"))</f>
        <v/>
      </c>
    </row>
    <row r="67" ht="15" customHeight="1" s="130">
      <c r="B67" s="64">
        <f>IF(C67="","",B66+1)</f>
        <v/>
      </c>
      <c r="C67" s="77" t="n"/>
      <c r="D67" s="65" t="n"/>
      <c r="E67" s="66" t="n"/>
      <c r="F67" s="77" t="n"/>
      <c r="G67" s="64">
        <f>IF($F67="","",INDEX('WORK PACKAGES'!$B$2:$B$47,MATCH($F67,'WORK PACKAGES'!$D$2:$D$47,0)))</f>
        <v/>
      </c>
      <c r="H67" s="78" t="n"/>
      <c r="I67" s="78" t="n"/>
      <c r="J67" s="78" t="n"/>
      <c r="K67" s="66" t="n"/>
      <c r="L67" s="79" t="n"/>
      <c r="M67" s="78" t="n"/>
      <c r="N67" s="79" t="n"/>
      <c r="P67" s="63">
        <f>IF(O67="","",IF(O67="Open",TODAY()-L67,"--"))</f>
        <v/>
      </c>
      <c r="Q67" s="63">
        <f>IF(O67="","",IF(O67="Closed",N67-L67,"--"))</f>
        <v/>
      </c>
    </row>
    <row r="68" ht="15" customHeight="1" s="130">
      <c r="B68" s="64">
        <f>IF(C68="","",B67+1)</f>
        <v/>
      </c>
      <c r="C68" s="77" t="n"/>
      <c r="D68" s="65" t="n"/>
      <c r="E68" s="66" t="n"/>
      <c r="F68" s="77" t="n"/>
      <c r="G68" s="64">
        <f>IF($F68="","",INDEX('WORK PACKAGES'!$B$2:$B$47,MATCH($F68,'WORK PACKAGES'!$D$2:$D$47,0)))</f>
        <v/>
      </c>
      <c r="H68" s="78" t="n"/>
      <c r="I68" s="78" t="n"/>
      <c r="J68" s="78" t="n"/>
      <c r="K68" s="66" t="n"/>
      <c r="L68" s="79" t="n"/>
      <c r="M68" s="78" t="n"/>
      <c r="N68" s="79" t="n"/>
      <c r="P68" s="63">
        <f>IF(O68="","",IF(O68="Open",TODAY()-L68,"--"))</f>
        <v/>
      </c>
      <c r="Q68" s="63">
        <f>IF(O68="","",IF(O68="Closed",N68-L68,"--"))</f>
        <v/>
      </c>
      <c r="R68" s="56" t="n"/>
      <c r="S68" s="56" t="n"/>
    </row>
    <row r="69" ht="15" customHeight="1" s="130">
      <c r="B69" s="64">
        <f>IF(C69="","",B68+1)</f>
        <v/>
      </c>
      <c r="C69" s="77" t="n"/>
      <c r="D69" s="65" t="n"/>
      <c r="E69" s="66" t="n"/>
      <c r="F69" s="77" t="n"/>
      <c r="G69" s="64">
        <f>IF($F69="","",INDEX('WORK PACKAGES'!$B$2:$B$47,MATCH($F69,'WORK PACKAGES'!$D$2:$D$47,0)))</f>
        <v/>
      </c>
      <c r="H69" s="78" t="n"/>
      <c r="I69" s="88" t="n"/>
      <c r="J69" s="78" t="n"/>
      <c r="K69" s="66" t="n"/>
      <c r="L69" s="79" t="n"/>
      <c r="M69" s="78" t="n"/>
      <c r="N69" s="79" t="n"/>
      <c r="P69" s="63">
        <f>IF(O69="","",IF(O69="Open",TODAY()-L69,"--"))</f>
        <v/>
      </c>
      <c r="Q69" s="63">
        <f>IF(O69="","",IF(O69="Closed",N69-L69,"--"))</f>
        <v/>
      </c>
    </row>
    <row r="70" ht="15" customHeight="1" s="130">
      <c r="B70" s="64">
        <f>IF(C70="","",B69+1)</f>
        <v/>
      </c>
      <c r="C70" s="77" t="n"/>
      <c r="D70" s="65" t="n"/>
      <c r="E70" s="66" t="n"/>
      <c r="F70" s="77" t="n"/>
      <c r="G70" s="64">
        <f>IF($F70="","",INDEX('WORK PACKAGES'!$B$2:$B$47,MATCH($F70,'WORK PACKAGES'!$D$2:$D$47,0)))</f>
        <v/>
      </c>
      <c r="H70" s="78" t="n"/>
      <c r="I70" s="78" t="n"/>
      <c r="J70" s="78" t="n"/>
      <c r="K70" s="66" t="n"/>
      <c r="L70" s="79" t="n"/>
      <c r="M70" s="78" t="n"/>
      <c r="N70" s="79" t="n"/>
      <c r="P70" s="63">
        <f>IF(O70="","",IF(O70="Open",TODAY()-L70,"--"))</f>
        <v/>
      </c>
      <c r="Q70" s="63">
        <f>IF(O70="","",IF(O70="Closed",N70-L70,"--"))</f>
        <v/>
      </c>
    </row>
    <row r="71" ht="15" customHeight="1" s="130">
      <c r="B71" s="64">
        <f>IF(C71="","",B70+1)</f>
        <v/>
      </c>
      <c r="C71" s="77" t="n"/>
      <c r="D71" s="65" t="n"/>
      <c r="E71" s="66" t="n"/>
      <c r="F71" s="77" t="n"/>
      <c r="G71" s="64">
        <f>IF($F71="","",INDEX('WORK PACKAGES'!$B$2:$B$47,MATCH($F71,'WORK PACKAGES'!$D$2:$D$47,0)))</f>
        <v/>
      </c>
      <c r="H71" s="78" t="n"/>
      <c r="I71" s="78" t="n"/>
      <c r="J71" s="78" t="n"/>
      <c r="K71" s="66" t="n"/>
      <c r="L71" s="79" t="n"/>
      <c r="M71" s="78" t="n"/>
      <c r="N71" s="79" t="n"/>
      <c r="P71" s="63">
        <f>IF(O71="","",IF(O71="Open",TODAY()-L71,"--"))</f>
        <v/>
      </c>
      <c r="Q71" s="63">
        <f>IF(O71="","",IF(O71="Closed",N71-L71,"--"))</f>
        <v/>
      </c>
    </row>
    <row r="72" ht="15" customHeight="1" s="130">
      <c r="B72" s="64">
        <f>IF(C72="","",B71+1)</f>
        <v/>
      </c>
      <c r="C72" s="77" t="n"/>
      <c r="D72" s="65" t="n"/>
      <c r="E72" s="66" t="n"/>
      <c r="F72" s="77" t="n"/>
      <c r="G72" s="64">
        <f>IF($F72="","",INDEX('WORK PACKAGES'!$B$2:$B$47,MATCH($F72,'WORK PACKAGES'!$D$2:$D$47,0)))</f>
        <v/>
      </c>
      <c r="H72" s="78" t="n"/>
      <c r="I72" s="78" t="n"/>
      <c r="J72" s="78" t="n"/>
      <c r="K72" s="66" t="n"/>
      <c r="L72" s="79" t="n"/>
      <c r="M72" s="78" t="n"/>
      <c r="N72" s="79" t="n"/>
      <c r="P72" s="63">
        <f>IF(O72="","",IF(O72="Open",TODAY()-L72,"--"))</f>
        <v/>
      </c>
      <c r="Q72" s="63">
        <f>IF(O72="","",IF(O72="Closed",N72-L72,"--"))</f>
        <v/>
      </c>
    </row>
    <row r="73" ht="15" customHeight="1" s="130">
      <c r="B73" s="64">
        <f>IF(C73="","",B72+1)</f>
        <v/>
      </c>
      <c r="C73" s="77" t="n"/>
      <c r="D73" s="65" t="n"/>
      <c r="E73" s="66" t="n"/>
      <c r="F73" s="77" t="n"/>
      <c r="G73" s="64">
        <f>IF($F73="","",INDEX('WORK PACKAGES'!$B$2:$B$47,MATCH($F73,'WORK PACKAGES'!$D$2:$D$47,0)))</f>
        <v/>
      </c>
      <c r="H73" s="78" t="n"/>
      <c r="I73" s="78" t="n"/>
      <c r="J73" s="78" t="n"/>
      <c r="K73" s="66" t="n"/>
      <c r="L73" s="79" t="n"/>
      <c r="M73" s="67" t="n"/>
      <c r="N73" s="79" t="n"/>
      <c r="P73" s="63">
        <f>IF(O73="","",IF(O73="Open",TODAY()-L73,"--"))</f>
        <v/>
      </c>
      <c r="Q73" s="63">
        <f>IF(O73="","",IF(O73="Closed",N73-L73,"--"))</f>
        <v/>
      </c>
    </row>
    <row r="74" ht="15" customHeight="1" s="130">
      <c r="B74" s="64">
        <f>IF(C74="","",B73+1)</f>
        <v/>
      </c>
      <c r="C74" s="77" t="n"/>
      <c r="D74" s="65" t="n"/>
      <c r="E74" s="66" t="n"/>
      <c r="F74" s="77" t="n"/>
      <c r="G74" s="64">
        <f>IF($F74="","",INDEX('WORK PACKAGES'!$B$2:$B$47,MATCH($F74,'WORK PACKAGES'!$D$2:$D$47,0)))</f>
        <v/>
      </c>
      <c r="H74" s="78" t="n"/>
      <c r="I74" s="78" t="n"/>
      <c r="J74" s="78" t="n"/>
      <c r="K74" s="66" t="n"/>
      <c r="L74" s="79" t="n"/>
      <c r="M74" s="78" t="n"/>
      <c r="N74" s="79" t="n"/>
      <c r="P74" s="63">
        <f>IF(O74="","",IF(O74="Open",TODAY()-L74,"--"))</f>
        <v/>
      </c>
      <c r="Q74" s="63">
        <f>IF(O74="","",IF(O74="Closed",N74-L74,"--"))</f>
        <v/>
      </c>
    </row>
    <row r="75" ht="15" customHeight="1" s="130">
      <c r="B75" s="64">
        <f>IF(C75="","",B74+1)</f>
        <v/>
      </c>
      <c r="C75" s="77" t="n"/>
      <c r="D75" s="77" t="n"/>
      <c r="E75" s="66" t="n"/>
      <c r="F75" s="77" t="n"/>
      <c r="G75" s="64">
        <f>IF($F75="","",INDEX('WORK PACKAGES'!$B$2:$B$47,MATCH($F75,'WORK PACKAGES'!$D$2:$D$47,0)))</f>
        <v/>
      </c>
      <c r="H75" s="78" t="n"/>
      <c r="I75" s="78" t="n"/>
      <c r="J75" s="78" t="n"/>
      <c r="K75" s="66" t="n"/>
      <c r="L75" s="79" t="n"/>
      <c r="M75" s="78" t="n"/>
      <c r="N75" s="79" t="n"/>
      <c r="P75" s="63">
        <f>IF(O75="","",IF(O75="Open",TODAY()-L75,"--"))</f>
        <v/>
      </c>
      <c r="Q75" s="63">
        <f>IF(O75="","",IF(O75="Closed",N75-L75,"--"))</f>
        <v/>
      </c>
      <c r="R75" s="56" t="n"/>
    </row>
    <row r="76" ht="15" customHeight="1" s="130">
      <c r="B76" s="64">
        <f>IF(C76="","",B75+1)</f>
        <v/>
      </c>
      <c r="C76" s="77" t="n"/>
      <c r="D76" s="65" t="n"/>
      <c r="E76" s="66" t="n"/>
      <c r="F76" s="77" t="n"/>
      <c r="G76" s="64">
        <f>IF($F76="","",INDEX('WORK PACKAGES'!$B$2:$B$47,MATCH($F76,'WORK PACKAGES'!$D$2:$D$47,0)))</f>
        <v/>
      </c>
      <c r="H76" s="78" t="n"/>
      <c r="I76" s="78" t="n"/>
      <c r="J76" s="78" t="n"/>
      <c r="K76" s="82" t="n"/>
      <c r="L76" s="79" t="n"/>
      <c r="M76" s="78" t="n"/>
      <c r="N76" s="79" t="n"/>
      <c r="P76" s="63">
        <f>IF(O76="","",IF(O76="Open",TODAY()-L76,"--"))</f>
        <v/>
      </c>
      <c r="Q76" s="63">
        <f>IF(O76="","",IF(O76="Closed",N76-L76,"--"))</f>
        <v/>
      </c>
    </row>
    <row r="77" ht="15" customHeight="1" s="130">
      <c r="B77" s="64">
        <f>IF(C77="","",B76+1)</f>
        <v/>
      </c>
      <c r="C77" s="77" t="n"/>
      <c r="D77" s="65" t="n"/>
      <c r="E77" s="82" t="n"/>
      <c r="F77" s="77" t="n"/>
      <c r="G77" s="64">
        <f>IF($F77="","",INDEX('WORK PACKAGES'!$B$2:$B$47,MATCH($F77,'WORK PACKAGES'!$D$2:$D$47,0)))</f>
        <v/>
      </c>
      <c r="H77" s="78" t="n"/>
      <c r="I77" s="78" t="n"/>
      <c r="J77" s="78" t="n"/>
      <c r="K77" s="66" t="n"/>
      <c r="L77" s="79" t="n"/>
      <c r="M77" s="78" t="n"/>
      <c r="N77" s="79" t="n"/>
      <c r="P77" s="63">
        <f>IF(O77="","",IF(O77="Open",TODAY()-L77,"--"))</f>
        <v/>
      </c>
      <c r="Q77" s="63">
        <f>IF(O77="","",IF(O77="Closed",N77-L77,"--"))</f>
        <v/>
      </c>
      <c r="R77" s="56" t="n"/>
    </row>
    <row r="78" ht="15" customHeight="1" s="130">
      <c r="B78" s="64">
        <f>IF(C78="","",B77+1)</f>
        <v/>
      </c>
      <c r="C78" s="77" t="n"/>
      <c r="D78" s="65" t="n"/>
      <c r="E78" s="82" t="n"/>
      <c r="F78" s="77" t="n"/>
      <c r="G78" s="64">
        <f>IF($F78="","",INDEX('WORK PACKAGES'!$B$2:$B$47,MATCH($F78,'WORK PACKAGES'!$D$2:$D$47,0)))</f>
        <v/>
      </c>
      <c r="H78" s="78" t="n"/>
      <c r="I78" s="78" t="n"/>
      <c r="J78" s="78" t="n"/>
      <c r="K78" s="66" t="n"/>
      <c r="L78" s="79" t="n"/>
      <c r="M78" s="67" t="n"/>
      <c r="N78" s="79" t="n"/>
      <c r="P78" s="63">
        <f>IF(O78="","",IF(O78="Open",TODAY()-L78,"--"))</f>
        <v/>
      </c>
      <c r="Q78" s="63">
        <f>IF(O78="","",IF(O78="Closed",N78-L78,"--"))</f>
        <v/>
      </c>
      <c r="R78" s="56" t="n"/>
    </row>
    <row r="79" ht="15" customHeight="1" s="130">
      <c r="B79" s="64">
        <f>IF(C79="","",B78+1)</f>
        <v/>
      </c>
      <c r="C79" s="77" t="n"/>
      <c r="D79" s="65" t="n"/>
      <c r="E79" s="66" t="n"/>
      <c r="F79" s="77" t="n"/>
      <c r="G79" s="64">
        <f>IF($F79="","",INDEX('WORK PACKAGES'!$B$2:$B$47,MATCH($F79,'WORK PACKAGES'!$D$2:$D$47,0)))</f>
        <v/>
      </c>
      <c r="H79" s="78" t="n"/>
      <c r="I79" s="78" t="n"/>
      <c r="J79" s="78" t="n"/>
      <c r="K79" s="66" t="n"/>
      <c r="L79" s="79" t="n"/>
      <c r="M79" s="67" t="n"/>
      <c r="N79" s="79" t="n"/>
      <c r="P79" s="63">
        <f>IF(O79="","",IF(O79="Open",TODAY()-L79,"--"))</f>
        <v/>
      </c>
      <c r="Q79" s="63">
        <f>IF(O79="","",IF(O79="Closed",N79-L79,"--"))</f>
        <v/>
      </c>
      <c r="R79" s="56" t="n"/>
    </row>
    <row r="80" ht="15" customHeight="1" s="130">
      <c r="B80" s="64">
        <f>IF(C80="","",B79+1)</f>
        <v/>
      </c>
      <c r="C80" s="77" t="n"/>
      <c r="D80" s="65" t="n"/>
      <c r="E80" s="66" t="n"/>
      <c r="F80" s="77" t="n"/>
      <c r="G80" s="64">
        <f>IF($F80="","",INDEX('WORK PACKAGES'!$B$2:$B$47,MATCH($F80,'WORK PACKAGES'!$D$2:$D$47,0)))</f>
        <v/>
      </c>
      <c r="H80" s="78" t="n"/>
      <c r="I80" s="78" t="n"/>
      <c r="J80" s="78" t="n"/>
      <c r="K80" s="66" t="n"/>
      <c r="L80" s="79" t="n"/>
      <c r="M80" s="67" t="n"/>
      <c r="N80" s="79" t="n"/>
      <c r="P80" s="63">
        <f>IF(O80="","",IF(O80="Open",TODAY()-L80,"--"))</f>
        <v/>
      </c>
      <c r="Q80" s="63">
        <f>IF(O80="","",IF(O80="Closed",N80-L80,"--"))</f>
        <v/>
      </c>
    </row>
    <row r="81" ht="15" customHeight="1" s="130">
      <c r="B81" s="64">
        <f>IF(C81="","",B80+1)</f>
        <v/>
      </c>
      <c r="C81" s="77" t="n"/>
      <c r="D81" s="65" t="n"/>
      <c r="E81" s="82" t="n"/>
      <c r="F81" s="77" t="n"/>
      <c r="G81" s="64">
        <f>IF($F81="","",INDEX('WORK PACKAGES'!$B$2:$B$47,MATCH($F81,'WORK PACKAGES'!$D$2:$D$47,0)))</f>
        <v/>
      </c>
      <c r="H81" s="78" t="n"/>
      <c r="I81" s="78" t="n"/>
      <c r="J81" s="78" t="n"/>
      <c r="K81" s="66" t="n"/>
      <c r="L81" s="79" t="n"/>
      <c r="M81" s="67" t="n"/>
      <c r="N81" s="79" t="n"/>
      <c r="P81" s="63">
        <f>IF(O81="","",IF(O81="Open",TODAY()-L81,"--"))</f>
        <v/>
      </c>
      <c r="Q81" s="63">
        <f>IF(O81="","",IF(O81="Closed",N81-L81,"--"))</f>
        <v/>
      </c>
    </row>
    <row r="82" ht="15" customHeight="1" s="130">
      <c r="B82" s="64">
        <f>IF(C82="","",B81+1)</f>
        <v/>
      </c>
      <c r="C82" s="77" t="n"/>
      <c r="D82" s="65" t="n"/>
      <c r="E82" s="66" t="n"/>
      <c r="F82" s="77" t="n"/>
      <c r="G82" s="64">
        <f>IF($F82="","",INDEX('WORK PACKAGES'!$B$2:$B$47,MATCH($F82,'WORK PACKAGES'!$D$2:$D$47,0)))</f>
        <v/>
      </c>
      <c r="H82" s="78" t="n"/>
      <c r="I82" s="78" t="n"/>
      <c r="J82" s="78" t="n"/>
      <c r="K82" s="66" t="n"/>
      <c r="L82" s="79" t="n"/>
      <c r="M82" s="67" t="n"/>
      <c r="N82" s="79" t="n"/>
      <c r="P82" s="63">
        <f>IF(O82="","",IF(O82="Open",TODAY()-L82,"--"))</f>
        <v/>
      </c>
      <c r="Q82" s="63">
        <f>IF(O82="","",IF(O82="Closed",N82-L82,"--"))</f>
        <v/>
      </c>
    </row>
    <row r="83" ht="15" customHeight="1" s="130">
      <c r="B83" s="64">
        <f>IF(C83="","",B82+1)</f>
        <v/>
      </c>
      <c r="C83" s="77" t="n"/>
      <c r="D83" s="77" t="n"/>
      <c r="E83" s="66" t="n"/>
      <c r="F83" s="77" t="n"/>
      <c r="G83" s="64">
        <f>IF($F83="","",INDEX('WORK PACKAGES'!$B$2:$B$47,MATCH($F83,'WORK PACKAGES'!$D$2:$D$47,0)))</f>
        <v/>
      </c>
      <c r="H83" s="78" t="n"/>
      <c r="I83" s="78" t="n"/>
      <c r="J83" s="78" t="n"/>
      <c r="K83" s="66" t="n"/>
      <c r="L83" s="79" t="n"/>
      <c r="M83" s="67" t="n"/>
      <c r="N83" s="79" t="n"/>
      <c r="P83" s="63">
        <f>IF(O83="","",IF(O83="Open",TODAY()-L83,"--"))</f>
        <v/>
      </c>
      <c r="Q83" s="63">
        <f>IF(O83="","",IF(O83="Closed",N83-L83,"--"))</f>
        <v/>
      </c>
    </row>
    <row r="84" ht="15" customHeight="1" s="130">
      <c r="B84" s="64">
        <f>IF(C84="","",B83+1)</f>
        <v/>
      </c>
      <c r="C84" s="65" t="n"/>
      <c r="D84" s="65" t="n"/>
      <c r="E84" s="66" t="n"/>
      <c r="F84" s="77" t="n"/>
      <c r="G84" s="64">
        <f>IF($F84="","",INDEX('WORK PACKAGES'!$B$2:$B$47,MATCH($F84,'WORK PACKAGES'!$D$2:$D$47,0)))</f>
        <v/>
      </c>
      <c r="H84" s="78" t="n"/>
      <c r="I84" s="78" t="n"/>
      <c r="J84" s="78" t="n"/>
      <c r="K84" s="66" t="n"/>
      <c r="L84" s="79" t="n"/>
      <c r="M84" s="78" t="n"/>
      <c r="N84" s="79" t="n"/>
      <c r="P84" s="63">
        <f>IF(O84="","",IF(O84="Open",TODAY()-L84,"--"))</f>
        <v/>
      </c>
      <c r="Q84" s="63">
        <f>IF(O84="","",IF(O84="Closed",N84-L84,"--"))</f>
        <v/>
      </c>
    </row>
    <row r="85" ht="15" customHeight="1" s="130">
      <c r="B85" s="64">
        <f>IF(C85="","",B84+1)</f>
        <v/>
      </c>
      <c r="C85" s="65" t="n"/>
      <c r="D85" s="77" t="n"/>
      <c r="E85" s="66" t="n"/>
      <c r="F85" s="77" t="n"/>
      <c r="G85" s="64">
        <f>IF($F85="","",INDEX('WORK PACKAGES'!$B$2:$B$47,MATCH($F85,'WORK PACKAGES'!$D$2:$D$47,0)))</f>
        <v/>
      </c>
      <c r="H85" s="78" t="n"/>
      <c r="I85" s="78" t="n"/>
      <c r="J85" s="78" t="n"/>
      <c r="K85" s="82" t="n"/>
      <c r="L85" s="79" t="n"/>
      <c r="M85" s="78" t="n"/>
      <c r="N85" s="79" t="n"/>
      <c r="P85" s="63">
        <f>IF(O85="","",IF(O85="Open",TODAY()-L85,"--"))</f>
        <v/>
      </c>
      <c r="Q85" s="63">
        <f>IF(O85="","",IF(O85="Closed",N85-L85,"--"))</f>
        <v/>
      </c>
    </row>
    <row r="86" ht="15" customHeight="1" s="130">
      <c r="B86" s="64">
        <f>IF(C86="","",B85+1)</f>
        <v/>
      </c>
      <c r="C86" s="77" t="n"/>
      <c r="D86" s="77" t="n"/>
      <c r="E86" s="82" t="n"/>
      <c r="F86" s="77" t="n"/>
      <c r="G86" s="64">
        <f>IF($F86="","",INDEX('WORK PACKAGES'!$B$2:$B$47,MATCH($F86,'WORK PACKAGES'!$D$2:$D$47,0)))</f>
        <v/>
      </c>
      <c r="H86" s="78" t="n"/>
      <c r="I86" s="78" t="n"/>
      <c r="J86" s="78" t="n"/>
      <c r="K86" s="82" t="n"/>
      <c r="L86" s="79" t="n"/>
      <c r="M86" s="78" t="n"/>
      <c r="N86" s="79" t="n"/>
      <c r="P86" s="63">
        <f>IF(O86="","",IF(O86="Open",TODAY()-L86,"--"))</f>
        <v/>
      </c>
      <c r="Q86" s="63">
        <f>IF(O86="","",IF(O86="Closed",N86-L86,"--"))</f>
        <v/>
      </c>
    </row>
    <row r="87" ht="15" customHeight="1" s="130">
      <c r="B87" s="64">
        <f>IF(C87="","",B86+1)</f>
        <v/>
      </c>
      <c r="C87" s="77" t="n"/>
      <c r="D87" s="77" t="n"/>
      <c r="E87" s="82" t="n"/>
      <c r="F87" s="77" t="n"/>
      <c r="G87" s="64">
        <f>IF($F87="","",INDEX('WORK PACKAGES'!$B$2:$B$47,MATCH($F87,'WORK PACKAGES'!$D$2:$D$47,0)))</f>
        <v/>
      </c>
      <c r="H87" s="78" t="n"/>
      <c r="I87" s="78" t="n"/>
      <c r="J87" s="78" t="n"/>
      <c r="K87" s="82" t="n"/>
      <c r="L87" s="79" t="n"/>
      <c r="M87" s="78" t="n"/>
      <c r="N87" s="79" t="n"/>
      <c r="P87" s="63">
        <f>IF(O87="","",IF(O87="Open",TODAY()-L87,"--"))</f>
        <v/>
      </c>
      <c r="Q87" s="63">
        <f>IF(O87="","",IF(O87="Closed",N87-L87,"--"))</f>
        <v/>
      </c>
    </row>
    <row r="88" ht="15" customHeight="1" s="130">
      <c r="B88" s="64">
        <f>IF(C88="","",B87+1)</f>
        <v/>
      </c>
      <c r="C88" s="77" t="n"/>
      <c r="D88" s="77" t="n"/>
      <c r="E88" s="82" t="n"/>
      <c r="F88" s="77" t="n"/>
      <c r="G88" s="64">
        <f>IF($F88="","",INDEX('WORK PACKAGES'!$B$2:$B$47,MATCH($F88,'WORK PACKAGES'!$D$2:$D$47,0)))</f>
        <v/>
      </c>
      <c r="H88" s="78" t="n"/>
      <c r="I88" s="78" t="n"/>
      <c r="J88" s="78" t="n"/>
      <c r="K88" s="82" t="n"/>
      <c r="L88" s="79" t="n"/>
      <c r="M88" s="78" t="n"/>
      <c r="N88" s="79" t="n"/>
      <c r="P88" s="63">
        <f>IF(O88="","",IF(O88="Open",TODAY()-L88,"--"))</f>
        <v/>
      </c>
      <c r="Q88" s="63">
        <f>IF(O88="","",IF(O88="Closed",N88-L88,"--"))</f>
        <v/>
      </c>
    </row>
    <row r="89" ht="15" customHeight="1" s="130">
      <c r="B89" s="64">
        <f>IF(C89="","",B88+1)</f>
        <v/>
      </c>
      <c r="C89" s="77" t="n"/>
      <c r="D89" s="77" t="n"/>
      <c r="E89" s="66" t="n"/>
      <c r="F89" s="77" t="n"/>
      <c r="G89" s="64">
        <f>IF($F89="","",INDEX('WORK PACKAGES'!$B$2:$B$47,MATCH($F89,'WORK PACKAGES'!$D$2:$D$47,0)))</f>
        <v/>
      </c>
      <c r="H89" s="78" t="n"/>
      <c r="I89" s="78" t="n"/>
      <c r="J89" s="78" t="n"/>
      <c r="K89" s="66" t="n"/>
      <c r="L89" s="79" t="n"/>
      <c r="M89" s="78" t="n"/>
      <c r="N89" s="79" t="n"/>
      <c r="P89" s="63">
        <f>IF(O89="","",IF(O89="Open",TODAY()-L89,"--"))</f>
        <v/>
      </c>
      <c r="Q89" s="63">
        <f>IF(O89="","",IF(O89="Closed",N89-L89,"--"))</f>
        <v/>
      </c>
    </row>
    <row r="90" ht="15" customHeight="1" s="130">
      <c r="B90" s="64">
        <f>IF(C90="","",B89+1)</f>
        <v/>
      </c>
      <c r="C90" s="77" t="n"/>
      <c r="D90" s="77" t="n"/>
      <c r="E90" s="66" t="n"/>
      <c r="F90" s="77" t="n"/>
      <c r="G90" s="64">
        <f>IF($F90="","",INDEX('WORK PACKAGES'!$B$2:$B$47,MATCH($F90,'WORK PACKAGES'!$D$2:$D$47,0)))</f>
        <v/>
      </c>
      <c r="H90" s="78" t="n"/>
      <c r="I90" s="78" t="n"/>
      <c r="J90" s="78" t="n"/>
      <c r="K90" s="66" t="n"/>
      <c r="L90" s="79" t="n"/>
      <c r="M90" s="78" t="n"/>
      <c r="N90" s="79" t="n"/>
      <c r="P90" s="63">
        <f>IF(O90="","",IF(O90="Open",TODAY()-L90,"--"))</f>
        <v/>
      </c>
      <c r="Q90" s="63">
        <f>IF(O90="","",IF(O90="Closed",N90-L90,"--"))</f>
        <v/>
      </c>
    </row>
    <row r="91" ht="15" customHeight="1" s="130">
      <c r="B91" s="64">
        <f>IF(C91="","",B90+1)</f>
        <v/>
      </c>
      <c r="C91" s="77" t="n"/>
      <c r="D91" s="77" t="n"/>
      <c r="E91" s="66" t="n"/>
      <c r="F91" s="77" t="n"/>
      <c r="G91" s="64">
        <f>IF($F91="","",INDEX('WORK PACKAGES'!$B$2:$B$47,MATCH($F91,'WORK PACKAGES'!$D$2:$D$47,0)))</f>
        <v/>
      </c>
      <c r="H91" s="78" t="n"/>
      <c r="I91" s="78" t="n"/>
      <c r="J91" s="78" t="n"/>
      <c r="K91" s="66" t="n"/>
      <c r="L91" s="79" t="n"/>
      <c r="M91" s="78" t="n"/>
      <c r="N91" s="79" t="n"/>
      <c r="P91" s="63">
        <f>IF(O91="","",IF(O91="Open",TODAY()-L91,"--"))</f>
        <v/>
      </c>
      <c r="Q91" s="63">
        <f>IF(O91="","",IF(O91="Closed",N91-L91,"--"))</f>
        <v/>
      </c>
    </row>
    <row r="92" ht="15" customHeight="1" s="130">
      <c r="B92" s="64">
        <f>IF(C92="","",B91+1)</f>
        <v/>
      </c>
      <c r="C92" s="65" t="n"/>
      <c r="D92" s="65" t="n"/>
      <c r="E92" s="82" t="n"/>
      <c r="F92" s="77" t="n"/>
      <c r="G92" s="64">
        <f>IF($F92="","",INDEX('WORK PACKAGES'!$B$2:$B$47,MATCH($F92,'WORK PACKAGES'!$D$2:$D$47,0)))</f>
        <v/>
      </c>
      <c r="H92" s="78" t="n"/>
      <c r="I92" s="78" t="n"/>
      <c r="J92" s="78" t="n"/>
      <c r="K92" s="66" t="n"/>
      <c r="L92" s="79" t="n"/>
      <c r="M92" s="67" t="n"/>
      <c r="N92" s="79" t="n"/>
      <c r="P92" s="63">
        <f>IF(O92="","",IF(O92="Open",TODAY()-L92,"--"))</f>
        <v/>
      </c>
      <c r="Q92" s="63">
        <f>IF(O92="","",IF(O92="Closed",N92-L92,"--"))</f>
        <v/>
      </c>
    </row>
    <row r="93" ht="15" customHeight="1" s="130">
      <c r="B93" s="64">
        <f>IF(C93="","",B92+1)</f>
        <v/>
      </c>
      <c r="C93" s="65" t="n"/>
      <c r="D93" s="65" t="n"/>
      <c r="E93" s="82" t="n"/>
      <c r="F93" s="77" t="n"/>
      <c r="G93" s="64">
        <f>IF($F93="","",INDEX('WORK PACKAGES'!$B$2:$B$47,MATCH($F93,'WORK PACKAGES'!$D$2:$D$47,0)))</f>
        <v/>
      </c>
      <c r="H93" s="78" t="n"/>
      <c r="I93" s="78" t="n"/>
      <c r="J93" s="78" t="n"/>
      <c r="K93" s="66" t="n"/>
      <c r="L93" s="79" t="n"/>
      <c r="M93" s="78" t="n"/>
      <c r="N93" s="79" t="n"/>
      <c r="P93" s="63">
        <f>IF(O93="","",IF(O93="Open",TODAY()-L93,"--"))</f>
        <v/>
      </c>
      <c r="Q93" s="63">
        <f>IF(O93="","",IF(O93="Closed",N93-L93,"--"))</f>
        <v/>
      </c>
    </row>
    <row r="94" ht="15" customHeight="1" s="130">
      <c r="B94" s="64">
        <f>IF(C94="","",B93+1)</f>
        <v/>
      </c>
      <c r="C94" s="77" t="n"/>
      <c r="D94" s="77" t="n"/>
      <c r="E94" s="82" t="n"/>
      <c r="F94" s="77" t="n"/>
      <c r="G94" s="64">
        <f>IF($F94="","",INDEX('WORK PACKAGES'!$B$2:$B$47,MATCH($F94,'WORK PACKAGES'!$D$2:$D$47,0)))</f>
        <v/>
      </c>
      <c r="H94" s="78" t="n"/>
      <c r="I94" s="78" t="n"/>
      <c r="J94" s="78" t="n"/>
      <c r="K94" s="82" t="n"/>
      <c r="L94" s="79" t="n"/>
      <c r="M94" s="78" t="n"/>
      <c r="N94" s="79" t="n"/>
      <c r="P94" s="63">
        <f>IF(O94="","",IF(O94="Open",TODAY()-L94,"--"))</f>
        <v/>
      </c>
      <c r="Q94" s="63">
        <f>IF(O94="","",IF(O94="Closed",N94-L94,"--"))</f>
        <v/>
      </c>
    </row>
    <row r="95" ht="15" customHeight="1" s="130">
      <c r="B95" s="64">
        <f>IF(C95="","",B94+1)</f>
        <v/>
      </c>
      <c r="C95" s="77" t="n"/>
      <c r="D95" s="77" t="n"/>
      <c r="E95" s="82" t="n"/>
      <c r="F95" s="77" t="n"/>
      <c r="G95" s="64">
        <f>IF($F95="","",INDEX('WORK PACKAGES'!$B$2:$B$47,MATCH($F95,'WORK PACKAGES'!$D$2:$D$47,0)))</f>
        <v/>
      </c>
      <c r="H95" s="78" t="n"/>
      <c r="I95" s="78" t="n"/>
      <c r="J95" s="78" t="n"/>
      <c r="K95" s="66" t="n"/>
      <c r="L95" s="79" t="n"/>
      <c r="M95" s="67" t="n"/>
      <c r="N95" s="79" t="n"/>
      <c r="P95" s="63">
        <f>IF(O95="","",IF(O95="Open",TODAY()-L95,"--"))</f>
        <v/>
      </c>
      <c r="Q95" s="63">
        <f>IF(O95="","",IF(O95="Closed",N95-L95,"--"))</f>
        <v/>
      </c>
    </row>
    <row r="96" ht="15" customHeight="1" s="130">
      <c r="B96" s="64">
        <f>IF(C96="","",B95+1)</f>
        <v/>
      </c>
      <c r="C96" s="77" t="n"/>
      <c r="D96" s="77" t="n"/>
      <c r="E96" s="82" t="n"/>
      <c r="F96" s="77" t="n"/>
      <c r="G96" s="64">
        <f>IF($F96="","",INDEX('WORK PACKAGES'!$B$2:$B$47,MATCH($F96,'WORK PACKAGES'!$D$2:$D$47,0)))</f>
        <v/>
      </c>
      <c r="H96" s="78" t="n"/>
      <c r="I96" s="78" t="n"/>
      <c r="J96" s="78" t="n"/>
      <c r="K96" s="82" t="n"/>
      <c r="L96" s="79" t="n"/>
      <c r="M96" s="78" t="n"/>
      <c r="N96" s="79" t="n"/>
      <c r="P96" s="63">
        <f>IF(O96="","",IF(O96="Open",TODAY()-L96,"--"))</f>
        <v/>
      </c>
      <c r="Q96" s="63">
        <f>IF(O96="","",IF(O96="Closed",N96-L96,"--"))</f>
        <v/>
      </c>
    </row>
    <row r="97" ht="15" customHeight="1" s="130">
      <c r="B97" s="64">
        <f>IF(C97="","",B96+1)</f>
        <v/>
      </c>
      <c r="C97" s="77" t="n"/>
      <c r="D97" s="77" t="n"/>
      <c r="E97" s="82" t="n"/>
      <c r="F97" s="77" t="n"/>
      <c r="G97" s="64">
        <f>IF($F97="","",INDEX('WORK PACKAGES'!$B$2:$B$47,MATCH($F97,'WORK PACKAGES'!$D$2:$D$47,0)))</f>
        <v/>
      </c>
      <c r="H97" s="78" t="n"/>
      <c r="I97" s="78" t="n"/>
      <c r="J97" s="78" t="n"/>
      <c r="K97" s="82" t="n"/>
      <c r="L97" s="79" t="n"/>
      <c r="M97" s="78" t="n"/>
      <c r="N97" s="79" t="n"/>
      <c r="P97" s="63">
        <f>IF(O97="","",IF(O97="Open",TODAY()-L97,"--"))</f>
        <v/>
      </c>
      <c r="Q97" s="63">
        <f>IF(O97="","",IF(O97="Closed",N97-L97,"--"))</f>
        <v/>
      </c>
    </row>
    <row r="98" ht="15" customHeight="1" s="130">
      <c r="B98" s="64">
        <f>IF(C98="","",B97+1)</f>
        <v/>
      </c>
      <c r="C98" s="77" t="n"/>
      <c r="D98" s="77" t="n"/>
      <c r="E98" s="82" t="n"/>
      <c r="F98" s="77" t="n"/>
      <c r="G98" s="64">
        <f>IF($F98="","",INDEX('WORK PACKAGES'!$B$2:$B$47,MATCH($F98,'WORK PACKAGES'!$D$2:$D$47,0)))</f>
        <v/>
      </c>
      <c r="H98" s="78" t="n"/>
      <c r="I98" s="78" t="n"/>
      <c r="J98" s="78" t="n"/>
      <c r="K98" s="82" t="n"/>
      <c r="L98" s="79" t="n"/>
      <c r="M98" s="78" t="n"/>
      <c r="N98" s="79" t="n"/>
      <c r="P98" s="63">
        <f>IF(O98="","",IF(O98="Open",TODAY()-L98,"--"))</f>
        <v/>
      </c>
      <c r="Q98" s="63">
        <f>IF(O98="","",IF(O98="Closed",N98-L98,"--"))</f>
        <v/>
      </c>
    </row>
    <row r="99" ht="15" customHeight="1" s="130">
      <c r="B99" s="64">
        <f>IF(C99="","",B98+1)</f>
        <v/>
      </c>
      <c r="C99" s="77" t="n"/>
      <c r="D99" s="77" t="n"/>
      <c r="E99" s="82" t="n"/>
      <c r="F99" s="77" t="n"/>
      <c r="G99" s="64">
        <f>IF($F99="","",INDEX('WORK PACKAGES'!$B$2:$B$47,MATCH($F99,'WORK PACKAGES'!$D$2:$D$47,0)))</f>
        <v/>
      </c>
      <c r="H99" s="78" t="n"/>
      <c r="I99" s="78" t="n"/>
      <c r="J99" s="78" t="n"/>
      <c r="K99" s="82" t="n"/>
      <c r="L99" s="79" t="n"/>
      <c r="M99" s="78" t="n"/>
      <c r="N99" s="79" t="n"/>
      <c r="P99" s="63">
        <f>IF(O99="","",IF(O99="Open",TODAY()-L99,"--"))</f>
        <v/>
      </c>
      <c r="Q99" s="63">
        <f>IF(O99="","",IF(O99="Closed",N99-L99,"--"))</f>
        <v/>
      </c>
    </row>
    <row r="100" ht="15" customHeight="1" s="130">
      <c r="B100" s="64">
        <f>IF(C100="","",B99+1)</f>
        <v/>
      </c>
      <c r="C100" s="77" t="n"/>
      <c r="D100" s="77" t="n"/>
      <c r="E100" s="82" t="n"/>
      <c r="F100" s="77" t="n"/>
      <c r="G100" s="64">
        <f>IF($F100="","",INDEX('WORK PACKAGES'!$B$2:$B$47,MATCH($F100,'WORK PACKAGES'!$D$2:$D$47,0)))</f>
        <v/>
      </c>
      <c r="H100" s="78" t="n"/>
      <c r="I100" s="78" t="n"/>
      <c r="J100" s="78" t="n"/>
      <c r="K100" s="82" t="n"/>
      <c r="L100" s="79" t="n"/>
      <c r="M100" s="78" t="n"/>
      <c r="N100" s="79" t="n"/>
      <c r="P100" s="63">
        <f>IF(O100="","",IF(O100="Open",TODAY()-L100,"--"))</f>
        <v/>
      </c>
      <c r="Q100" s="63">
        <f>IF(O100="","",IF(O100="Closed",N100-L100,"--"))</f>
        <v/>
      </c>
    </row>
    <row r="101" ht="15" customHeight="1" s="130">
      <c r="B101" s="64">
        <f>IF(C101="","",B100+1)</f>
        <v/>
      </c>
      <c r="C101" s="77" t="n"/>
      <c r="D101" s="77" t="n"/>
      <c r="E101" s="82" t="n"/>
      <c r="F101" s="77" t="n"/>
      <c r="G101" s="64">
        <f>IF($F101="","",INDEX('WORK PACKAGES'!$B$2:$B$47,MATCH($F101,'WORK PACKAGES'!$D$2:$D$47,0)))</f>
        <v/>
      </c>
      <c r="H101" s="78" t="n"/>
      <c r="I101" s="78" t="n"/>
      <c r="J101" s="78" t="n"/>
      <c r="K101" s="82" t="n"/>
      <c r="L101" s="79" t="n"/>
      <c r="M101" s="78" t="n"/>
      <c r="N101" s="79" t="n"/>
      <c r="P101" s="63">
        <f>IF(O101="","",IF(O101="Open",TODAY()-L101,"--"))</f>
        <v/>
      </c>
      <c r="Q101" s="63">
        <f>IF(O101="","",IF(O101="Closed",N101-L101,"--"))</f>
        <v/>
      </c>
    </row>
    <row r="102" ht="15" customHeight="1" s="130">
      <c r="B102" s="64">
        <f>IF(C102="","",B101+1)</f>
        <v/>
      </c>
      <c r="C102" s="77" t="n"/>
      <c r="D102" s="77" t="n"/>
      <c r="E102" s="82" t="n"/>
      <c r="F102" s="77" t="n"/>
      <c r="G102" s="64">
        <f>IF($F102="","",INDEX('WORK PACKAGES'!$B$2:$B$47,MATCH($F102,'WORK PACKAGES'!$D$2:$D$47,0)))</f>
        <v/>
      </c>
      <c r="H102" s="78" t="n"/>
      <c r="I102" s="78" t="n"/>
      <c r="J102" s="78" t="n"/>
      <c r="K102" s="82" t="n"/>
      <c r="L102" s="79" t="n"/>
      <c r="M102" s="78" t="n"/>
      <c r="N102" s="79" t="n"/>
      <c r="P102" s="63">
        <f>IF(O102="","",IF(O102="Open",TODAY()-L102,"--"))</f>
        <v/>
      </c>
      <c r="Q102" s="63">
        <f>IF(O102="","",IF(O102="Closed",N102-L102,"--"))</f>
        <v/>
      </c>
    </row>
    <row r="103" ht="15" customHeight="1" s="130">
      <c r="B103" s="64">
        <f>IF(C103="","",B102+1)</f>
        <v/>
      </c>
      <c r="C103" s="77" t="n"/>
      <c r="D103" s="77" t="n"/>
      <c r="E103" s="82" t="n"/>
      <c r="F103" s="77" t="n"/>
      <c r="G103" s="64">
        <f>IF($F103="","",INDEX('WORK PACKAGES'!$B$2:$B$47,MATCH($F103,'WORK PACKAGES'!$D$2:$D$47,0)))</f>
        <v/>
      </c>
      <c r="H103" s="78" t="n"/>
      <c r="I103" s="78" t="n"/>
      <c r="J103" s="78" t="n"/>
      <c r="K103" s="82" t="n"/>
      <c r="L103" s="79" t="n"/>
      <c r="M103" s="78" t="n"/>
      <c r="N103" s="79" t="n"/>
      <c r="P103" s="63">
        <f>IF(O103="","",IF(O103="Open",TODAY()-L103,"--"))</f>
        <v/>
      </c>
      <c r="Q103" s="63">
        <f>IF(O103="","",IF(O103="Closed",N103-L103,"--"))</f>
        <v/>
      </c>
    </row>
    <row r="104" ht="15" customHeight="1" s="130">
      <c r="B104" s="64">
        <f>IF(C104="","",B103+1)</f>
        <v/>
      </c>
      <c r="C104" s="77" t="n"/>
      <c r="D104" s="77" t="n"/>
      <c r="E104" s="82" t="n"/>
      <c r="F104" s="77" t="n"/>
      <c r="G104" s="64">
        <f>IF($F104="","",INDEX('WORK PACKAGES'!$B$2:$B$47,MATCH($F104,'WORK PACKAGES'!$D$2:$D$47,0)))</f>
        <v/>
      </c>
      <c r="H104" s="78" t="n"/>
      <c r="I104" s="78" t="n"/>
      <c r="J104" s="78" t="n"/>
      <c r="K104" s="82" t="n"/>
      <c r="L104" s="79" t="n"/>
      <c r="M104" s="78" t="n"/>
      <c r="N104" s="79" t="n"/>
      <c r="P104" s="63">
        <f>IF(O104="","",IF(O104="Open",TODAY()-L104,"--"))</f>
        <v/>
      </c>
      <c r="Q104" s="63">
        <f>IF(O104="","",IF(O104="Closed",N104-L104,"--"))</f>
        <v/>
      </c>
    </row>
    <row r="105" ht="15" customHeight="1" s="130">
      <c r="B105" s="64">
        <f>IF(C105="","",B104+1)</f>
        <v/>
      </c>
      <c r="C105" s="77" t="n"/>
      <c r="D105" s="77" t="n"/>
      <c r="E105" s="82" t="n"/>
      <c r="F105" s="77" t="n"/>
      <c r="G105" s="64">
        <f>IF($F105="","",INDEX('WORK PACKAGES'!$B$2:$B$47,MATCH($F105,'WORK PACKAGES'!$D$2:$D$47,0)))</f>
        <v/>
      </c>
      <c r="H105" s="78" t="n"/>
      <c r="I105" s="78" t="n"/>
      <c r="J105" s="78" t="n"/>
      <c r="K105" s="82" t="n"/>
      <c r="L105" s="79" t="n"/>
      <c r="M105" s="78" t="n"/>
      <c r="N105" s="79" t="n"/>
      <c r="P105" s="63">
        <f>IF(O105="","",IF(O105="Open",TODAY()-L105,"--"))</f>
        <v/>
      </c>
      <c r="Q105" s="63">
        <f>IF(O105="","",IF(O105="Closed",N105-L105,"--"))</f>
        <v/>
      </c>
    </row>
    <row r="106" ht="15" customHeight="1" s="130">
      <c r="B106" s="64">
        <f>IF(C106="","",B105+1)</f>
        <v/>
      </c>
      <c r="C106" s="77" t="n"/>
      <c r="D106" s="77" t="n"/>
      <c r="E106" s="82" t="n"/>
      <c r="F106" s="77" t="n"/>
      <c r="G106" s="64">
        <f>IF($F106="","",INDEX('WORK PACKAGES'!$B$2:$B$47,MATCH($F106,'WORK PACKAGES'!$D$2:$D$47,0)))</f>
        <v/>
      </c>
      <c r="H106" s="78" t="n"/>
      <c r="I106" s="78" t="n"/>
      <c r="J106" s="78" t="n"/>
      <c r="K106" s="82" t="n"/>
      <c r="L106" s="79" t="n"/>
      <c r="M106" s="78" t="n"/>
      <c r="N106" s="79" t="n"/>
      <c r="P106" s="63">
        <f>IF(O106="","",IF(O106="Open",TODAY()-L106,"--"))</f>
        <v/>
      </c>
      <c r="Q106" s="63">
        <f>IF(O106="","",IF(O106="Closed",N106-L106,"--"))</f>
        <v/>
      </c>
    </row>
    <row r="107" ht="15" customHeight="1" s="130">
      <c r="B107" s="64">
        <f>IF(C107="","",B106+1)</f>
        <v/>
      </c>
      <c r="C107" s="77" t="n"/>
      <c r="D107" s="77" t="n"/>
      <c r="E107" s="82" t="n"/>
      <c r="F107" s="77" t="n"/>
      <c r="G107" s="64">
        <f>IF($F107="","",INDEX('WORK PACKAGES'!$B$2:$B$47,MATCH($F107,'WORK PACKAGES'!$D$2:$D$47,0)))</f>
        <v/>
      </c>
      <c r="H107" s="78" t="n"/>
      <c r="I107" s="78" t="n"/>
      <c r="J107" s="78" t="n"/>
      <c r="K107" s="82" t="n"/>
      <c r="L107" s="79" t="n"/>
      <c r="M107" s="78" t="n"/>
      <c r="N107" s="79" t="n"/>
      <c r="P107" s="63">
        <f>IF(O107="","",IF(O107="Open",TODAY()-L107,"--"))</f>
        <v/>
      </c>
      <c r="Q107" s="63">
        <f>IF(O107="","",IF(O107="Closed",N107-L107,"--"))</f>
        <v/>
      </c>
    </row>
    <row r="108" ht="15" customHeight="1" s="130">
      <c r="B108" s="64">
        <f>IF(C108="","",B107+1)</f>
        <v/>
      </c>
      <c r="C108" s="77" t="n"/>
      <c r="D108" s="77" t="n"/>
      <c r="E108" s="82" t="n"/>
      <c r="F108" s="77" t="n"/>
      <c r="G108" s="64">
        <f>IF($F108="","",INDEX('WORK PACKAGES'!$B$2:$B$47,MATCH($F108,'WORK PACKAGES'!$D$2:$D$47,0)))</f>
        <v/>
      </c>
      <c r="H108" s="78" t="n"/>
      <c r="I108" s="78" t="n"/>
      <c r="J108" s="78" t="n"/>
      <c r="K108" s="82" t="n"/>
      <c r="L108" s="79" t="n"/>
      <c r="M108" s="78" t="n"/>
      <c r="N108" s="79" t="n"/>
      <c r="P108" s="63">
        <f>IF(O108="","",IF(O108="Open",TODAY()-L108,"--"))</f>
        <v/>
      </c>
      <c r="Q108" s="63">
        <f>IF(O108="","",IF(O108="Closed",N108-L108,"--"))</f>
        <v/>
      </c>
    </row>
    <row r="109" ht="15" customHeight="1" s="130">
      <c r="B109" s="64">
        <f>IF(C109="","",B108+1)</f>
        <v/>
      </c>
      <c r="C109" s="77" t="n"/>
      <c r="D109" s="77" t="n"/>
      <c r="E109" s="82" t="n"/>
      <c r="F109" s="77" t="n"/>
      <c r="G109" s="64">
        <f>IF($F109="","",INDEX('WORK PACKAGES'!$B$2:$B$47,MATCH($F109,'WORK PACKAGES'!$D$2:$D$47,0)))</f>
        <v/>
      </c>
      <c r="H109" s="78" t="n"/>
      <c r="I109" s="78" t="n"/>
      <c r="J109" s="78" t="n"/>
      <c r="K109" s="82" t="n"/>
      <c r="L109" s="79" t="n"/>
      <c r="M109" s="78" t="n"/>
      <c r="N109" s="79" t="n"/>
      <c r="P109" s="63">
        <f>IF(O109="","",IF(O109="Open",TODAY()-L109,"--"))</f>
        <v/>
      </c>
      <c r="Q109" s="63">
        <f>IF(O109="","",IF(O109="Closed",N109-L109,"--"))</f>
        <v/>
      </c>
    </row>
    <row r="110" ht="15" customHeight="1" s="130">
      <c r="B110" s="64">
        <f>IF(C110="","",B109+1)</f>
        <v/>
      </c>
      <c r="C110" s="77" t="n"/>
      <c r="D110" s="77" t="n"/>
      <c r="E110" s="82" t="n"/>
      <c r="F110" s="77" t="n"/>
      <c r="G110" s="64">
        <f>IF($F110="","",INDEX('WORK PACKAGES'!$B$2:$B$47,MATCH($F110,'WORK PACKAGES'!$D$2:$D$47,0)))</f>
        <v/>
      </c>
      <c r="H110" s="78" t="n"/>
      <c r="I110" s="78" t="n"/>
      <c r="J110" s="78" t="n"/>
      <c r="K110" s="82" t="n"/>
      <c r="L110" s="79" t="n"/>
      <c r="M110" s="78" t="n"/>
      <c r="N110" s="79" t="n"/>
      <c r="P110" s="63">
        <f>IF(O110="","",IF(O110="Open",TODAY()-L110,"--"))</f>
        <v/>
      </c>
      <c r="Q110" s="63">
        <f>IF(O110="","",IF(O110="Closed",N110-L110,"--"))</f>
        <v/>
      </c>
    </row>
    <row r="111" ht="15" customHeight="1" s="130">
      <c r="B111" s="64">
        <f>IF(C111="","",B110+1)</f>
        <v/>
      </c>
      <c r="C111" s="77" t="n"/>
      <c r="D111" s="77" t="n"/>
      <c r="E111" s="82" t="n"/>
      <c r="F111" s="77" t="n"/>
      <c r="G111" s="64">
        <f>IF($F111="","",INDEX('WORK PACKAGES'!$B$2:$B$47,MATCH($F111,'WORK PACKAGES'!$D$2:$D$47,0)))</f>
        <v/>
      </c>
      <c r="H111" s="78" t="n"/>
      <c r="I111" s="78" t="n"/>
      <c r="J111" s="78" t="n"/>
      <c r="K111" s="82" t="n"/>
      <c r="L111" s="79" t="n"/>
      <c r="M111" s="78" t="n"/>
      <c r="N111" s="79" t="n"/>
      <c r="P111" s="63">
        <f>IF(O111="","",IF(O111="Open",TODAY()-L111,"--"))</f>
        <v/>
      </c>
      <c r="Q111" s="63">
        <f>IF(O111="","",IF(O111="Closed",N111-L111,"--"))</f>
        <v/>
      </c>
    </row>
    <row r="112" ht="15" customHeight="1" s="130">
      <c r="B112" s="64">
        <f>IF(C112="","",B111+1)</f>
        <v/>
      </c>
      <c r="C112" s="77" t="n"/>
      <c r="D112" s="77" t="n"/>
      <c r="E112" s="82" t="n"/>
      <c r="F112" s="77" t="n"/>
      <c r="G112" s="64">
        <f>IF($F112="","",INDEX('WORK PACKAGES'!$B$2:$B$47,MATCH($F112,'WORK PACKAGES'!$D$2:$D$47,0)))</f>
        <v/>
      </c>
      <c r="H112" s="78" t="n"/>
      <c r="I112" s="78" t="n"/>
      <c r="J112" s="78" t="n"/>
      <c r="K112" s="82" t="n"/>
      <c r="L112" s="79" t="n"/>
      <c r="M112" s="78" t="n"/>
      <c r="N112" s="79" t="n"/>
      <c r="P112" s="63">
        <f>IF(O112="","",IF(O112="Open",TODAY()-L112,"--"))</f>
        <v/>
      </c>
      <c r="Q112" s="63">
        <f>IF(O112="","",IF(O112="Closed",N112-L112,"--"))</f>
        <v/>
      </c>
    </row>
    <row r="113" ht="15" customHeight="1" s="130">
      <c r="B113" s="64">
        <f>IF(C113="","",B112+1)</f>
        <v/>
      </c>
      <c r="C113" s="77" t="n"/>
      <c r="D113" s="77" t="n"/>
      <c r="E113" s="82" t="n"/>
      <c r="F113" s="77" t="n"/>
      <c r="G113" s="64">
        <f>IF($F113="","",INDEX('WORK PACKAGES'!$B$2:$B$47,MATCH($F113,'WORK PACKAGES'!$D$2:$D$47,0)))</f>
        <v/>
      </c>
      <c r="H113" s="78" t="n"/>
      <c r="I113" s="78" t="n"/>
      <c r="J113" s="78" t="n"/>
      <c r="K113" s="82" t="n"/>
      <c r="L113" s="79" t="n"/>
      <c r="M113" s="78" t="n"/>
      <c r="N113" s="79" t="n"/>
      <c r="P113" s="63">
        <f>IF(O113="","",IF(O113="Open",TODAY()-L113,"--"))</f>
        <v/>
      </c>
      <c r="Q113" s="63">
        <f>IF(O113="","",IF(O113="Closed",N113-L113,"--"))</f>
        <v/>
      </c>
    </row>
    <row r="114" ht="15" customHeight="1" s="130">
      <c r="B114" s="64">
        <f>IF(C114="","",B113+1)</f>
        <v/>
      </c>
      <c r="C114" s="77" t="n"/>
      <c r="D114" s="77" t="n"/>
      <c r="E114" s="82" t="n"/>
      <c r="F114" s="77" t="n"/>
      <c r="G114" s="64">
        <f>IF($F114="","",INDEX('WORK PACKAGES'!$B$2:$B$47,MATCH($F114,'WORK PACKAGES'!$D$2:$D$47,0)))</f>
        <v/>
      </c>
      <c r="H114" s="78" t="n"/>
      <c r="I114" s="78" t="n"/>
      <c r="J114" s="78" t="n"/>
      <c r="K114" s="82" t="n"/>
      <c r="L114" s="79" t="n"/>
      <c r="M114" s="78" t="n"/>
      <c r="N114" s="79" t="n"/>
      <c r="P114" s="63">
        <f>IF(O114="","",IF(O114="Open",TODAY()-L114,"--"))</f>
        <v/>
      </c>
      <c r="Q114" s="63">
        <f>IF(O114="","",IF(O114="Closed",N114-L114,"--"))</f>
        <v/>
      </c>
    </row>
    <row r="115" ht="15" customHeight="1" s="130">
      <c r="B115" s="64">
        <f>IF(C115="","",B114+1)</f>
        <v/>
      </c>
      <c r="C115" s="77" t="n"/>
      <c r="D115" s="77" t="n"/>
      <c r="E115" s="82" t="n"/>
      <c r="F115" s="77" t="n"/>
      <c r="G115" s="64">
        <f>IF($F115="","",INDEX('WORK PACKAGES'!$B$2:$B$47,MATCH($F115,'WORK PACKAGES'!$D$2:$D$47,0)))</f>
        <v/>
      </c>
      <c r="H115" s="78" t="n"/>
      <c r="I115" s="78" t="n"/>
      <c r="J115" s="78" t="n"/>
      <c r="K115" s="82" t="n"/>
      <c r="L115" s="79" t="n"/>
      <c r="M115" s="78" t="n"/>
      <c r="N115" s="79" t="n"/>
      <c r="P115" s="63">
        <f>IF(O115="","",IF(O115="Open",TODAY()-L115,"--"))</f>
        <v/>
      </c>
      <c r="Q115" s="63">
        <f>IF(O115="","",IF(O115="Closed",N115-L115,"--"))</f>
        <v/>
      </c>
    </row>
    <row r="116" ht="15" customHeight="1" s="130">
      <c r="B116" s="64">
        <f>IF(C116="","",B115+1)</f>
        <v/>
      </c>
      <c r="C116" s="77" t="n"/>
      <c r="D116" s="77" t="n"/>
      <c r="E116" s="82" t="n"/>
      <c r="F116" s="77" t="n"/>
      <c r="G116" s="64">
        <f>IF($F116="","",INDEX('WORK PACKAGES'!$B$2:$B$47,MATCH($F116,'WORK PACKAGES'!$D$2:$D$47,0)))</f>
        <v/>
      </c>
      <c r="H116" s="78" t="n"/>
      <c r="I116" s="78" t="n"/>
      <c r="J116" s="78" t="n"/>
      <c r="K116" s="82" t="n"/>
      <c r="L116" s="79" t="n"/>
      <c r="M116" s="78" t="n"/>
      <c r="N116" s="79" t="n"/>
      <c r="P116" s="63">
        <f>IF(O116="","",IF(O116="Open",TODAY()-L116,"--"))</f>
        <v/>
      </c>
      <c r="Q116" s="63">
        <f>IF(O116="","",IF(O116="Closed",N116-L116,"--"))</f>
        <v/>
      </c>
    </row>
    <row r="117" ht="15" customHeight="1" s="130">
      <c r="B117" s="64">
        <f>IF(C117="","",B116+1)</f>
        <v/>
      </c>
      <c r="C117" s="77" t="n"/>
      <c r="D117" s="77" t="n"/>
      <c r="E117" s="82" t="n"/>
      <c r="F117" s="77" t="n"/>
      <c r="G117" s="64">
        <f>IF($F117="","",INDEX('WORK PACKAGES'!$B$2:$B$47,MATCH($F117,'WORK PACKAGES'!$D$2:$D$47,0)))</f>
        <v/>
      </c>
      <c r="H117" s="78" t="n"/>
      <c r="I117" s="78" t="n"/>
      <c r="J117" s="78" t="n"/>
      <c r="K117" s="82" t="n"/>
      <c r="L117" s="79" t="n"/>
      <c r="M117" s="78" t="n"/>
      <c r="N117" s="79" t="n"/>
      <c r="P117" s="63">
        <f>IF(O117="","",IF(O117="Open",TODAY()-L117,"--"))</f>
        <v/>
      </c>
      <c r="Q117" s="63">
        <f>IF(O117="","",IF(O117="Closed",N117-L117,"--"))</f>
        <v/>
      </c>
    </row>
    <row r="118" ht="15" customHeight="1" s="130">
      <c r="B118" s="64">
        <f>IF(C118="","",B117+1)</f>
        <v/>
      </c>
      <c r="C118" s="77" t="n"/>
      <c r="D118" s="77" t="n"/>
      <c r="E118" s="82" t="n"/>
      <c r="F118" s="77" t="n"/>
      <c r="G118" s="64">
        <f>IF($F118="","",INDEX('WORK PACKAGES'!$B$2:$B$47,MATCH($F118,'WORK PACKAGES'!$D$2:$D$47,0)))</f>
        <v/>
      </c>
      <c r="H118" s="78" t="n"/>
      <c r="I118" s="78" t="n"/>
      <c r="J118" s="78" t="n"/>
      <c r="K118" s="82" t="n"/>
      <c r="L118" s="79" t="n"/>
      <c r="M118" s="78" t="n"/>
      <c r="N118" s="79" t="n"/>
      <c r="P118" s="63">
        <f>IF(O118="","",IF(O118="Open",TODAY()-L118,"--"))</f>
        <v/>
      </c>
      <c r="Q118" s="63">
        <f>IF(O118="","",IF(O118="Closed",N118-L118,"--"))</f>
        <v/>
      </c>
    </row>
    <row r="119" ht="15" customHeight="1" s="130">
      <c r="B119" s="64">
        <f>IF(C119="","",B118+1)</f>
        <v/>
      </c>
      <c r="C119" s="77" t="n"/>
      <c r="D119" s="77" t="n"/>
      <c r="E119" s="82" t="n"/>
      <c r="F119" s="77" t="n"/>
      <c r="G119" s="64">
        <f>IF($F119="","",INDEX('WORK PACKAGES'!$B$2:$B$47,MATCH($F119,'WORK PACKAGES'!$D$2:$D$47,0)))</f>
        <v/>
      </c>
      <c r="H119" s="78" t="n"/>
      <c r="I119" s="78" t="n"/>
      <c r="J119" s="78" t="n"/>
      <c r="K119" s="82" t="n"/>
      <c r="L119" s="79" t="n"/>
      <c r="M119" s="78" t="n"/>
      <c r="N119" s="79" t="n"/>
      <c r="P119" s="63">
        <f>IF(O119="","",IF(O119="Open",TODAY()-L119,"--"))</f>
        <v/>
      </c>
      <c r="Q119" s="63">
        <f>IF(O119="","",IF(O119="Closed",N119-L119,"--"))</f>
        <v/>
      </c>
    </row>
    <row r="120" ht="15" customHeight="1" s="130">
      <c r="B120" s="64">
        <f>IF(C120="","",B119+1)</f>
        <v/>
      </c>
      <c r="C120" s="77" t="n"/>
      <c r="D120" s="77" t="n"/>
      <c r="E120" s="82" t="n"/>
      <c r="F120" s="77" t="n"/>
      <c r="G120" s="64">
        <f>IF($F120="","",INDEX('WORK PACKAGES'!$B$2:$B$47,MATCH($F120,'WORK PACKAGES'!$D$2:$D$47,0)))</f>
        <v/>
      </c>
      <c r="H120" s="78" t="n"/>
      <c r="I120" s="78" t="n"/>
      <c r="J120" s="78" t="n"/>
      <c r="K120" s="82" t="n"/>
      <c r="L120" s="79" t="n"/>
      <c r="M120" s="78" t="n"/>
      <c r="N120" s="79" t="n"/>
      <c r="P120" s="63">
        <f>IF(O120="","",IF(O120="Open",TODAY()-L120,"--"))</f>
        <v/>
      </c>
      <c r="Q120" s="63">
        <f>IF(O120="","",IF(O120="Closed",N120-L120,"--"))</f>
        <v/>
      </c>
    </row>
    <row r="121" ht="15" customHeight="1" s="130">
      <c r="B121" s="64">
        <f>IF(C121="","",B120+1)</f>
        <v/>
      </c>
      <c r="C121" s="77" t="n"/>
      <c r="D121" s="77" t="n"/>
      <c r="E121" s="82" t="n"/>
      <c r="F121" s="77" t="n"/>
      <c r="G121" s="64">
        <f>IF($F121="","",INDEX('WORK PACKAGES'!$B$2:$B$47,MATCH($F121,'WORK PACKAGES'!$D$2:$D$47,0)))</f>
        <v/>
      </c>
      <c r="H121" s="78" t="n"/>
      <c r="I121" s="78" t="n"/>
      <c r="J121" s="78" t="n"/>
      <c r="K121" s="82" t="n"/>
      <c r="L121" s="79" t="n"/>
      <c r="M121" s="78" t="n"/>
      <c r="N121" s="79" t="n"/>
      <c r="P121" s="63">
        <f>IF(O121="","",IF(O121="Open",TODAY()-L121,"--"))</f>
        <v/>
      </c>
      <c r="Q121" s="63">
        <f>IF(O121="","",IF(O121="Closed",N121-L121,"--"))</f>
        <v/>
      </c>
    </row>
    <row r="122" ht="15" customHeight="1" s="130">
      <c r="B122" s="64">
        <f>IF(C122="","",B121+1)</f>
        <v/>
      </c>
      <c r="C122" s="77" t="n"/>
      <c r="D122" s="77" t="n"/>
      <c r="E122" s="82" t="n"/>
      <c r="F122" s="77" t="n"/>
      <c r="G122" s="64">
        <f>IF($F122="","",INDEX('WORK PACKAGES'!$B$2:$B$47,MATCH($F122,'WORK PACKAGES'!$D$2:$D$47,0)))</f>
        <v/>
      </c>
      <c r="H122" s="78" t="n"/>
      <c r="I122" s="78" t="n"/>
      <c r="J122" s="78" t="n"/>
      <c r="K122" s="82" t="n"/>
      <c r="L122" s="79" t="n"/>
      <c r="M122" s="78" t="n"/>
      <c r="N122" s="79" t="n"/>
      <c r="P122" s="63">
        <f>IF(O122="","",IF(O122="Open",TODAY()-L122,"--"))</f>
        <v/>
      </c>
      <c r="Q122" s="63">
        <f>IF(O122="","",IF(O122="Closed",N122-L122,"--"))</f>
        <v/>
      </c>
    </row>
    <row r="123" ht="15" customHeight="1" s="130">
      <c r="B123" s="64">
        <f>IF(C123="","",B122+1)</f>
        <v/>
      </c>
      <c r="C123" s="77" t="n"/>
      <c r="D123" s="77" t="n"/>
      <c r="E123" s="82" t="n"/>
      <c r="F123" s="77" t="n"/>
      <c r="G123" s="64">
        <f>IF($F123="","",INDEX('WORK PACKAGES'!$B$2:$B$47,MATCH($F123,'WORK PACKAGES'!$D$2:$D$47,0)))</f>
        <v/>
      </c>
      <c r="H123" s="78" t="n"/>
      <c r="I123" s="78" t="n"/>
      <c r="J123" s="78" t="n"/>
      <c r="K123" s="82" t="n"/>
      <c r="L123" s="79" t="n"/>
      <c r="M123" s="78" t="n"/>
      <c r="N123" s="79" t="n"/>
      <c r="P123" s="63">
        <f>IF(O123="","",IF(O123="Open",TODAY()-L123,"--"))</f>
        <v/>
      </c>
      <c r="Q123" s="63">
        <f>IF(O123="","",IF(O123="Closed",N123-L123,"--"))</f>
        <v/>
      </c>
    </row>
    <row r="124" ht="15" customHeight="1" s="130">
      <c r="B124" s="64">
        <f>IF(C124="","",B123+1)</f>
        <v/>
      </c>
      <c r="C124" s="77" t="n"/>
      <c r="D124" s="77" t="n"/>
      <c r="E124" s="82" t="n"/>
      <c r="F124" s="77" t="n"/>
      <c r="G124" s="64">
        <f>IF($F124="","",INDEX('WORK PACKAGES'!$B$2:$B$47,MATCH($F124,'WORK PACKAGES'!$D$2:$D$47,0)))</f>
        <v/>
      </c>
      <c r="H124" s="78" t="n"/>
      <c r="I124" s="78" t="n"/>
      <c r="J124" s="78" t="n"/>
      <c r="K124" s="82" t="n"/>
      <c r="L124" s="79" t="n"/>
      <c r="M124" s="78" t="n"/>
      <c r="N124" s="79" t="n"/>
      <c r="P124" s="63">
        <f>IF(O124="","",IF(O124="Open",TODAY()-L124,"--"))</f>
        <v/>
      </c>
      <c r="Q124" s="63">
        <f>IF(O124="","",IF(O124="Closed",N124-L124,"--"))</f>
        <v/>
      </c>
    </row>
    <row r="125" ht="15" customHeight="1" s="130">
      <c r="B125" s="64">
        <f>IF(C125="","",B124+1)</f>
        <v/>
      </c>
      <c r="C125" s="77" t="n"/>
      <c r="D125" s="77" t="n"/>
      <c r="E125" s="82" t="n"/>
      <c r="F125" s="77" t="n"/>
      <c r="G125" s="64">
        <f>IF($F125="","",INDEX('WORK PACKAGES'!$B$2:$B$47,MATCH($F125,'WORK PACKAGES'!$D$2:$D$47,0)))</f>
        <v/>
      </c>
      <c r="H125" s="78" t="n"/>
      <c r="I125" s="78" t="n"/>
      <c r="J125" s="78" t="n"/>
      <c r="K125" s="82" t="n"/>
      <c r="L125" s="79" t="n"/>
      <c r="M125" s="78" t="n"/>
      <c r="N125" s="79" t="n"/>
      <c r="P125" s="63">
        <f>IF(O125="","",IF(O125="Open",TODAY()-L125,"--"))</f>
        <v/>
      </c>
      <c r="Q125" s="63">
        <f>IF(O125="","",IF(O125="Closed",N125-L125,"--"))</f>
        <v/>
      </c>
    </row>
    <row r="126" ht="15" customHeight="1" s="130">
      <c r="B126" s="64">
        <f>IF(C126="","",B125+1)</f>
        <v/>
      </c>
      <c r="C126" s="77" t="n"/>
      <c r="D126" s="77" t="n"/>
      <c r="E126" s="82" t="n"/>
      <c r="F126" s="77" t="n"/>
      <c r="G126" s="64">
        <f>IF($F126="","",INDEX('WORK PACKAGES'!$B$2:$B$47,MATCH($F126,'WORK PACKAGES'!$D$2:$D$47,0)))</f>
        <v/>
      </c>
      <c r="H126" s="78" t="n"/>
      <c r="I126" s="78" t="n"/>
      <c r="J126" s="78" t="n"/>
      <c r="K126" s="82" t="n"/>
      <c r="L126" s="79" t="n"/>
      <c r="M126" s="78" t="n"/>
      <c r="N126" s="79" t="n"/>
      <c r="P126" s="63">
        <f>IF(O126="","",IF(O126="Open",TODAY()-L126,"--"))</f>
        <v/>
      </c>
      <c r="Q126" s="63">
        <f>IF(O126="","",IF(O126="Closed",N126-L126,"--"))</f>
        <v/>
      </c>
    </row>
    <row r="127" ht="15" customHeight="1" s="130">
      <c r="B127" s="64">
        <f>IF(C127="","",B126+1)</f>
        <v/>
      </c>
      <c r="C127" s="77" t="n"/>
      <c r="D127" s="77" t="n"/>
      <c r="E127" s="82" t="n"/>
      <c r="F127" s="77" t="n"/>
      <c r="G127" s="64">
        <f>IF($F127="","",INDEX('WORK PACKAGES'!$B$2:$B$47,MATCH($F127,'WORK PACKAGES'!$D$2:$D$47,0)))</f>
        <v/>
      </c>
      <c r="H127" s="78" t="n"/>
      <c r="I127" s="78" t="n"/>
      <c r="J127" s="78" t="n"/>
      <c r="K127" s="82" t="n"/>
      <c r="L127" s="79" t="n"/>
      <c r="M127" s="78" t="n"/>
      <c r="N127" s="79" t="n"/>
      <c r="P127" s="63">
        <f>IF(O127="","",IF(O127="Open",TODAY()-L127,"--"))</f>
        <v/>
      </c>
      <c r="Q127" s="63">
        <f>IF(O127="","",IF(O127="Closed",N127-L127,"--"))</f>
        <v/>
      </c>
    </row>
    <row r="128" ht="15" customHeight="1" s="130">
      <c r="B128" s="64">
        <f>IF(C128="","",B127+1)</f>
        <v/>
      </c>
      <c r="C128" s="77" t="n"/>
      <c r="D128" s="77" t="n"/>
      <c r="E128" s="82" t="n"/>
      <c r="F128" s="77" t="n"/>
      <c r="G128" s="64">
        <f>IF($F128="","",INDEX('WORK PACKAGES'!$B$2:$B$47,MATCH($F128,'WORK PACKAGES'!$D$2:$D$47,0)))</f>
        <v/>
      </c>
      <c r="H128" s="78" t="n"/>
      <c r="I128" s="78" t="n"/>
      <c r="J128" s="78" t="n"/>
      <c r="K128" s="82" t="n"/>
      <c r="L128" s="79" t="n"/>
      <c r="M128" s="78" t="n"/>
      <c r="N128" s="79" t="n"/>
      <c r="P128" s="63">
        <f>IF(O128="","",IF(O128="Open",TODAY()-L128,"--"))</f>
        <v/>
      </c>
      <c r="Q128" s="63">
        <f>IF(O128="","",IF(O128="Closed",N128-L128,"--"))</f>
        <v/>
      </c>
    </row>
    <row r="129" ht="15" customHeight="1" s="130">
      <c r="B129" s="64">
        <f>IF(C129="","",B128+1)</f>
        <v/>
      </c>
      <c r="C129" s="77" t="n"/>
      <c r="D129" s="77" t="n"/>
      <c r="E129" s="82" t="n"/>
      <c r="F129" s="77" t="n"/>
      <c r="G129" s="64">
        <f>IF($F129="","",INDEX('WORK PACKAGES'!$B$2:$B$47,MATCH($F129,'WORK PACKAGES'!$D$2:$D$47,0)))</f>
        <v/>
      </c>
      <c r="H129" s="78" t="n"/>
      <c r="I129" s="67" t="n"/>
      <c r="J129" s="78" t="n"/>
      <c r="K129" s="82" t="n"/>
      <c r="L129" s="79" t="n"/>
      <c r="M129" s="78" t="n"/>
      <c r="N129" s="79" t="n"/>
      <c r="P129" s="63">
        <f>IF(O129="","",IF(O129="Open",TODAY()-L129,"--"))</f>
        <v/>
      </c>
      <c r="Q129" s="63">
        <f>IF(O129="","",IF(O129="Closed",N129-L129,"--"))</f>
        <v/>
      </c>
    </row>
    <row r="130" ht="15" customHeight="1" s="130">
      <c r="B130" s="64">
        <f>IF(C130="","",B129+1)</f>
        <v/>
      </c>
      <c r="C130" s="77" t="n"/>
      <c r="D130" s="77" t="n"/>
      <c r="E130" s="82" t="n"/>
      <c r="F130" s="77" t="n"/>
      <c r="G130" s="64">
        <f>IF($F130="","",INDEX('WORK PACKAGES'!$B$2:$B$47,MATCH($F130,'WORK PACKAGES'!$D$2:$D$47,0)))</f>
        <v/>
      </c>
      <c r="H130" s="78" t="n"/>
      <c r="I130" s="67" t="n"/>
      <c r="J130" s="78" t="n"/>
      <c r="K130" s="82" t="n"/>
      <c r="L130" s="79" t="n"/>
      <c r="M130" s="78" t="n"/>
      <c r="N130" s="79" t="n"/>
      <c r="P130" s="63">
        <f>IF(O130="","",IF(O130="Open",TODAY()-L130,"--"))</f>
        <v/>
      </c>
      <c r="Q130" s="63">
        <f>IF(O130="","",IF(O130="Closed",N130-L130,"--"))</f>
        <v/>
      </c>
    </row>
    <row r="131" ht="15" customHeight="1" s="130">
      <c r="B131" s="64">
        <f>IF(C131="","",B130+1)</f>
        <v/>
      </c>
      <c r="C131" s="77" t="n"/>
      <c r="D131" s="77" t="n"/>
      <c r="E131" s="82" t="n"/>
      <c r="F131" s="77" t="n"/>
      <c r="G131" s="64">
        <f>IF($F131="","",INDEX('WORK PACKAGES'!$B$2:$B$47,MATCH($F131,'WORK PACKAGES'!$D$2:$D$47,0)))</f>
        <v/>
      </c>
      <c r="H131" s="78" t="n"/>
      <c r="I131" s="67" t="n"/>
      <c r="J131" s="78" t="n"/>
      <c r="K131" s="82" t="n"/>
      <c r="L131" s="79" t="n"/>
      <c r="M131" s="78" t="n"/>
      <c r="N131" s="79" t="n"/>
      <c r="P131" s="63">
        <f>IF(O131="","",IF(O131="Open",TODAY()-L131,"--"))</f>
        <v/>
      </c>
      <c r="Q131" s="63">
        <f>IF(O131="","",IF(O131="Closed",N131-L131,"--"))</f>
        <v/>
      </c>
    </row>
    <row r="132" ht="15" customHeight="1" s="130">
      <c r="B132" s="64">
        <f>IF(C132="","",B131+1)</f>
        <v/>
      </c>
      <c r="C132" s="77" t="n"/>
      <c r="D132" s="77" t="n"/>
      <c r="E132" s="82" t="n"/>
      <c r="F132" s="77" t="n"/>
      <c r="G132" s="64">
        <f>IF($F132="","",INDEX('WORK PACKAGES'!$B$2:$B$47,MATCH($F132,'WORK PACKAGES'!$D$2:$D$47,0)))</f>
        <v/>
      </c>
      <c r="H132" s="78" t="n"/>
      <c r="I132" s="67" t="n"/>
      <c r="J132" s="78" t="n"/>
      <c r="K132" s="82" t="n"/>
      <c r="L132" s="79" t="n"/>
      <c r="M132" s="78" t="n"/>
      <c r="N132" s="79" t="n"/>
      <c r="P132" s="63">
        <f>IF(O132="","",IF(O132="Open",TODAY()-L132,"--"))</f>
        <v/>
      </c>
      <c r="Q132" s="63">
        <f>IF(O132="","",IF(O132="Closed",N132-L132,"--"))</f>
        <v/>
      </c>
    </row>
    <row r="133" ht="15" customHeight="1" s="130">
      <c r="B133" s="64">
        <f>IF(C133="","",B132+1)</f>
        <v/>
      </c>
      <c r="C133" s="77" t="n"/>
      <c r="D133" s="77" t="n"/>
      <c r="E133" s="82" t="n"/>
      <c r="F133" s="77" t="n"/>
      <c r="G133" s="64">
        <f>IF($F133="","",INDEX('WORK PACKAGES'!$B$2:$B$47,MATCH($F133,'WORK PACKAGES'!$D$2:$D$47,0)))</f>
        <v/>
      </c>
      <c r="H133" s="78" t="n"/>
      <c r="I133" s="67" t="n"/>
      <c r="J133" s="78" t="n"/>
      <c r="K133" s="82" t="n"/>
      <c r="L133" s="79" t="n"/>
      <c r="M133" s="78" t="n"/>
      <c r="N133" s="79" t="n"/>
      <c r="P133" s="63">
        <f>IF(O133="","",IF(O133="Open",TODAY()-L133,"--"))</f>
        <v/>
      </c>
      <c r="Q133" s="63">
        <f>IF(O133="","",IF(O133="Closed",N133-L133,"--"))</f>
        <v/>
      </c>
    </row>
    <row r="134" ht="15" customHeight="1" s="130">
      <c r="B134" s="64">
        <f>IF(C134="","",B133+1)</f>
        <v/>
      </c>
      <c r="C134" s="77" t="n"/>
      <c r="D134" s="77" t="n"/>
      <c r="E134" s="82" t="n"/>
      <c r="F134" s="77" t="n"/>
      <c r="G134" s="64">
        <f>IF($F134="","",INDEX('WORK PACKAGES'!$B$2:$B$47,MATCH($F134,'WORK PACKAGES'!$D$2:$D$47,0)))</f>
        <v/>
      </c>
      <c r="H134" s="78" t="n"/>
      <c r="I134" s="67" t="n"/>
      <c r="J134" s="78" t="n"/>
      <c r="K134" s="82" t="n"/>
      <c r="L134" s="79" t="n"/>
      <c r="M134" s="78" t="n"/>
      <c r="N134" s="79" t="n"/>
      <c r="P134" s="63">
        <f>IF(O134="","",IF(O134="Open",TODAY()-L134,"--"))</f>
        <v/>
      </c>
      <c r="Q134" s="63">
        <f>IF(O134="","",IF(O134="Closed",N134-L134,"--"))</f>
        <v/>
      </c>
    </row>
    <row r="135" ht="15" customHeight="1" s="130">
      <c r="B135" s="64">
        <f>IF(C135="","",B134+1)</f>
        <v/>
      </c>
      <c r="C135" s="77" t="n"/>
      <c r="D135" s="77" t="n"/>
      <c r="E135" s="82" t="n"/>
      <c r="F135" s="77" t="n"/>
      <c r="G135" s="64">
        <f>IF($F135="","",INDEX('WORK PACKAGES'!$B$2:$B$47,MATCH($F135,'WORK PACKAGES'!$D$2:$D$47,0)))</f>
        <v/>
      </c>
      <c r="H135" s="78" t="n"/>
      <c r="I135" s="67" t="n"/>
      <c r="J135" s="78" t="n"/>
      <c r="K135" s="82" t="n"/>
      <c r="L135" s="79" t="n"/>
      <c r="M135" s="78" t="n"/>
      <c r="N135" s="79" t="n"/>
      <c r="P135" s="63">
        <f>IF(O135="","",IF(O135="Open",TODAY()-L135,"--"))</f>
        <v/>
      </c>
      <c r="Q135" s="63">
        <f>IF(O135="","",IF(O135="Closed",N135-L135,"--"))</f>
        <v/>
      </c>
    </row>
    <row r="136" ht="15" customHeight="1" s="130">
      <c r="B136" s="64">
        <f>IF(C136="","",B135+1)</f>
        <v/>
      </c>
      <c r="C136" s="77" t="n"/>
      <c r="D136" s="77" t="n"/>
      <c r="E136" s="82" t="n"/>
      <c r="F136" s="77" t="n"/>
      <c r="G136" s="64">
        <f>IF($F136="","",INDEX('WORK PACKAGES'!$B$2:$B$47,MATCH($F136,'WORK PACKAGES'!$D$2:$D$47,0)))</f>
        <v/>
      </c>
      <c r="H136" s="78" t="n"/>
      <c r="I136" s="78" t="n"/>
      <c r="J136" s="78" t="n"/>
      <c r="K136" s="82" t="n"/>
      <c r="L136" s="79" t="n"/>
      <c r="M136" s="78" t="n"/>
      <c r="N136" s="79" t="n"/>
      <c r="P136" s="63">
        <f>IF(O136="","",IF(O136="Open",TODAY()-L136,"--"))</f>
        <v/>
      </c>
      <c r="Q136" s="63">
        <f>IF(O136="","",IF(O136="Closed",N136-L136,"--"))</f>
        <v/>
      </c>
    </row>
    <row r="137" ht="15" customHeight="1" s="130">
      <c r="B137" s="64">
        <f>IF(C137="","",B136+1)</f>
        <v/>
      </c>
      <c r="C137" s="77" t="n"/>
      <c r="D137" s="77" t="n"/>
      <c r="E137" s="82" t="n"/>
      <c r="F137" s="77" t="n"/>
      <c r="G137" s="64">
        <f>IF($F137="","",INDEX('WORK PACKAGES'!$B$2:$B$47,MATCH($F137,'WORK PACKAGES'!$D$2:$D$47,0)))</f>
        <v/>
      </c>
      <c r="H137" s="78" t="n"/>
      <c r="I137" s="78" t="n"/>
      <c r="J137" s="78" t="n"/>
      <c r="K137" s="82" t="n"/>
      <c r="L137" s="79" t="n"/>
      <c r="M137" s="78" t="n"/>
      <c r="N137" s="79" t="n"/>
      <c r="P137" s="63">
        <f>IF(O137="","",IF(O137="Open",TODAY()-L137,"--"))</f>
        <v/>
      </c>
      <c r="Q137" s="63">
        <f>IF(O137="","",IF(O137="Closed",N137-L137,"--"))</f>
        <v/>
      </c>
    </row>
    <row r="138" ht="15" customHeight="1" s="130">
      <c r="B138" s="64">
        <f>IF(C138="","",B137+1)</f>
        <v/>
      </c>
      <c r="C138" s="77" t="n"/>
      <c r="D138" s="77" t="n"/>
      <c r="E138" s="82" t="n"/>
      <c r="F138" s="77" t="n"/>
      <c r="G138" s="64">
        <f>IF($F138="","",INDEX('WORK PACKAGES'!$B$2:$B$47,MATCH($F138,'WORK PACKAGES'!$D$2:$D$47,0)))</f>
        <v/>
      </c>
      <c r="H138" s="78" t="n"/>
      <c r="I138" s="78" t="n"/>
      <c r="J138" s="78" t="n"/>
      <c r="K138" s="82" t="n"/>
      <c r="L138" s="79" t="n"/>
      <c r="M138" s="78" t="n"/>
      <c r="N138" s="79" t="n"/>
      <c r="P138" s="63">
        <f>IF(O138="","",IF(O138="Open",TODAY()-L138,"--"))</f>
        <v/>
      </c>
      <c r="Q138" s="63">
        <f>IF(O138="","",IF(O138="Closed",N138-L138,"--"))</f>
        <v/>
      </c>
    </row>
    <row r="139" ht="15" customHeight="1" s="130">
      <c r="B139" s="64">
        <f>IF(C139="","",B138+1)</f>
        <v/>
      </c>
      <c r="C139" s="77" t="n"/>
      <c r="D139" s="77" t="n"/>
      <c r="E139" s="82" t="n"/>
      <c r="F139" s="77" t="n"/>
      <c r="G139" s="64">
        <f>IF($F139="","",INDEX('WORK PACKAGES'!$B$2:$B$47,MATCH($F139,'WORK PACKAGES'!$D$2:$D$47,0)))</f>
        <v/>
      </c>
      <c r="H139" s="78" t="n"/>
      <c r="I139" s="78" t="n"/>
      <c r="J139" s="78" t="n"/>
      <c r="K139" s="82" t="n"/>
      <c r="L139" s="79" t="n"/>
      <c r="M139" s="78" t="n"/>
      <c r="N139" s="79" t="n"/>
      <c r="P139" s="63">
        <f>IF(O139="","",IF(O139="Open",TODAY()-L139,"--"))</f>
        <v/>
      </c>
      <c r="Q139" s="63">
        <f>IF(O139="","",IF(O139="Closed",N139-L139,"--"))</f>
        <v/>
      </c>
    </row>
    <row r="140" ht="15" customHeight="1" s="130">
      <c r="B140" s="64">
        <f>IF(C140="","",B139+1)</f>
        <v/>
      </c>
      <c r="C140" s="77" t="n"/>
      <c r="D140" s="77" t="n"/>
      <c r="E140" s="82" t="n"/>
      <c r="F140" s="77" t="n"/>
      <c r="G140" s="64">
        <f>IF($F140="","",INDEX('WORK PACKAGES'!$B$2:$B$47,MATCH($F140,'WORK PACKAGES'!$D$2:$D$47,0)))</f>
        <v/>
      </c>
      <c r="H140" s="78" t="n"/>
      <c r="I140" s="78" t="n"/>
      <c r="J140" s="78" t="n"/>
      <c r="K140" s="82" t="n"/>
      <c r="L140" s="79" t="n"/>
      <c r="M140" s="78" t="n"/>
      <c r="N140" s="79" t="n"/>
      <c r="P140" s="63">
        <f>IF(O140="","",IF(O140="Open",TODAY()-L140,"--"))</f>
        <v/>
      </c>
      <c r="Q140" s="63">
        <f>IF(O140="","",IF(O140="Closed",N140-L140,"--"))</f>
        <v/>
      </c>
    </row>
    <row r="141" ht="15" customHeight="1" s="130">
      <c r="B141" s="64">
        <f>IF(C141="","",B140+1)</f>
        <v/>
      </c>
      <c r="C141" s="77" t="n"/>
      <c r="D141" s="77" t="n"/>
      <c r="E141" s="82" t="n"/>
      <c r="F141" s="77" t="n"/>
      <c r="G141" s="64">
        <f>IF($F141="","",INDEX('WORK PACKAGES'!$B$2:$B$47,MATCH($F141,'WORK PACKAGES'!$D$2:$D$47,0)))</f>
        <v/>
      </c>
      <c r="H141" s="78" t="n"/>
      <c r="I141" s="78" t="n"/>
      <c r="J141" s="78" t="n"/>
      <c r="K141" s="82" t="n"/>
      <c r="L141" s="79" t="n"/>
      <c r="M141" s="78" t="n"/>
      <c r="N141" s="79" t="n"/>
      <c r="P141" s="63">
        <f>IF(O141="","",IF(O141="Open",TODAY()-L141,"--"))</f>
        <v/>
      </c>
      <c r="Q141" s="63">
        <f>IF(O141="","",IF(O141="Closed",N141-L141,"--"))</f>
        <v/>
      </c>
    </row>
    <row r="142" ht="15" customHeight="1" s="130">
      <c r="B142" s="64">
        <f>IF(C142="","",B141+1)</f>
        <v/>
      </c>
      <c r="C142" s="77" t="n"/>
      <c r="D142" s="77" t="n"/>
      <c r="E142" s="82" t="n"/>
      <c r="F142" s="77" t="n"/>
      <c r="G142" s="64">
        <f>IF($F142="","",INDEX('WORK PACKAGES'!$B$2:$B$47,MATCH($F142,'WORK PACKAGES'!$D$2:$D$47,0)))</f>
        <v/>
      </c>
      <c r="H142" s="78" t="n"/>
      <c r="I142" s="78" t="n"/>
      <c r="J142" s="78" t="n"/>
      <c r="K142" s="82" t="n"/>
      <c r="L142" s="79" t="n"/>
      <c r="M142" s="78" t="n"/>
      <c r="N142" s="79" t="n"/>
      <c r="P142" s="63">
        <f>IF(O142="","",IF(O142="Open",TODAY()-L142,"--"))</f>
        <v/>
      </c>
      <c r="Q142" s="63">
        <f>IF(O142="","",IF(O142="Closed",N142-L142,"--"))</f>
        <v/>
      </c>
    </row>
    <row r="143" ht="15" customHeight="1" s="130">
      <c r="B143" s="64">
        <f>IF(C143="","",B142+1)</f>
        <v/>
      </c>
      <c r="C143" s="77" t="n"/>
      <c r="D143" s="77" t="n"/>
      <c r="E143" s="82" t="n"/>
      <c r="F143" s="77" t="n"/>
      <c r="G143" s="64">
        <f>IF($F143="","",INDEX('WORK PACKAGES'!$B$2:$B$47,MATCH($F143,'WORK PACKAGES'!$D$2:$D$47,0)))</f>
        <v/>
      </c>
      <c r="H143" s="78" t="n"/>
      <c r="I143" s="78" t="n"/>
      <c r="J143" s="78" t="n"/>
      <c r="K143" s="82" t="n"/>
      <c r="L143" s="79" t="n"/>
      <c r="M143" s="78" t="n"/>
      <c r="N143" s="79" t="n"/>
      <c r="P143" s="63">
        <f>IF(O143="","",IF(O143="Open",TODAY()-L143,"--"))</f>
        <v/>
      </c>
      <c r="Q143" s="63">
        <f>IF(O143="","",IF(O143="Closed",N143-L143,"--"))</f>
        <v/>
      </c>
    </row>
    <row r="144" ht="15" customHeight="1" s="130">
      <c r="B144" s="64">
        <f>IF(C144="","",B143+1)</f>
        <v/>
      </c>
      <c r="C144" s="77" t="n"/>
      <c r="D144" s="77" t="n"/>
      <c r="E144" s="82" t="n"/>
      <c r="F144" s="77" t="n"/>
      <c r="G144" s="64">
        <f>IF($F144="","",INDEX('WORK PACKAGES'!$B$2:$B$47,MATCH($F144,'WORK PACKAGES'!$D$2:$D$47,0)))</f>
        <v/>
      </c>
      <c r="H144" s="78" t="n"/>
      <c r="I144" s="78" t="n"/>
      <c r="J144" s="78" t="n"/>
      <c r="K144" s="82" t="n"/>
      <c r="L144" s="79" t="n"/>
      <c r="M144" s="78" t="n"/>
      <c r="N144" s="79" t="n"/>
      <c r="P144" s="63">
        <f>IF(O144="","",IF(O144="Open",TODAY()-L144,"--"))</f>
        <v/>
      </c>
      <c r="Q144" s="63">
        <f>IF(O144="","",IF(O144="Closed",N144-L144,"--"))</f>
        <v/>
      </c>
    </row>
    <row r="145" ht="15" customHeight="1" s="130">
      <c r="B145" s="64">
        <f>IF(C145="","",B144+1)</f>
        <v/>
      </c>
      <c r="C145" s="77" t="n"/>
      <c r="D145" s="77" t="n"/>
      <c r="E145" s="82" t="n"/>
      <c r="F145" s="77" t="n"/>
      <c r="G145" s="64">
        <f>IF($F145="","",INDEX('WORK PACKAGES'!$B$2:$B$47,MATCH($F145,'WORK PACKAGES'!$D$2:$D$47,0)))</f>
        <v/>
      </c>
      <c r="H145" s="78" t="n"/>
      <c r="I145" s="78" t="n"/>
      <c r="J145" s="78" t="n"/>
      <c r="K145" s="66" t="n"/>
      <c r="L145" s="79" t="n"/>
      <c r="M145" s="78" t="n"/>
      <c r="N145" s="79" t="n"/>
      <c r="P145" s="63">
        <f>IF(O145="","",IF(O145="Open",TODAY()-L145,"--"))</f>
        <v/>
      </c>
      <c r="Q145" s="63">
        <f>IF(O145="","",IF(O145="Closed",N145-L145,"--"))</f>
        <v/>
      </c>
    </row>
    <row r="146" ht="15" customHeight="1" s="130">
      <c r="B146" s="64">
        <f>IF(C146="","",B145+1)</f>
        <v/>
      </c>
      <c r="C146" s="77" t="n"/>
      <c r="D146" s="77" t="n"/>
      <c r="E146" s="82" t="n"/>
      <c r="F146" s="77" t="n"/>
      <c r="G146" s="64">
        <f>IF($F146="","",INDEX('WORK PACKAGES'!$B$2:$B$47,MATCH($F146,'WORK PACKAGES'!$D$2:$D$47,0)))</f>
        <v/>
      </c>
      <c r="H146" s="78" t="n"/>
      <c r="I146" s="78" t="n"/>
      <c r="J146" s="78" t="n"/>
      <c r="K146" s="66" t="n"/>
      <c r="L146" s="79" t="n"/>
      <c r="M146" s="78" t="n"/>
      <c r="N146" s="79" t="n"/>
      <c r="P146" s="63">
        <f>IF(O146="","",IF(O146="Open",TODAY()-L146,"--"))</f>
        <v/>
      </c>
      <c r="Q146" s="63">
        <f>IF(O146="","",IF(O146="Closed",N146-L146,"--"))</f>
        <v/>
      </c>
    </row>
    <row r="147" ht="15" customHeight="1" s="130">
      <c r="B147" s="64">
        <f>IF(C147="","",B146+1)</f>
        <v/>
      </c>
      <c r="C147" s="77" t="n"/>
      <c r="D147" s="77" t="n"/>
      <c r="E147" s="82" t="n"/>
      <c r="F147" s="77" t="n"/>
      <c r="G147" s="64">
        <f>IF($F147="","",INDEX('WORK PACKAGES'!$B$2:$B$47,MATCH($F147,'WORK PACKAGES'!$D$2:$D$47,0)))</f>
        <v/>
      </c>
      <c r="H147" s="78" t="n"/>
      <c r="I147" s="78" t="n"/>
      <c r="J147" s="78" t="n"/>
      <c r="K147" s="66" t="n"/>
      <c r="L147" s="79" t="n"/>
      <c r="M147" s="78" t="n"/>
      <c r="N147" s="79" t="n"/>
      <c r="P147" s="63">
        <f>IF(O147="","",IF(O147="Open",TODAY()-L147,"--"))</f>
        <v/>
      </c>
      <c r="Q147" s="63">
        <f>IF(O147="","",IF(O147="Closed",N147-L147,"--"))</f>
        <v/>
      </c>
    </row>
    <row r="148" ht="15" customHeight="1" s="130">
      <c r="B148" s="64">
        <f>IF(C148="","",B147+1)</f>
        <v/>
      </c>
      <c r="C148" s="77" t="n"/>
      <c r="D148" s="77" t="n"/>
      <c r="E148" s="82" t="n"/>
      <c r="F148" s="77" t="n"/>
      <c r="G148" s="64">
        <f>IF($F148="","",INDEX('WORK PACKAGES'!$B$2:$B$47,MATCH($F148,'WORK PACKAGES'!$D$2:$D$47,0)))</f>
        <v/>
      </c>
      <c r="H148" s="78" t="n"/>
      <c r="I148" s="78" t="n"/>
      <c r="J148" s="78" t="n"/>
      <c r="K148" s="66" t="n"/>
      <c r="L148" s="79" t="n"/>
      <c r="M148" s="78" t="n"/>
      <c r="N148" s="79" t="n"/>
      <c r="P148" s="63">
        <f>IF(O148="","",IF(O148="Open",TODAY()-L148,"--"))</f>
        <v/>
      </c>
      <c r="Q148" s="63">
        <f>IF(O148="","",IF(O148="Closed",N148-L148,"--"))</f>
        <v/>
      </c>
    </row>
    <row r="149" ht="15" customHeight="1" s="130">
      <c r="B149" s="64">
        <f>IF(C149="","",B148+1)</f>
        <v/>
      </c>
      <c r="C149" s="77" t="n"/>
      <c r="D149" s="77" t="n"/>
      <c r="E149" s="82" t="n"/>
      <c r="F149" s="77" t="n"/>
      <c r="G149" s="64">
        <f>IF($F149="","",INDEX('WORK PACKAGES'!$B$2:$B$47,MATCH($F149,'WORK PACKAGES'!$D$2:$D$47,0)))</f>
        <v/>
      </c>
      <c r="H149" s="78" t="n"/>
      <c r="I149" s="78" t="n"/>
      <c r="J149" s="78" t="n"/>
      <c r="K149" s="66" t="n"/>
      <c r="L149" s="79" t="n"/>
      <c r="M149" s="78" t="n"/>
      <c r="N149" s="79" t="n"/>
      <c r="P149" s="63">
        <f>IF(O149="","",IF(O149="Open",TODAY()-L149,"--"))</f>
        <v/>
      </c>
      <c r="Q149" s="63">
        <f>IF(O149="","",IF(O149="Closed",N149-L149,"--"))</f>
        <v/>
      </c>
    </row>
    <row r="150" ht="15" customHeight="1" s="130">
      <c r="B150" s="64">
        <f>IF(C150="","",B149+1)</f>
        <v/>
      </c>
      <c r="C150" s="77" t="n"/>
      <c r="D150" s="77" t="n"/>
      <c r="E150" s="82" t="n"/>
      <c r="F150" s="77" t="n"/>
      <c r="G150" s="64">
        <f>IF($F150="","",INDEX('WORK PACKAGES'!$B$2:$B$47,MATCH($F150,'WORK PACKAGES'!$D$2:$D$47,0)))</f>
        <v/>
      </c>
      <c r="H150" s="78" t="n"/>
      <c r="I150" s="78" t="n"/>
      <c r="J150" s="78" t="n"/>
      <c r="K150" s="82" t="n"/>
      <c r="L150" s="79" t="n"/>
      <c r="M150" s="78" t="n"/>
      <c r="N150" s="79" t="n"/>
      <c r="P150" s="63">
        <f>IF(O150="","",IF(O150="Open",TODAY()-L150,"--"))</f>
        <v/>
      </c>
      <c r="Q150" s="63">
        <f>IF(O150="","",IF(O150="Closed",N150-L150,"--"))</f>
        <v/>
      </c>
    </row>
    <row r="151" ht="15" customHeight="1" s="130">
      <c r="B151" s="64">
        <f>IF(C151="","",B150+1)</f>
        <v/>
      </c>
      <c r="C151" s="77" t="n"/>
      <c r="D151" s="77" t="n"/>
      <c r="E151" s="82" t="n"/>
      <c r="F151" s="77" t="n"/>
      <c r="G151" s="64">
        <f>IF($F151="","",INDEX('WORK PACKAGES'!$B$2:$B$47,MATCH($F151,'WORK PACKAGES'!$D$2:$D$47,0)))</f>
        <v/>
      </c>
      <c r="H151" s="78" t="n"/>
      <c r="I151" s="78" t="n"/>
      <c r="J151" s="78" t="n"/>
      <c r="K151" s="82" t="n"/>
      <c r="L151" s="79" t="n"/>
      <c r="M151" s="78" t="n"/>
      <c r="N151" s="79" t="n"/>
      <c r="P151" s="63">
        <f>IF(O151="","",IF(O151="Open",TODAY()-L151,"--"))</f>
        <v/>
      </c>
      <c r="Q151" s="63">
        <f>IF(O151="","",IF(O151="Closed",N151-L151,"--"))</f>
        <v/>
      </c>
    </row>
    <row r="152" ht="15" customHeight="1" s="130">
      <c r="B152" s="64">
        <f>IF(C152="","",B151+1)</f>
        <v/>
      </c>
      <c r="C152" s="77" t="n"/>
      <c r="D152" s="77" t="n"/>
      <c r="E152" s="82" t="n"/>
      <c r="F152" s="77" t="n"/>
      <c r="G152" s="64">
        <f>IF($F152="","",INDEX('WORK PACKAGES'!$B$2:$B$47,MATCH($F152,'WORK PACKAGES'!$D$2:$D$47,0)))</f>
        <v/>
      </c>
      <c r="H152" s="78" t="n"/>
      <c r="I152" s="78" t="n"/>
      <c r="J152" s="78" t="n"/>
      <c r="K152" s="82" t="n"/>
      <c r="L152" s="79" t="n"/>
      <c r="M152" s="78" t="n"/>
      <c r="N152" s="79" t="n"/>
      <c r="P152" s="63">
        <f>IF(O152="","",IF(O152="Open",TODAY()-L152,"--"))</f>
        <v/>
      </c>
      <c r="Q152" s="63">
        <f>IF(O152="","",IF(O152="Closed",N152-L152,"--"))</f>
        <v/>
      </c>
    </row>
    <row r="153" ht="15" customHeight="1" s="130">
      <c r="B153" s="64">
        <f>IF(C153="","",B152+1)</f>
        <v/>
      </c>
      <c r="C153" s="77" t="n"/>
      <c r="D153" s="77" t="n"/>
      <c r="E153" s="82" t="n"/>
      <c r="F153" s="77" t="n"/>
      <c r="G153" s="64">
        <f>IF($F153="","",INDEX('WORK PACKAGES'!$B$2:$B$47,MATCH($F153,'WORK PACKAGES'!$D$2:$D$47,0)))</f>
        <v/>
      </c>
      <c r="H153" s="78" t="n"/>
      <c r="I153" s="78" t="n"/>
      <c r="J153" s="78" t="n"/>
      <c r="K153" s="82" t="n"/>
      <c r="L153" s="79" t="n"/>
      <c r="M153" s="78" t="n"/>
      <c r="N153" s="79" t="n"/>
      <c r="P153" s="63">
        <f>IF(O153="","",IF(O153="Open",TODAY()-L153,"--"))</f>
        <v/>
      </c>
      <c r="Q153" s="63">
        <f>IF(O153="","",IF(O153="Closed",N153-L153,"--"))</f>
        <v/>
      </c>
    </row>
    <row r="154" ht="15" customHeight="1" s="130">
      <c r="B154" s="64">
        <f>IF(C154="","",B153+1)</f>
        <v/>
      </c>
      <c r="C154" s="77" t="n"/>
      <c r="D154" s="77" t="n"/>
      <c r="E154" s="82" t="n"/>
      <c r="F154" s="77" t="n"/>
      <c r="G154" s="64">
        <f>IF($F154="","",INDEX('WORK PACKAGES'!$B$2:$B$47,MATCH($F154,'WORK PACKAGES'!$D$2:$D$47,0)))</f>
        <v/>
      </c>
      <c r="H154" s="78" t="n"/>
      <c r="I154" s="78" t="n"/>
      <c r="J154" s="78" t="n"/>
      <c r="K154" s="82" t="n"/>
      <c r="L154" s="79" t="n"/>
      <c r="M154" s="78" t="n"/>
      <c r="N154" s="79" t="n"/>
      <c r="P154" s="63">
        <f>IF(O154="","",IF(O154="Open",TODAY()-L154,"--"))</f>
        <v/>
      </c>
      <c r="Q154" s="63">
        <f>IF(O154="","",IF(O154="Closed",N154-L154,"--"))</f>
        <v/>
      </c>
    </row>
    <row r="155" ht="15" customHeight="1" s="130">
      <c r="B155" s="64">
        <f>IF(C155="","",B154+1)</f>
        <v/>
      </c>
      <c r="C155" s="77" t="n"/>
      <c r="D155" s="77" t="n"/>
      <c r="E155" s="82" t="n"/>
      <c r="F155" s="77" t="n"/>
      <c r="G155" s="64">
        <f>IF($F155="","",INDEX('WORK PACKAGES'!$B$2:$B$47,MATCH($F155,'WORK PACKAGES'!$D$2:$D$47,0)))</f>
        <v/>
      </c>
      <c r="H155" s="78" t="n"/>
      <c r="I155" s="78" t="n"/>
      <c r="J155" s="78" t="n"/>
      <c r="K155" s="82" t="n"/>
      <c r="L155" s="79" t="n"/>
      <c r="M155" s="78" t="n"/>
      <c r="N155" s="79" t="n"/>
      <c r="P155" s="63">
        <f>IF(O155="","",IF(O155="Open",TODAY()-L155,"--"))</f>
        <v/>
      </c>
      <c r="Q155" s="63">
        <f>IF(O155="","",IF(O155="Closed",N155-L155,"--"))</f>
        <v/>
      </c>
    </row>
    <row r="156" ht="15" customHeight="1" s="130">
      <c r="B156" s="64">
        <f>IF(C156="","",B155+1)</f>
        <v/>
      </c>
      <c r="C156" s="77" t="n"/>
      <c r="D156" s="65" t="n"/>
      <c r="E156" s="82" t="n"/>
      <c r="F156" s="77" t="n"/>
      <c r="G156" s="64">
        <f>IF($F156="","",INDEX('WORK PACKAGES'!$B$2:$B$47,MATCH($F156,'WORK PACKAGES'!$D$2:$D$47,0)))</f>
        <v/>
      </c>
      <c r="H156" s="78" t="n"/>
      <c r="I156" s="78" t="n"/>
      <c r="J156" s="78" t="n"/>
      <c r="K156" s="82" t="n"/>
      <c r="L156" s="79" t="n"/>
      <c r="M156" s="78" t="n"/>
      <c r="N156" s="79" t="n"/>
      <c r="P156" s="63">
        <f>IF(O156="","",IF(O156="Open",TODAY()-L156,"--"))</f>
        <v/>
      </c>
      <c r="Q156" s="63">
        <f>IF(O156="","",IF(O156="Closed",N156-L156,"--"))</f>
        <v/>
      </c>
    </row>
    <row r="157" ht="15" customHeight="1" s="130">
      <c r="B157" s="64">
        <f>IF(C157="","",B156+1)</f>
        <v/>
      </c>
      <c r="C157" s="77" t="n"/>
      <c r="D157" s="65" t="n"/>
      <c r="E157" s="82" t="n"/>
      <c r="F157" s="77" t="n"/>
      <c r="G157" s="64">
        <f>IF($F157="","",INDEX('WORK PACKAGES'!$B$2:$B$47,MATCH($F157,'WORK PACKAGES'!$D$2:$D$47,0)))</f>
        <v/>
      </c>
      <c r="H157" s="78" t="n"/>
      <c r="I157" s="78" t="n"/>
      <c r="J157" s="78" t="n"/>
      <c r="K157" s="82" t="n"/>
      <c r="L157" s="79" t="n"/>
      <c r="M157" s="78" t="n"/>
      <c r="N157" s="79" t="n"/>
      <c r="P157" s="63">
        <f>IF(O157="","",IF(O157="Open",TODAY()-L157,"--"))</f>
        <v/>
      </c>
      <c r="Q157" s="63">
        <f>IF(O157="","",IF(O157="Closed",N157-L157,"--"))</f>
        <v/>
      </c>
    </row>
    <row r="158" ht="15" customHeight="1" s="130">
      <c r="B158" s="64">
        <f>IF(C158="","",B157+1)</f>
        <v/>
      </c>
      <c r="C158" s="77" t="n"/>
      <c r="D158" s="77" t="n"/>
      <c r="E158" s="82" t="n"/>
      <c r="F158" s="77" t="n"/>
      <c r="G158" s="64">
        <f>IF($F158="","",INDEX('WORK PACKAGES'!$B$2:$B$47,MATCH($F158,'WORK PACKAGES'!$D$2:$D$47,0)))</f>
        <v/>
      </c>
      <c r="H158" s="78" t="n"/>
      <c r="I158" s="78" t="n"/>
      <c r="J158" s="78" t="n"/>
      <c r="K158" s="82" t="n"/>
      <c r="L158" s="79" t="n"/>
      <c r="M158" s="67" t="n"/>
      <c r="N158" s="79" t="n"/>
      <c r="P158" s="63">
        <f>IF(O158="","",IF(O158="Open",TODAY()-L158,"--"))</f>
        <v/>
      </c>
      <c r="Q158" s="63">
        <f>IF(O158="","",IF(O158="Closed",N158-L158,"--"))</f>
        <v/>
      </c>
    </row>
    <row r="159" ht="15" customHeight="1" s="130">
      <c r="B159" s="64">
        <f>IF(C159="","",B158+1)</f>
        <v/>
      </c>
      <c r="C159" s="77" t="n"/>
      <c r="D159" s="77" t="n"/>
      <c r="E159" s="82" t="n"/>
      <c r="F159" s="77" t="n"/>
      <c r="G159" s="64">
        <f>IF($F159="","",INDEX('WORK PACKAGES'!$B$2:$B$47,MATCH($F159,'WORK PACKAGES'!$D$2:$D$47,0)))</f>
        <v/>
      </c>
      <c r="H159" s="78" t="n"/>
      <c r="I159" s="78" t="n"/>
      <c r="J159" s="78" t="n"/>
      <c r="K159" s="66" t="n"/>
      <c r="L159" s="79" t="n"/>
      <c r="M159" s="78" t="n"/>
      <c r="N159" s="79" t="n"/>
      <c r="P159" s="63">
        <f>IF(O159="","",IF(O159="Open",TODAY()-L159,"--"))</f>
        <v/>
      </c>
      <c r="Q159" s="63">
        <f>IF(O159="","",IF(O159="Closed",N159-L159,"--"))</f>
        <v/>
      </c>
    </row>
    <row r="160" ht="15" customHeight="1" s="130">
      <c r="B160" s="64">
        <f>IF(C160="","",B159+1)</f>
        <v/>
      </c>
      <c r="C160" s="77" t="n"/>
      <c r="D160" s="77" t="n"/>
      <c r="E160" s="82" t="n"/>
      <c r="F160" s="77" t="n"/>
      <c r="G160" s="64">
        <f>IF($F160="","",INDEX('WORK PACKAGES'!$B$2:$B$47,MATCH($F160,'WORK PACKAGES'!$D$2:$D$47,0)))</f>
        <v/>
      </c>
      <c r="H160" s="78" t="n"/>
      <c r="I160" s="78" t="n"/>
      <c r="J160" s="78" t="n"/>
      <c r="K160" s="66" t="n"/>
      <c r="L160" s="79" t="n"/>
      <c r="M160" s="78" t="n"/>
      <c r="N160" s="79" t="n"/>
      <c r="P160" s="63">
        <f>IF(O160="","",IF(O160="Open",TODAY()-L160,"--"))</f>
        <v/>
      </c>
      <c r="Q160" s="63">
        <f>IF(O160="","",IF(O160="Closed",N160-L160,"--"))</f>
        <v/>
      </c>
    </row>
    <row r="161" ht="15" customHeight="1" s="130">
      <c r="B161" s="64">
        <f>IF(C161="","",B160+1)</f>
        <v/>
      </c>
      <c r="C161" s="77" t="n"/>
      <c r="D161" s="77" t="n"/>
      <c r="E161" s="82" t="n"/>
      <c r="F161" s="77" t="n"/>
      <c r="G161" s="64">
        <f>IF($F161="","",INDEX('WORK PACKAGES'!$B$2:$B$47,MATCH($F161,'WORK PACKAGES'!$D$2:$D$47,0)))</f>
        <v/>
      </c>
      <c r="H161" s="78" t="n"/>
      <c r="I161" s="78" t="n"/>
      <c r="J161" s="78" t="n"/>
      <c r="K161" s="66" t="n"/>
      <c r="L161" s="79" t="n"/>
      <c r="M161" s="78" t="n"/>
      <c r="N161" s="79" t="n"/>
      <c r="P161" s="63">
        <f>IF(O161="","",IF(O161="Open",TODAY()-L161,"--"))</f>
        <v/>
      </c>
      <c r="Q161" s="63">
        <f>IF(O161="","",IF(O161="Closed",N161-L161,"--"))</f>
        <v/>
      </c>
    </row>
    <row r="162" ht="15" customHeight="1" s="130">
      <c r="B162" s="64">
        <f>IF(C162="","",B161+1)</f>
        <v/>
      </c>
      <c r="C162" s="77" t="n"/>
      <c r="D162" s="77" t="n"/>
      <c r="E162" s="82" t="n"/>
      <c r="F162" s="77" t="n"/>
      <c r="G162" s="64">
        <f>IF($F162="","",INDEX('WORK PACKAGES'!$B$2:$B$47,MATCH($F162,'WORK PACKAGES'!$D$2:$D$47,0)))</f>
        <v/>
      </c>
      <c r="H162" s="78" t="n"/>
      <c r="I162" s="78" t="n"/>
      <c r="J162" s="78" t="n"/>
      <c r="K162" s="66" t="n"/>
      <c r="L162" s="79" t="n"/>
      <c r="M162" s="78" t="n"/>
      <c r="N162" s="79" t="n"/>
      <c r="P162" s="63">
        <f>IF(O162="","",IF(O162="Open",TODAY()-L162,"--"))</f>
        <v/>
      </c>
      <c r="Q162" s="63">
        <f>IF(O162="","",IF(O162="Closed",N162-L162,"--"))</f>
        <v/>
      </c>
    </row>
    <row r="163" ht="15" customHeight="1" s="130">
      <c r="B163" s="64">
        <f>IF(C163="","",B162+1)</f>
        <v/>
      </c>
      <c r="C163" s="77" t="n"/>
      <c r="D163" s="65" t="n"/>
      <c r="E163" s="82" t="n"/>
      <c r="F163" s="77" t="n"/>
      <c r="G163" s="64">
        <f>IF($F163="","",INDEX('WORK PACKAGES'!$B$2:$B$47,MATCH($F163,'WORK PACKAGES'!$D$2:$D$47,0)))</f>
        <v/>
      </c>
      <c r="H163" s="78" t="n"/>
      <c r="I163" s="78" t="n"/>
      <c r="J163" s="78" t="n"/>
      <c r="K163" s="66" t="n"/>
      <c r="L163" s="79" t="n"/>
      <c r="M163" s="67" t="n"/>
      <c r="N163" s="79" t="n"/>
      <c r="P163" s="63">
        <f>IF(O163="","",IF(O163="Open",TODAY()-L163,"--"))</f>
        <v/>
      </c>
      <c r="Q163" s="63">
        <f>IF(O163="","",IF(O163="Closed",N163-L163,"--"))</f>
        <v/>
      </c>
    </row>
    <row r="164" ht="15" customHeight="1" s="130">
      <c r="B164" s="64">
        <f>IF(C164="","",B163+1)</f>
        <v/>
      </c>
      <c r="C164" s="77" t="n"/>
      <c r="D164" s="77" t="n"/>
      <c r="E164" s="66" t="n"/>
      <c r="F164" s="77" t="n"/>
      <c r="G164" s="64">
        <f>IF($F164="","",INDEX('WORK PACKAGES'!$B$2:$B$47,MATCH($F164,'WORK PACKAGES'!$D$2:$D$47,0)))</f>
        <v/>
      </c>
      <c r="H164" s="78" t="n"/>
      <c r="I164" s="78" t="n"/>
      <c r="J164" s="67" t="n"/>
      <c r="K164" s="66" t="n"/>
      <c r="L164" s="79" t="n"/>
      <c r="M164" s="67" t="n"/>
      <c r="N164" s="79" t="n"/>
      <c r="P164" s="63">
        <f>IF(O164="","",IF(O164="Open",TODAY()-L164,"--"))</f>
        <v/>
      </c>
      <c r="Q164" s="63">
        <f>IF(O164="","",IF(O164="Closed",N164-L164,"--"))</f>
        <v/>
      </c>
    </row>
    <row r="165" ht="15" customHeight="1" s="130">
      <c r="B165" s="64">
        <f>IF(C165="","",B164+1)</f>
        <v/>
      </c>
      <c r="C165" s="77" t="n"/>
      <c r="D165" s="77" t="n"/>
      <c r="E165" s="66" t="n"/>
      <c r="F165" s="77" t="n"/>
      <c r="G165" s="64">
        <f>IF($F165="","",INDEX('WORK PACKAGES'!$B$2:$B$47,MATCH($F165,'WORK PACKAGES'!$D$2:$D$47,0)))</f>
        <v/>
      </c>
      <c r="H165" s="78" t="n"/>
      <c r="I165" s="78" t="n"/>
      <c r="J165" s="67" t="n"/>
      <c r="K165" s="66" t="n"/>
      <c r="L165" s="79" t="n"/>
      <c r="M165" s="67" t="n"/>
      <c r="N165" s="79" t="n"/>
      <c r="P165" s="63">
        <f>IF(O165="","",IF(O165="Open",TODAY()-L165,"--"))</f>
        <v/>
      </c>
      <c r="Q165" s="63">
        <f>IF(O165="","",IF(O165="Closed",N165-L165,"--"))</f>
        <v/>
      </c>
    </row>
    <row r="166" ht="15" customHeight="1" s="130">
      <c r="B166" s="64">
        <f>IF(C166="","",B165+1)</f>
        <v/>
      </c>
      <c r="C166" s="77" t="n"/>
      <c r="D166" s="77" t="n"/>
      <c r="E166" s="66" t="n"/>
      <c r="F166" s="77" t="n"/>
      <c r="G166" s="64">
        <f>IF($F166="","",INDEX('WORK PACKAGES'!$B$2:$B$47,MATCH($F166,'WORK PACKAGES'!$D$2:$D$47,0)))</f>
        <v/>
      </c>
      <c r="H166" s="78" t="n"/>
      <c r="I166" s="78" t="n"/>
      <c r="J166" s="67" t="n"/>
      <c r="K166" s="66" t="n"/>
      <c r="L166" s="79" t="n"/>
      <c r="M166" s="67" t="n"/>
      <c r="N166" s="79" t="n"/>
      <c r="P166" s="63">
        <f>IF(O166="","",IF(O166="Open",TODAY()-L166,"--"))</f>
        <v/>
      </c>
      <c r="Q166" s="63">
        <f>IF(O166="","",IF(O166="Closed",N166-L166,"--"))</f>
        <v/>
      </c>
    </row>
    <row r="167" ht="15" customHeight="1" s="130">
      <c r="B167" s="64">
        <f>IF(C167="","",B166+1)</f>
        <v/>
      </c>
      <c r="C167" s="77" t="n"/>
      <c r="D167" s="77" t="n"/>
      <c r="E167" s="66" t="n"/>
      <c r="F167" s="77" t="n"/>
      <c r="G167" s="64">
        <f>IF($F167="","",INDEX('WORK PACKAGES'!$B$2:$B$47,MATCH($F167,'WORK PACKAGES'!$D$2:$D$47,0)))</f>
        <v/>
      </c>
      <c r="H167" s="78" t="n"/>
      <c r="I167" s="78" t="n"/>
      <c r="J167" s="67" t="n"/>
      <c r="K167" s="66" t="n"/>
      <c r="L167" s="79" t="n"/>
      <c r="M167" s="78" t="n"/>
      <c r="N167" s="79" t="n"/>
      <c r="P167" s="63">
        <f>IF(O167="","",IF(O167="Open",TODAY()-L167,"--"))</f>
        <v/>
      </c>
      <c r="Q167" s="63">
        <f>IF(O167="","",IF(O167="Closed",N167-L167,"--"))</f>
        <v/>
      </c>
    </row>
    <row r="168" ht="15" customHeight="1" s="130">
      <c r="B168" s="64">
        <f>IF(C168="","",B167+1)</f>
        <v/>
      </c>
      <c r="C168" s="77" t="n"/>
      <c r="D168" s="77" t="n"/>
      <c r="E168" s="66" t="n"/>
      <c r="F168" s="77" t="n"/>
      <c r="G168" s="64">
        <f>IF($F168="","",INDEX('WORK PACKAGES'!$B$2:$B$47,MATCH($F168,'WORK PACKAGES'!$D$2:$D$47,0)))</f>
        <v/>
      </c>
      <c r="H168" s="78" t="n"/>
      <c r="I168" s="78" t="n"/>
      <c r="J168" s="78" t="n"/>
      <c r="K168" s="82" t="n"/>
      <c r="L168" s="79" t="n"/>
      <c r="M168" s="67" t="n"/>
      <c r="N168" s="79" t="n"/>
      <c r="P168" s="63">
        <f>IF(O168="","",IF(O168="Open",TODAY()-L168,"--"))</f>
        <v/>
      </c>
      <c r="Q168" s="63">
        <f>IF(O168="","",IF(O168="Closed",N168-L168,"--"))</f>
        <v/>
      </c>
    </row>
    <row r="169" ht="15" customHeight="1" s="130">
      <c r="B169" s="64">
        <f>IF(C169="","",B168+1)</f>
        <v/>
      </c>
      <c r="C169" s="77" t="n"/>
      <c r="D169" s="77" t="n"/>
      <c r="E169" s="66" t="n"/>
      <c r="F169" s="77" t="n"/>
      <c r="G169" s="64">
        <f>IF($F169="","",INDEX('WORK PACKAGES'!$B$2:$B$47,MATCH($F169,'WORK PACKAGES'!$D$2:$D$47,0)))</f>
        <v/>
      </c>
      <c r="H169" s="78" t="n"/>
      <c r="I169" s="78" t="n"/>
      <c r="J169" s="78" t="n"/>
      <c r="K169" s="82" t="n"/>
      <c r="L169" s="79" t="n"/>
      <c r="M169" s="67" t="n"/>
      <c r="N169" s="79" t="n"/>
      <c r="P169" s="63">
        <f>IF(O169="","",IF(O169="Open",TODAY()-L169,"--"))</f>
        <v/>
      </c>
      <c r="Q169" s="63">
        <f>IF(O169="","",IF(O169="Closed",N169-L169,"--"))</f>
        <v/>
      </c>
    </row>
    <row r="170" ht="15" customHeight="1" s="130">
      <c r="B170" s="64">
        <f>IF(C170="","",B169+1)</f>
        <v/>
      </c>
      <c r="C170" s="77" t="n"/>
      <c r="D170" s="77" t="n"/>
      <c r="E170" s="82" t="n"/>
      <c r="F170" s="77" t="n"/>
      <c r="G170" s="64">
        <f>IF($F170="","",INDEX('WORK PACKAGES'!$B$2:$B$47,MATCH($F170,'WORK PACKAGES'!$D$2:$D$47,0)))</f>
        <v/>
      </c>
      <c r="H170" s="78" t="n"/>
      <c r="I170" s="78" t="n"/>
      <c r="J170" s="67" t="n"/>
      <c r="K170" s="66" t="n"/>
      <c r="L170" s="79" t="n"/>
      <c r="M170" s="67" t="n"/>
      <c r="N170" s="79" t="n"/>
      <c r="P170" s="63">
        <f>IF(O170="","",IF(O170="Open",TODAY()-L170,"--"))</f>
        <v/>
      </c>
      <c r="Q170" s="63">
        <f>IF(O170="","",IF(O170="Closed",N170-L170,"--"))</f>
        <v/>
      </c>
    </row>
    <row r="171" ht="15" customHeight="1" s="130">
      <c r="B171" s="64">
        <f>IF(C171="","",B170+1)</f>
        <v/>
      </c>
      <c r="C171" s="77" t="n"/>
      <c r="D171" s="77" t="n"/>
      <c r="E171" s="82" t="n"/>
      <c r="F171" s="77" t="n"/>
      <c r="G171" s="64">
        <f>IF($F171="","",INDEX('WORK PACKAGES'!$B$2:$B$47,MATCH($F171,'WORK PACKAGES'!$D$2:$D$47,0)))</f>
        <v/>
      </c>
      <c r="H171" s="78" t="n"/>
      <c r="I171" s="78" t="n"/>
      <c r="J171" s="67" t="n"/>
      <c r="K171" s="66" t="n"/>
      <c r="L171" s="79" t="n"/>
      <c r="M171" s="79" t="n"/>
      <c r="N171" s="79" t="n"/>
      <c r="P171" s="63">
        <f>IF(O171="","",IF(O171="Open",TODAY()-L171,"--"))</f>
        <v/>
      </c>
      <c r="Q171" s="63">
        <f>IF(O171="","",IF(O171="Closed",N171-L171,"--"))</f>
        <v/>
      </c>
    </row>
    <row r="172" ht="15" customHeight="1" s="130">
      <c r="B172" s="64">
        <f>IF(C172="","",B171+1)</f>
        <v/>
      </c>
      <c r="C172" s="77" t="n"/>
      <c r="D172" s="77" t="n"/>
      <c r="E172" s="82" t="n"/>
      <c r="F172" s="77" t="n"/>
      <c r="G172" s="64">
        <f>IF($F172="","",INDEX('WORK PACKAGES'!$B$2:$B$47,MATCH($F172,'WORK PACKAGES'!$D$2:$D$47,0)))</f>
        <v/>
      </c>
      <c r="H172" s="78" t="n"/>
      <c r="I172" s="78" t="n"/>
      <c r="J172" s="78" t="n"/>
      <c r="K172" s="66" t="n"/>
      <c r="L172" s="79" t="n"/>
      <c r="M172" s="67" t="n"/>
      <c r="N172" s="79" t="n"/>
      <c r="P172" s="63">
        <f>IF(O172="","",IF(O172="Open",TODAY()-L172,"--"))</f>
        <v/>
      </c>
      <c r="Q172" s="63">
        <f>IF(O172="","",IF(O172="Closed",N172-L172,"--"))</f>
        <v/>
      </c>
    </row>
    <row r="173" ht="15" customHeight="1" s="130">
      <c r="B173" s="64">
        <f>IF(C173="","",B172+1)</f>
        <v/>
      </c>
      <c r="C173" s="77" t="n"/>
      <c r="D173" s="77" t="n"/>
      <c r="E173" s="82" t="n"/>
      <c r="F173" s="77" t="n"/>
      <c r="G173" s="64">
        <f>IF($F173="","",INDEX('WORK PACKAGES'!$B$2:$B$47,MATCH($F173,'WORK PACKAGES'!$D$2:$D$47,0)))</f>
        <v/>
      </c>
      <c r="H173" s="78" t="n"/>
      <c r="I173" s="78" t="n"/>
      <c r="J173" s="78" t="n"/>
      <c r="K173" s="66" t="n"/>
      <c r="L173" s="79" t="n"/>
      <c r="M173" s="67" t="n"/>
      <c r="N173" s="79" t="n"/>
      <c r="P173" s="63">
        <f>IF(O173="","",IF(O173="Open",TODAY()-L173,"--"))</f>
        <v/>
      </c>
      <c r="Q173" s="63">
        <f>IF(O173="","",IF(O173="Closed",N173-L173,"--"))</f>
        <v/>
      </c>
    </row>
    <row r="174" ht="15" customHeight="1" s="130">
      <c r="B174" s="64">
        <f>IF(C174="","",B173+1)</f>
        <v/>
      </c>
      <c r="C174" s="65" t="n"/>
      <c r="D174" s="77" t="n"/>
      <c r="E174" s="82" t="n"/>
      <c r="F174" s="77" t="n"/>
      <c r="G174" s="64">
        <f>IF($F174="","",INDEX('WORK PACKAGES'!$B$2:$B$47,MATCH($F174,'WORK PACKAGES'!$D$2:$D$47,0)))</f>
        <v/>
      </c>
      <c r="H174" s="78" t="n"/>
      <c r="I174" s="78" t="n"/>
      <c r="J174" s="78" t="n"/>
      <c r="K174" s="66" t="n"/>
      <c r="L174" s="79" t="n"/>
      <c r="M174" s="67" t="n"/>
      <c r="N174" s="79" t="n"/>
      <c r="P174" s="63">
        <f>IF(O174="","",IF(O174="Open",TODAY()-L174,"--"))</f>
        <v/>
      </c>
      <c r="Q174" s="63">
        <f>IF(O174="","",IF(O174="Closed",N174-L174,"--"))</f>
        <v/>
      </c>
    </row>
    <row r="175" ht="15" customHeight="1" s="130">
      <c r="B175" s="64">
        <f>IF(C175="","",B174+1)</f>
        <v/>
      </c>
      <c r="C175" s="77" t="n"/>
      <c r="D175" s="65" t="n"/>
      <c r="E175" s="66" t="n"/>
      <c r="F175" s="77" t="n"/>
      <c r="G175" s="64">
        <f>IF($F175="","",INDEX('WORK PACKAGES'!$B$2:$B$47,MATCH($F175,'WORK PACKAGES'!$D$2:$D$47,0)))</f>
        <v/>
      </c>
      <c r="H175" s="78" t="n"/>
      <c r="I175" s="78" t="n"/>
      <c r="J175" s="78" t="n"/>
      <c r="K175" s="66" t="n"/>
      <c r="L175" s="79" t="n"/>
      <c r="M175" s="78" t="n"/>
      <c r="N175" s="79" t="n"/>
      <c r="P175" s="63">
        <f>IF(O175="","",IF(O175="Open",TODAY()-L175,"--"))</f>
        <v/>
      </c>
      <c r="Q175" s="63">
        <f>IF(O175="","",IF(O175="Closed",N175-L175,"--"))</f>
        <v/>
      </c>
    </row>
    <row r="176" ht="15" customHeight="1" s="130">
      <c r="B176" s="64">
        <f>IF(C176="","",B175+1)</f>
        <v/>
      </c>
      <c r="C176" s="77" t="n"/>
      <c r="D176" s="77" t="n"/>
      <c r="E176" s="82" t="n"/>
      <c r="F176" s="77" t="n"/>
      <c r="G176" s="64">
        <f>IF($F176="","",INDEX('WORK PACKAGES'!$B$2:$B$47,MATCH($F176,'WORK PACKAGES'!$D$2:$D$47,0)))</f>
        <v/>
      </c>
      <c r="H176" s="78" t="n"/>
      <c r="I176" s="78" t="n"/>
      <c r="J176" s="78" t="n"/>
      <c r="K176" s="66" t="n"/>
      <c r="L176" s="79" t="n"/>
      <c r="M176" s="67" t="n"/>
      <c r="N176" s="79" t="n"/>
      <c r="P176" s="63">
        <f>IF(O176="","",IF(O176="Open",TODAY()-L176,"--"))</f>
        <v/>
      </c>
      <c r="Q176" s="63">
        <f>IF(O176="","",IF(O176="Closed",N176-L176,"--"))</f>
        <v/>
      </c>
    </row>
    <row r="177" ht="15" customHeight="1" s="130">
      <c r="B177" s="64">
        <f>IF(C177="","",B176+1)</f>
        <v/>
      </c>
      <c r="C177" s="77" t="n"/>
      <c r="D177" s="77" t="n"/>
      <c r="E177" s="82" t="n"/>
      <c r="F177" s="77" t="n"/>
      <c r="G177" s="64" t="n"/>
      <c r="H177" s="78" t="n"/>
      <c r="I177" s="78" t="n"/>
      <c r="J177" s="67" t="n"/>
      <c r="K177" s="66" t="n"/>
      <c r="L177" s="79" t="n"/>
      <c r="M177" s="78" t="n"/>
      <c r="N177" s="79" t="n"/>
      <c r="P177" s="63">
        <f>IF(O177="","",IF(O177="Open",TODAY()-L177,"--"))</f>
        <v/>
      </c>
      <c r="Q177" s="63">
        <f>IF(O177="","",IF(O177="Closed",N177-L177,"--"))</f>
        <v/>
      </c>
    </row>
    <row r="178" ht="15" customHeight="1" s="130">
      <c r="B178" s="64">
        <f>IF(C178="","",B177+1)</f>
        <v/>
      </c>
      <c r="C178" s="77" t="n"/>
      <c r="D178" s="77" t="n"/>
      <c r="E178" s="82" t="n"/>
      <c r="F178" s="77" t="n"/>
      <c r="G178" s="64" t="n"/>
      <c r="H178" s="78" t="n"/>
      <c r="I178" s="78" t="n"/>
      <c r="J178" s="78" t="n"/>
      <c r="K178" s="82" t="n"/>
      <c r="L178" s="79" t="n"/>
      <c r="M178" s="78" t="n"/>
      <c r="N178" s="79" t="n"/>
      <c r="P178" s="63">
        <f>IF(O178="","",IF(O178="Open",TODAY()-L178,"--"))</f>
        <v/>
      </c>
      <c r="Q178" s="63">
        <f>IF(O178="","",IF(O178="Closed",N178-L178,"--"))</f>
        <v/>
      </c>
    </row>
    <row r="179" ht="15" customHeight="1" s="130">
      <c r="B179" s="64">
        <f>IF(C179="","",B178+1)</f>
        <v/>
      </c>
      <c r="C179" s="77" t="n"/>
      <c r="D179" s="77" t="n"/>
      <c r="E179" s="82" t="n"/>
      <c r="F179" s="77" t="n"/>
      <c r="G179" s="64" t="n"/>
      <c r="H179" s="78" t="n"/>
      <c r="I179" s="78" t="n"/>
      <c r="J179" s="78" t="n"/>
      <c r="K179" s="82" t="n"/>
      <c r="L179" s="79" t="n"/>
      <c r="M179" s="78" t="n"/>
      <c r="N179" s="79" t="n"/>
      <c r="P179" s="63">
        <f>IF(O179="","",IF(O179="Open",TODAY()-L179,"--"))</f>
        <v/>
      </c>
      <c r="Q179" s="63">
        <f>IF(O179="","",IF(O179="Closed",N179-L179,"--"))</f>
        <v/>
      </c>
    </row>
    <row r="180" ht="15" customHeight="1" s="130">
      <c r="B180" s="64">
        <f>IF(C180="","",B179+1)</f>
        <v/>
      </c>
      <c r="C180" s="77" t="n"/>
      <c r="D180" s="77" t="n"/>
      <c r="E180" s="82" t="n"/>
      <c r="F180" s="77" t="n"/>
      <c r="G180" s="64" t="n"/>
      <c r="H180" s="78" t="n"/>
      <c r="I180" s="78" t="n"/>
      <c r="J180" s="78" t="n"/>
      <c r="K180" s="82" t="n"/>
      <c r="L180" s="79" t="n"/>
      <c r="M180" s="78" t="n"/>
      <c r="N180" s="79" t="n"/>
      <c r="P180" s="63">
        <f>IF(O180="","",IF(O180="Open",TODAY()-L180,"--"))</f>
        <v/>
      </c>
      <c r="Q180" s="63">
        <f>IF(O180="","",IF(O180="Closed",N180-L180,"--"))</f>
        <v/>
      </c>
    </row>
    <row r="181" ht="15" customHeight="1" s="130">
      <c r="B181" s="64">
        <f>IF(C181="","",B180+1)</f>
        <v/>
      </c>
      <c r="C181" s="77" t="n"/>
      <c r="D181" s="65" t="n"/>
      <c r="E181" s="82" t="n"/>
      <c r="F181" s="77" t="n"/>
      <c r="G181" s="64" t="n"/>
      <c r="H181" s="78" t="n"/>
      <c r="I181" s="78" t="n"/>
      <c r="J181" s="78" t="n"/>
      <c r="K181" s="82" t="n"/>
      <c r="L181" s="79" t="n"/>
      <c r="M181" s="89" t="n"/>
      <c r="N181" s="79" t="n"/>
      <c r="P181" s="63">
        <f>IF(O181="","",IF(O181="Open",TODAY()-L181,"--"))</f>
        <v/>
      </c>
      <c r="Q181" s="63">
        <f>IF(O181="","",IF(O181="Closed",N181-L181,"--"))</f>
        <v/>
      </c>
    </row>
    <row r="182" ht="15" customHeight="1" s="130">
      <c r="B182" s="64">
        <f>IF(C182="","",B181+1)</f>
        <v/>
      </c>
      <c r="C182" s="77" t="n"/>
      <c r="D182" s="77" t="n"/>
      <c r="E182" s="82" t="n"/>
      <c r="F182" s="77" t="n"/>
      <c r="G182" s="64" t="n"/>
      <c r="H182" s="78" t="n"/>
      <c r="I182" s="78" t="n"/>
      <c r="J182" s="78" t="n"/>
      <c r="K182" s="82" t="n"/>
      <c r="L182" s="79" t="n"/>
      <c r="M182" s="78" t="n"/>
      <c r="N182" s="79" t="n"/>
      <c r="P182" s="63">
        <f>IF(O182="","",IF(O182="Open",TODAY()-L182,"--"))</f>
        <v/>
      </c>
      <c r="Q182" s="63">
        <f>IF(O182="","",IF(O182="Closed",N182-L182,"--"))</f>
        <v/>
      </c>
    </row>
    <row r="183" ht="15" customHeight="1" s="130">
      <c r="B183" s="64">
        <f>IF(C183="","",B182+1)</f>
        <v/>
      </c>
      <c r="C183" s="90" t="n"/>
      <c r="D183" s="77" t="n"/>
      <c r="E183" s="82" t="n"/>
      <c r="F183" s="77" t="n"/>
      <c r="G183" s="64" t="n"/>
      <c r="H183" s="78" t="n"/>
      <c r="I183" s="78" t="n"/>
      <c r="J183" s="81" t="n"/>
      <c r="K183" s="91" t="n"/>
      <c r="L183" s="79" t="n"/>
      <c r="M183" s="78" t="n"/>
      <c r="N183" s="79" t="n"/>
      <c r="P183" s="63">
        <f>IF(O183="","",IF(O183="Open",TODAY()-L183,"--"))</f>
        <v/>
      </c>
      <c r="Q183" s="63">
        <f>IF(O183="","",IF(O183="Closed",N183-L183,"--"))</f>
        <v/>
      </c>
    </row>
    <row r="184" ht="15" customHeight="1" s="130">
      <c r="B184" s="64">
        <f>IF(C184="","",B183+1)</f>
        <v/>
      </c>
      <c r="C184" s="65" t="n"/>
      <c r="D184" s="77" t="n"/>
      <c r="E184" s="82" t="n"/>
      <c r="F184" s="77" t="n"/>
      <c r="G184" s="64" t="n"/>
      <c r="H184" s="78" t="n"/>
      <c r="I184" s="78" t="n"/>
      <c r="J184" s="78" t="n"/>
      <c r="K184" s="66" t="n"/>
      <c r="L184" s="79" t="n"/>
      <c r="M184" s="78" t="n"/>
      <c r="N184" s="79" t="n"/>
      <c r="P184" s="63">
        <f>IF(O184="","",IF(O184="Open",TODAY()-L184,"--"))</f>
        <v/>
      </c>
      <c r="Q184" s="63">
        <f>IF(O184="","",IF(O184="Closed",N184-L184,"--"))</f>
        <v/>
      </c>
    </row>
    <row r="185" ht="15" customHeight="1" s="130">
      <c r="B185" s="64">
        <f>IF(C185="","",B184+1)</f>
        <v/>
      </c>
      <c r="C185" s="77" t="n"/>
      <c r="D185" s="65" t="n"/>
      <c r="E185" s="66" t="n"/>
      <c r="F185" s="77" t="n"/>
      <c r="G185" s="64" t="n"/>
      <c r="H185" s="78" t="n"/>
      <c r="I185" s="78" t="n"/>
      <c r="J185" s="78" t="n"/>
      <c r="K185" s="66" t="n"/>
      <c r="L185" s="79" t="n"/>
      <c r="M185" s="78" t="n"/>
      <c r="N185" s="79" t="n"/>
      <c r="P185" s="63">
        <f>IF(O185="","",IF(O185="Open",TODAY()-L185,"--"))</f>
        <v/>
      </c>
      <c r="Q185" s="63">
        <f>IF(O185="","",IF(O185="Closed",N185-L185,"--"))</f>
        <v/>
      </c>
    </row>
    <row r="186" ht="15" customHeight="1" s="130">
      <c r="B186" s="64">
        <f>IF(C186="","",B185+1)</f>
        <v/>
      </c>
      <c r="C186" s="65" t="n"/>
      <c r="D186" s="65" t="n"/>
      <c r="E186" s="66" t="n"/>
      <c r="F186" s="77" t="n"/>
      <c r="G186" s="64" t="n"/>
      <c r="H186" s="67" t="n"/>
      <c r="I186" s="78" t="n"/>
      <c r="J186" s="78" t="n"/>
      <c r="K186" s="66" t="n"/>
      <c r="L186" s="79" t="n"/>
      <c r="M186" s="67" t="n"/>
      <c r="N186" s="79" t="n"/>
      <c r="P186" s="63">
        <f>IF(O186="","",IF(O186="Open",TODAY()-L186,"--"))</f>
        <v/>
      </c>
      <c r="Q186" s="63">
        <f>IF(O186="","",IF(O186="Closed",N186-L186,"--"))</f>
        <v/>
      </c>
    </row>
    <row r="187" ht="15" customHeight="1" s="130">
      <c r="B187" s="64">
        <f>IF(C187="","",B186+1)</f>
        <v/>
      </c>
      <c r="C187" s="65" t="n"/>
      <c r="D187" s="65" t="n"/>
      <c r="E187" s="66" t="n"/>
      <c r="F187" s="77" t="n"/>
      <c r="G187" s="64" t="n"/>
      <c r="H187" s="67" t="n"/>
      <c r="I187" s="78" t="n"/>
      <c r="J187" s="78" t="n"/>
      <c r="K187" s="82" t="n"/>
      <c r="L187" s="79" t="n"/>
      <c r="M187" s="89" t="n"/>
      <c r="N187" s="79" t="n"/>
      <c r="P187" s="63">
        <f>IF(O187="","",IF(O187="Open",TODAY()-L187,"--"))</f>
        <v/>
      </c>
      <c r="Q187" s="63">
        <f>IF(O187="","",IF(O187="Closed",N187-L187,"--"))</f>
        <v/>
      </c>
    </row>
    <row r="188" ht="15" customHeight="1" s="130">
      <c r="B188" s="64">
        <f>IF(C188="","",B187+1)</f>
        <v/>
      </c>
      <c r="C188" s="65" t="n"/>
      <c r="D188" s="65" t="n"/>
      <c r="E188" s="66" t="n"/>
      <c r="F188" s="77" t="n"/>
      <c r="G188" s="64" t="n"/>
      <c r="H188" s="78" t="n"/>
      <c r="I188" s="78" t="n"/>
      <c r="J188" s="78" t="n"/>
      <c r="K188" s="66" t="n"/>
      <c r="L188" s="79" t="n"/>
      <c r="M188" s="78" t="n"/>
      <c r="N188" s="79" t="n"/>
      <c r="P188" s="63">
        <f>IF(O188="","",IF(O188="Open",TODAY()-L188,"--"))</f>
        <v/>
      </c>
      <c r="Q188" s="63">
        <f>IF(O188="","",IF(O188="Closed",N188-L188,"--"))</f>
        <v/>
      </c>
    </row>
    <row r="189" ht="15" customHeight="1" s="130">
      <c r="B189" s="64">
        <f>IF(C189="","",B188+1)</f>
        <v/>
      </c>
      <c r="C189" s="77" t="n"/>
      <c r="D189" s="77" t="n"/>
      <c r="E189" s="82" t="n"/>
      <c r="F189" s="77" t="n"/>
      <c r="G189" s="64" t="n"/>
      <c r="H189" s="78" t="n"/>
      <c r="I189" s="78" t="n"/>
      <c r="J189" s="78" t="n"/>
      <c r="K189" s="91" t="n"/>
      <c r="L189" s="79" t="n"/>
      <c r="M189" s="78" t="n"/>
      <c r="N189" s="79" t="n"/>
      <c r="P189" s="63">
        <f>IF(O189="","",IF(O189="Open",TODAY()-L189,"--"))</f>
        <v/>
      </c>
      <c r="Q189" s="63">
        <f>IF(O189="","",IF(O189="Closed",N189-L189,"--"))</f>
        <v/>
      </c>
    </row>
    <row r="190" ht="15" customHeight="1" s="130">
      <c r="B190" s="64">
        <f>IF(C190="","",B189+1)</f>
        <v/>
      </c>
      <c r="C190" s="77" t="n"/>
      <c r="D190" s="77" t="n"/>
      <c r="E190" s="82" t="n"/>
      <c r="F190" s="77" t="n"/>
      <c r="G190" s="64" t="n"/>
      <c r="H190" s="78" t="n"/>
      <c r="I190" s="78" t="n"/>
      <c r="J190" s="78" t="n"/>
      <c r="K190" s="66" t="n"/>
      <c r="L190" s="79" t="n"/>
      <c r="M190" s="78" t="n"/>
      <c r="N190" s="79" t="n"/>
      <c r="P190" s="63">
        <f>IF(O190="","",IF(O190="Open",TODAY()-L190,"--"))</f>
        <v/>
      </c>
      <c r="Q190" s="63">
        <f>IF(O190="","",IF(O190="Closed",N190-L190,"--"))</f>
        <v/>
      </c>
    </row>
    <row r="191" ht="15" customHeight="1" s="130">
      <c r="B191" s="64">
        <f>IF(C191="","",B190+1)</f>
        <v/>
      </c>
      <c r="C191" s="77" t="n"/>
      <c r="D191" s="77" t="n"/>
      <c r="E191" s="82" t="n"/>
      <c r="F191" s="77" t="n"/>
      <c r="G191" s="64" t="n"/>
      <c r="H191" s="78" t="n"/>
      <c r="I191" s="78" t="n"/>
      <c r="J191" s="78" t="n"/>
      <c r="K191" s="82" t="n"/>
      <c r="L191" s="79" t="n"/>
      <c r="M191" s="78" t="n"/>
      <c r="N191" s="79" t="n"/>
      <c r="P191" s="63">
        <f>IF(O191="","",IF(O191="Open",TODAY()-L191,"--"))</f>
        <v/>
      </c>
      <c r="Q191" s="63">
        <f>IF(O191="","",IF(O191="Closed",N191-L191,"--"))</f>
        <v/>
      </c>
    </row>
    <row r="192" ht="15" customHeight="1" s="130">
      <c r="B192" s="64">
        <f>IF(C192="","",B191+1)</f>
        <v/>
      </c>
      <c r="C192" s="77" t="n"/>
      <c r="D192" s="77" t="n"/>
      <c r="E192" s="82" t="n"/>
      <c r="F192" s="77" t="n"/>
      <c r="G192" s="64" t="n"/>
      <c r="H192" s="78" t="n"/>
      <c r="I192" s="78" t="n"/>
      <c r="J192" s="78" t="n"/>
      <c r="K192" s="82" t="n"/>
      <c r="L192" s="79" t="n"/>
      <c r="M192" s="78" t="n"/>
      <c r="N192" s="79" t="n"/>
      <c r="P192" s="63">
        <f>IF(O192="","",IF(O192="Open",TODAY()-L192,"--"))</f>
        <v/>
      </c>
      <c r="Q192" s="63">
        <f>IF(O192="","",IF(O192="Closed",N192-L192,"--"))</f>
        <v/>
      </c>
    </row>
    <row r="193" ht="15" customHeight="1" s="130">
      <c r="B193" s="64">
        <f>IF(C193="","",B192+1)</f>
        <v/>
      </c>
      <c r="C193" s="77" t="n"/>
      <c r="D193" s="77" t="n"/>
      <c r="E193" s="82" t="n"/>
      <c r="F193" s="77" t="n"/>
      <c r="G193" s="64" t="n"/>
      <c r="H193" s="78" t="n"/>
      <c r="I193" s="78" t="n"/>
      <c r="J193" s="78" t="n"/>
      <c r="K193" s="82" t="n"/>
      <c r="L193" s="79" t="n"/>
      <c r="M193" s="78" t="n"/>
      <c r="N193" s="79" t="n"/>
      <c r="P193" s="63">
        <f>IF(O193="","",IF(O193="Open",TODAY()-L193,"--"))</f>
        <v/>
      </c>
      <c r="Q193" s="63">
        <f>IF(O193="","",IF(O193="Closed",N193-L193,"--"))</f>
        <v/>
      </c>
    </row>
    <row r="194" ht="15" customHeight="1" s="130">
      <c r="B194" s="64">
        <f>IF(C194="","",B193+1)</f>
        <v/>
      </c>
      <c r="C194" s="77" t="n"/>
      <c r="D194" s="77" t="n"/>
      <c r="E194" s="82" t="n"/>
      <c r="F194" s="77" t="n"/>
      <c r="G194" s="64" t="n"/>
      <c r="H194" s="78" t="n"/>
      <c r="I194" s="78" t="n"/>
      <c r="J194" s="78" t="n"/>
      <c r="K194" s="82" t="n"/>
      <c r="L194" s="79" t="n"/>
      <c r="M194" s="78" t="n"/>
      <c r="N194" s="79" t="n"/>
      <c r="P194" s="63">
        <f>IF(O194="","",IF(O194="Open",TODAY()-L194,"--"))</f>
        <v/>
      </c>
      <c r="Q194" s="63">
        <f>IF(O194="","",IF(O194="Closed",N194-L194,"--"))</f>
        <v/>
      </c>
    </row>
    <row r="195" ht="15" customHeight="1" s="130">
      <c r="B195" s="64">
        <f>IF(C195="","",B194+1)</f>
        <v/>
      </c>
      <c r="C195" s="77" t="n"/>
      <c r="D195" s="77" t="n"/>
      <c r="E195" s="82" t="n"/>
      <c r="F195" s="77" t="n"/>
      <c r="G195" s="64" t="n"/>
      <c r="H195" s="78" t="n"/>
      <c r="I195" s="78" t="n"/>
      <c r="J195" s="78" t="n"/>
      <c r="K195" s="82" t="n"/>
      <c r="L195" s="79" t="n"/>
      <c r="M195" s="78" t="n"/>
      <c r="N195" s="79" t="n"/>
      <c r="P195" s="63">
        <f>IF(O195="","",IF(O195="Open",TODAY()-L195,"--"))</f>
        <v/>
      </c>
      <c r="Q195" s="63">
        <f>IF(O195="","",IF(O195="Closed",N195-L195,"--"))</f>
        <v/>
      </c>
    </row>
    <row r="196" ht="15" customHeight="1" s="130">
      <c r="B196" s="64">
        <f>IF(C196="","",B195+1)</f>
        <v/>
      </c>
      <c r="C196" s="77" t="n"/>
      <c r="D196" s="65" t="n"/>
      <c r="E196" s="82" t="n"/>
      <c r="F196" s="77" t="n"/>
      <c r="G196" s="64" t="n"/>
      <c r="H196" s="78" t="n"/>
      <c r="I196" s="78" t="n"/>
      <c r="J196" s="78" t="n"/>
      <c r="K196" s="82" t="n"/>
      <c r="L196" s="79" t="n"/>
      <c r="M196" s="78" t="n"/>
      <c r="N196" s="79" t="n"/>
      <c r="P196" s="63">
        <f>IF(O196="","",IF(O196="Open",TODAY()-L196,"--"))</f>
        <v/>
      </c>
      <c r="Q196" s="63">
        <f>IF(O196="","",IF(O196="Closed",N196-L196,"--"))</f>
        <v/>
      </c>
    </row>
    <row r="197" ht="15" customHeight="1" s="130">
      <c r="B197" s="64">
        <f>IF(C197="","",B196+1)</f>
        <v/>
      </c>
      <c r="C197" s="65" t="n"/>
      <c r="D197" s="77" t="n"/>
      <c r="E197" s="82" t="n"/>
      <c r="F197" s="77" t="n"/>
      <c r="G197" s="64" t="n"/>
      <c r="H197" s="78" t="n"/>
      <c r="I197" s="78" t="n"/>
      <c r="J197" s="78" t="n"/>
      <c r="K197" s="66" t="n"/>
      <c r="L197" s="79" t="n"/>
      <c r="M197" s="78" t="n"/>
      <c r="N197" s="79" t="n"/>
      <c r="P197" s="63">
        <f>IF(O197="","",IF(O197="Open",TODAY()-L197,"--"))</f>
        <v/>
      </c>
      <c r="Q197" s="63">
        <f>IF(O197="","",IF(O197="Closed",N197-L197,"--"))</f>
        <v/>
      </c>
    </row>
    <row r="198" ht="15" customHeight="1" s="130">
      <c r="B198" s="64">
        <f>IF(C198="","",B197+1)</f>
        <v/>
      </c>
      <c r="C198" s="65" t="n"/>
      <c r="D198" s="65" t="n"/>
      <c r="E198" s="82" t="n"/>
      <c r="F198" s="77" t="n"/>
      <c r="G198" s="64" t="n"/>
      <c r="H198" s="78" t="n"/>
      <c r="I198" s="78" t="n"/>
      <c r="J198" s="78" t="n"/>
      <c r="K198" s="66" t="n"/>
      <c r="L198" s="79" t="n"/>
      <c r="M198" s="78" t="n"/>
      <c r="N198" s="79" t="n"/>
      <c r="P198" s="63">
        <f>IF(O198="","",IF(O198="Open",TODAY()-L198,"--"))</f>
        <v/>
      </c>
      <c r="Q198" s="63">
        <f>IF(O198="","",IF(O198="Closed",N198-L198,"--"))</f>
        <v/>
      </c>
    </row>
    <row r="199" ht="15" customHeight="1" s="130">
      <c r="B199" s="64">
        <f>IF(C199="","",B198+1)</f>
        <v/>
      </c>
      <c r="C199" s="65" t="n"/>
      <c r="D199" s="65" t="n"/>
      <c r="E199" s="82" t="n"/>
      <c r="F199" s="77" t="n"/>
      <c r="G199" s="64" t="n"/>
      <c r="H199" s="78" t="n"/>
      <c r="I199" s="78" t="n"/>
      <c r="J199" s="78" t="n"/>
      <c r="K199" s="66" t="n"/>
      <c r="L199" s="79" t="n"/>
      <c r="M199" s="78" t="n"/>
      <c r="N199" s="79" t="n"/>
      <c r="P199" s="63">
        <f>IF(O199="","",IF(O199="Open",TODAY()-L199,"--"))</f>
        <v/>
      </c>
      <c r="Q199" s="63">
        <f>IF(O199="","",IF(O199="Closed",N199-L199,"--"))</f>
        <v/>
      </c>
    </row>
    <row r="200" ht="15" customHeight="1" s="130">
      <c r="B200" s="64">
        <f>IF(C200="","",B199+1)</f>
        <v/>
      </c>
      <c r="C200" s="65" t="n"/>
      <c r="D200" s="65" t="n"/>
      <c r="E200" s="82" t="n"/>
      <c r="F200" s="77" t="n"/>
      <c r="G200" s="64" t="n"/>
      <c r="H200" s="78" t="n"/>
      <c r="I200" s="78" t="n"/>
      <c r="J200" s="78" t="n"/>
      <c r="K200" s="66" t="n"/>
      <c r="L200" s="79" t="n"/>
      <c r="M200" s="78" t="n"/>
      <c r="N200" s="79" t="n"/>
      <c r="P200" s="63">
        <f>IF(O200="","",IF(O200="Open",TODAY()-L200,"--"))</f>
        <v/>
      </c>
      <c r="Q200" s="63">
        <f>IF(O200="","",IF(O200="Closed",N200-L200,"--"))</f>
        <v/>
      </c>
    </row>
    <row r="201" ht="15" customHeight="1" s="130">
      <c r="B201" s="64">
        <f>IF(C201="","",B200+1)</f>
        <v/>
      </c>
      <c r="C201" s="65" t="n"/>
      <c r="D201" s="77" t="n"/>
      <c r="E201" s="82" t="n"/>
      <c r="F201" s="77" t="n"/>
      <c r="G201" s="64" t="n"/>
      <c r="H201" s="78" t="n"/>
      <c r="I201" s="78" t="n"/>
      <c r="J201" s="78" t="n"/>
      <c r="K201" s="66" t="n"/>
      <c r="L201" s="79" t="n"/>
      <c r="M201" s="78" t="n"/>
      <c r="N201" s="79" t="n"/>
      <c r="P201" s="63">
        <f>IF(O201="","",IF(O201="Open",TODAY()-L201,"--"))</f>
        <v/>
      </c>
      <c r="Q201" s="63">
        <f>IF(O201="","",IF(O201="Closed",N201-L201,"--"))</f>
        <v/>
      </c>
    </row>
    <row r="202" ht="15" customHeight="1" s="130">
      <c r="B202" s="64" t="n"/>
      <c r="C202" s="65" t="n"/>
      <c r="D202" s="65" t="n"/>
      <c r="E202" s="82" t="n"/>
      <c r="F202" s="77" t="n"/>
      <c r="G202" s="64" t="n"/>
      <c r="H202" s="67" t="n"/>
      <c r="I202" s="78" t="n"/>
      <c r="J202" s="78" t="n"/>
      <c r="K202" s="82" t="n"/>
      <c r="L202" s="79" t="n"/>
      <c r="M202" s="78" t="n"/>
      <c r="N202" s="79" t="n"/>
      <c r="P202" s="63">
        <f>IF(O202="","",IF(O202="Open",TODAY()-L202,"--"))</f>
        <v/>
      </c>
      <c r="Q202" s="63">
        <f>IF(O202="","",IF(O202="Closed",N202-L202,"--"))</f>
        <v/>
      </c>
    </row>
    <row r="203" ht="15" customHeight="1" s="130">
      <c r="B203" s="64">
        <f>IF(C203="","",B202+1)</f>
        <v/>
      </c>
      <c r="C203" s="65" t="n"/>
      <c r="D203" s="65" t="n"/>
      <c r="E203" s="82" t="n"/>
      <c r="F203" s="77" t="n"/>
      <c r="G203" s="64" t="n"/>
      <c r="H203" s="78" t="n"/>
      <c r="I203" s="78" t="n"/>
      <c r="J203" s="78" t="n"/>
      <c r="K203" s="66" t="n"/>
      <c r="L203" s="79" t="n"/>
      <c r="M203" s="78" t="n"/>
      <c r="N203" s="79" t="n"/>
      <c r="P203" s="63">
        <f>IF(O203="","",IF(O203="Open",TODAY()-L203,"--"))</f>
        <v/>
      </c>
      <c r="Q203" s="63">
        <f>IF(O203="","",IF(O203="Closed",N203-L203,"--"))</f>
        <v/>
      </c>
    </row>
    <row r="204" ht="15" customHeight="1" s="130">
      <c r="B204" s="64">
        <f>IF(C204="","",B203+1)</f>
        <v/>
      </c>
      <c r="C204" s="65" t="n"/>
      <c r="D204" s="65" t="n"/>
      <c r="E204" s="82" t="n"/>
      <c r="F204" s="77" t="n"/>
      <c r="G204" s="64" t="n"/>
      <c r="H204" s="78" t="n"/>
      <c r="I204" s="78" t="n"/>
      <c r="J204" s="78" t="n"/>
      <c r="K204" s="66" t="n"/>
      <c r="L204" s="79" t="n"/>
      <c r="M204" s="78" t="n"/>
      <c r="N204" s="79" t="n"/>
      <c r="P204" s="63">
        <f>IF(O204="","",IF(O204="Open",TODAY()-L204,"--"))</f>
        <v/>
      </c>
      <c r="Q204" s="63">
        <f>IF(O204="","",IF(O204="Closed",N204-L204,"--"))</f>
        <v/>
      </c>
    </row>
    <row r="205" ht="15" customHeight="1" s="130">
      <c r="B205" s="64">
        <f>IF(C205="","",B204+1)</f>
        <v/>
      </c>
      <c r="C205" s="65" t="n"/>
      <c r="D205" s="65" t="n"/>
      <c r="E205" s="82" t="n"/>
      <c r="F205" s="77" t="n"/>
      <c r="G205" s="64" t="n"/>
      <c r="H205" s="78" t="n"/>
      <c r="I205" s="78" t="n"/>
      <c r="J205" s="67" t="n"/>
      <c r="K205" s="82" t="n"/>
      <c r="L205" s="79" t="n"/>
      <c r="M205" s="78" t="n"/>
      <c r="N205" s="79" t="n"/>
      <c r="P205" s="63">
        <f>IF(O205="","",IF(O205="Open",TODAY()-L205,"--"))</f>
        <v/>
      </c>
      <c r="Q205" s="63">
        <f>IF(O205="","",IF(O205="Closed",N205-L205,"--"))</f>
        <v/>
      </c>
    </row>
    <row r="206" ht="15" customHeight="1" s="130">
      <c r="B206" s="64">
        <f>IF(C206="","",B205+1)</f>
        <v/>
      </c>
      <c r="C206" s="65" t="n"/>
      <c r="D206" s="65" t="n"/>
      <c r="E206" s="82" t="n"/>
      <c r="F206" s="77" t="n"/>
      <c r="G206" s="64" t="n"/>
      <c r="H206" s="78" t="n"/>
      <c r="I206" s="78" t="n"/>
      <c r="J206" s="67" t="n"/>
      <c r="K206" s="66" t="n"/>
      <c r="L206" s="79" t="n"/>
      <c r="M206" s="78" t="n"/>
      <c r="N206" s="79" t="n"/>
      <c r="P206" s="63">
        <f>IF(O206="","",IF(O206="Open",TODAY()-L206,"--"))</f>
        <v/>
      </c>
      <c r="Q206" s="63">
        <f>IF(O206="","",IF(O206="Closed",N206-L206,"--"))</f>
        <v/>
      </c>
    </row>
    <row r="207" ht="15" customHeight="1" s="130">
      <c r="B207" s="64">
        <f>IF(C207="","",B206+1)</f>
        <v/>
      </c>
      <c r="C207" s="65" t="n"/>
      <c r="D207" s="65" t="n"/>
      <c r="E207" s="66" t="n"/>
      <c r="F207" s="77" t="n"/>
      <c r="G207" s="64" t="n"/>
      <c r="H207" s="78" t="n"/>
      <c r="I207" s="78" t="n"/>
      <c r="J207" s="78" t="n"/>
      <c r="K207" s="82" t="n"/>
      <c r="L207" s="79" t="n"/>
      <c r="M207" s="78" t="n"/>
      <c r="N207" s="79" t="n"/>
      <c r="P207" s="63">
        <f>IF(O207="","",IF(O207="Open",TODAY()-L207,"--"))</f>
        <v/>
      </c>
      <c r="Q207" s="63">
        <f>IF(O207="","",IF(O207="Closed",N207-L207,"--"))</f>
        <v/>
      </c>
    </row>
    <row r="208" ht="15" customHeight="1" s="130">
      <c r="B208" s="64">
        <f>IF(C208="","",B207+1)</f>
        <v/>
      </c>
      <c r="C208" s="65" t="n"/>
      <c r="D208" s="65" t="n"/>
      <c r="E208" s="66" t="n"/>
      <c r="F208" s="77" t="n"/>
      <c r="G208" s="64" t="n"/>
      <c r="H208" s="67" t="n"/>
      <c r="I208" s="78" t="n"/>
      <c r="J208" s="78" t="n"/>
      <c r="K208" s="82" t="n"/>
      <c r="L208" s="79" t="n"/>
      <c r="M208" s="78" t="n"/>
      <c r="N208" s="79" t="n"/>
      <c r="P208" s="63">
        <f>IF(O208="","",IF(O208="Open",TODAY()-L208,"--"))</f>
        <v/>
      </c>
      <c r="Q208" s="63">
        <f>IF(O208="","",IF(O208="Closed",N208-L208,"--"))</f>
        <v/>
      </c>
    </row>
    <row r="209" ht="15" customHeight="1" s="130">
      <c r="B209" s="64">
        <f>IF(C209="","",B208+1)</f>
        <v/>
      </c>
      <c r="C209" s="77" t="n"/>
      <c r="D209" s="77" t="n"/>
      <c r="E209" s="66" t="n"/>
      <c r="F209" s="77" t="n"/>
      <c r="G209" s="64" t="n"/>
      <c r="H209" s="78" t="n"/>
      <c r="I209" s="78" t="n"/>
      <c r="J209" s="78" t="n"/>
      <c r="K209" s="66" t="n"/>
      <c r="L209" s="79" t="n"/>
      <c r="M209" s="67" t="n"/>
      <c r="N209" s="79" t="n"/>
      <c r="P209" s="63">
        <f>IF(O209="","",IF(O209="Open",TODAY()-L209,"--"))</f>
        <v/>
      </c>
      <c r="Q209" s="63">
        <f>IF(O209="","",IF(O209="Closed",N209-L209,"--"))</f>
        <v/>
      </c>
    </row>
    <row r="210" ht="15" customHeight="1" s="130">
      <c r="B210" s="64">
        <f>IF(C210="","",B209+1)</f>
        <v/>
      </c>
      <c r="C210" s="77" t="n"/>
      <c r="D210" s="77" t="n"/>
      <c r="E210" s="82" t="n"/>
      <c r="F210" s="77" t="n"/>
      <c r="G210" s="64" t="n"/>
      <c r="H210" s="78" t="n"/>
      <c r="I210" s="78" t="n"/>
      <c r="J210" s="78" t="n"/>
      <c r="K210" s="82" t="n"/>
      <c r="L210" s="79" t="n"/>
      <c r="M210" s="78" t="n"/>
      <c r="N210" s="79" t="n"/>
      <c r="P210" s="63">
        <f>IF(O210="","",IF(O210="Open",TODAY()-L210,"--"))</f>
        <v/>
      </c>
      <c r="Q210" s="63">
        <f>IF(O210="","",IF(O210="Closed",N210-L210,"--"))</f>
        <v/>
      </c>
    </row>
    <row r="211" ht="15" customHeight="1" s="130">
      <c r="B211" s="64">
        <f>IF(C211="","",B210+1)</f>
        <v/>
      </c>
      <c r="C211" s="77" t="n"/>
      <c r="D211" s="77" t="n"/>
      <c r="E211" s="82" t="n"/>
      <c r="F211" s="77" t="n"/>
      <c r="G211" s="64" t="n"/>
      <c r="H211" s="78" t="n"/>
      <c r="I211" s="78" t="n"/>
      <c r="J211" s="78" t="n"/>
      <c r="K211" s="82" t="n"/>
      <c r="L211" s="79" t="n"/>
      <c r="M211" s="78" t="n"/>
      <c r="N211" s="79" t="n"/>
      <c r="P211" s="63">
        <f>IF(O211="","",IF(O211="Open",TODAY()-L211,"--"))</f>
        <v/>
      </c>
      <c r="Q211" s="63">
        <f>IF(O211="","",IF(O211="Closed",N211-L211,"--"))</f>
        <v/>
      </c>
    </row>
    <row r="212" ht="15" customHeight="1" s="130">
      <c r="B212" s="64">
        <f>IF(C212="","",B211+1)</f>
        <v/>
      </c>
      <c r="C212" s="77" t="n"/>
      <c r="D212" s="77" t="n"/>
      <c r="E212" s="82" t="n"/>
      <c r="F212" s="77" t="n"/>
      <c r="G212" s="64" t="n"/>
      <c r="H212" s="78" t="n"/>
      <c r="I212" s="78" t="n"/>
      <c r="J212" s="78" t="n"/>
      <c r="K212" s="91" t="n"/>
      <c r="L212" s="79" t="n"/>
      <c r="M212" s="78" t="n"/>
      <c r="N212" s="79" t="n"/>
      <c r="P212" s="63">
        <f>IF(O212="","",IF(O212="Open",TODAY()-L212,"--"))</f>
        <v/>
      </c>
      <c r="Q212" s="63">
        <f>IF(O212="","",IF(O212="Closed",N212-L212,"--"))</f>
        <v/>
      </c>
    </row>
    <row r="213" ht="15" customHeight="1" s="130">
      <c r="B213" s="64">
        <f>IF(C213="","",B212+1)</f>
        <v/>
      </c>
      <c r="C213" s="77" t="n"/>
      <c r="D213" s="77" t="n"/>
      <c r="E213" s="82" t="n"/>
      <c r="F213" s="77" t="n"/>
      <c r="G213" s="64" t="n"/>
      <c r="H213" s="78" t="n"/>
      <c r="I213" s="78" t="n"/>
      <c r="J213" s="78" t="n"/>
      <c r="K213" s="82" t="n"/>
      <c r="L213" s="79" t="n"/>
      <c r="M213" s="78" t="n"/>
      <c r="N213" s="79" t="n"/>
      <c r="P213" s="63">
        <f>IF(O213="","",IF(O213="Open",TODAY()-L213,"--"))</f>
        <v/>
      </c>
      <c r="Q213" s="63">
        <f>IF(O213="","",IF(O213="Closed",N213-L213,"--"))</f>
        <v/>
      </c>
    </row>
    <row r="214" ht="15" customHeight="1" s="130">
      <c r="B214" s="64">
        <f>IF(C214="","",B213+1)</f>
        <v/>
      </c>
      <c r="C214" s="65" t="n"/>
      <c r="D214" s="77" t="n"/>
      <c r="E214" s="66" t="n"/>
      <c r="F214" s="77" t="n"/>
      <c r="G214" s="64" t="n"/>
      <c r="H214" s="78" t="n"/>
      <c r="I214" s="78" t="n"/>
      <c r="J214" s="67" t="n"/>
      <c r="K214" s="82" t="n"/>
      <c r="L214" s="79" t="n"/>
      <c r="M214" s="78" t="n"/>
      <c r="N214" s="79" t="n"/>
      <c r="P214" s="63">
        <f>IF(O214="","",IF(O214="Open",TODAY()-L214,"--"))</f>
        <v/>
      </c>
      <c r="Q214" s="63">
        <f>IF(O214="","",IF(O214="Closed",N214-L214,"--"))</f>
        <v/>
      </c>
    </row>
    <row r="215" ht="15" customHeight="1" s="130">
      <c r="B215" s="64">
        <f>IF(C215="","",B214+1)</f>
        <v/>
      </c>
      <c r="C215" s="77" t="n"/>
      <c r="D215" s="77" t="n"/>
      <c r="E215" s="66" t="n"/>
      <c r="F215" s="77" t="n"/>
      <c r="G215" s="64" t="n"/>
      <c r="H215" s="78" t="n"/>
      <c r="I215" s="78" t="n"/>
      <c r="J215" s="67" t="n"/>
      <c r="K215" s="66" t="n"/>
      <c r="L215" s="79" t="n"/>
      <c r="M215" s="78" t="n"/>
      <c r="N215" s="79" t="n"/>
      <c r="P215" s="63">
        <f>IF(O215="","",IF(O215="Open",TODAY()-L215,"--"))</f>
        <v/>
      </c>
      <c r="Q215" s="63">
        <f>IF(O215="","",IF(O215="Closed",N215-L215,"--"))</f>
        <v/>
      </c>
    </row>
    <row r="216" ht="15" customHeight="1" s="130">
      <c r="B216" s="64">
        <f>IF(C216="","",B215+1)</f>
        <v/>
      </c>
      <c r="C216" s="77" t="n"/>
      <c r="D216" s="77" t="n"/>
      <c r="E216" s="66" t="n"/>
      <c r="F216" s="77" t="n"/>
      <c r="G216" s="64" t="n"/>
      <c r="H216" s="78" t="n"/>
      <c r="I216" s="78" t="n"/>
      <c r="J216" s="67" t="n"/>
      <c r="K216" s="82" t="n"/>
      <c r="L216" s="79" t="n"/>
      <c r="M216" s="78" t="n"/>
      <c r="N216" s="79" t="n"/>
      <c r="P216" s="63">
        <f>IF(O216="","",IF(O216="Open",TODAY()-L216,"--"))</f>
        <v/>
      </c>
      <c r="Q216" s="63">
        <f>IF(O216="","",IF(O216="Closed",N216-L216,"--"))</f>
        <v/>
      </c>
    </row>
    <row r="217" ht="15" customHeight="1" s="130">
      <c r="B217" s="64">
        <f>IF(C217="","",B216+1)</f>
        <v/>
      </c>
      <c r="C217" s="77" t="n"/>
      <c r="D217" s="77" t="n"/>
      <c r="E217" s="66" t="n"/>
      <c r="F217" s="77" t="n"/>
      <c r="G217" s="64" t="n"/>
      <c r="H217" s="78" t="n"/>
      <c r="I217" s="78" t="n"/>
      <c r="J217" s="67" t="n"/>
      <c r="K217" s="82" t="n"/>
      <c r="L217" s="79" t="n"/>
      <c r="M217" s="78" t="n"/>
      <c r="N217" s="79" t="n"/>
      <c r="P217" s="63">
        <f>IF(O217="","",IF(O217="Open",TODAY()-L217,"--"))</f>
        <v/>
      </c>
      <c r="Q217" s="63">
        <f>IF(O217="","",IF(O217="Closed",N217-L217,"--"))</f>
        <v/>
      </c>
    </row>
    <row r="218" ht="15" customHeight="1" s="130">
      <c r="B218" s="64">
        <f>IF(C218="","",B217+1)</f>
        <v/>
      </c>
      <c r="C218" s="77" t="n"/>
      <c r="D218" s="77" t="n"/>
      <c r="E218" s="82" t="n"/>
      <c r="F218" s="77" t="n"/>
      <c r="G218" s="64" t="n"/>
      <c r="H218" s="78" t="n"/>
      <c r="I218" s="78" t="n"/>
      <c r="J218" s="78" t="n"/>
      <c r="K218" s="82" t="n"/>
      <c r="L218" s="79" t="n"/>
      <c r="M218" s="78" t="n"/>
      <c r="N218" s="79" t="n"/>
      <c r="P218" s="63">
        <f>IF(O218="","",IF(O218="Open",TODAY()-L218,"--"))</f>
        <v/>
      </c>
      <c r="Q218" s="63">
        <f>IF(O218="","",IF(O218="Closed",N218-L218,"--"))</f>
        <v/>
      </c>
    </row>
    <row r="219" ht="15" customHeight="1" s="130">
      <c r="B219" s="64">
        <f>IF(C219="","",B218+1)</f>
        <v/>
      </c>
      <c r="C219" s="77" t="n"/>
      <c r="D219" s="77" t="n"/>
      <c r="E219" s="82" t="n"/>
      <c r="F219" s="77" t="n"/>
      <c r="G219" s="64" t="n"/>
      <c r="H219" s="78" t="n"/>
      <c r="I219" s="78" t="n"/>
      <c r="J219" s="78" t="n"/>
      <c r="K219" s="82" t="n"/>
      <c r="L219" s="79" t="n"/>
      <c r="M219" s="78" t="n"/>
      <c r="N219" s="79" t="n"/>
      <c r="P219" s="63">
        <f>IF(O219="","",IF(O219="Open",TODAY()-L219,"--"))</f>
        <v/>
      </c>
      <c r="Q219" s="63">
        <f>IF(O219="","",IF(O219="Closed",N219-L219,"--"))</f>
        <v/>
      </c>
    </row>
    <row r="220" ht="15" customHeight="1" s="130">
      <c r="B220" s="64">
        <f>IF(C220="","",B219+1)</f>
        <v/>
      </c>
      <c r="C220" s="77" t="n"/>
      <c r="D220" s="77" t="n"/>
      <c r="E220" s="82" t="n"/>
      <c r="F220" s="77" t="n"/>
      <c r="G220" s="64" t="n"/>
      <c r="H220" s="78" t="n"/>
      <c r="I220" s="78" t="n"/>
      <c r="J220" s="78" t="n"/>
      <c r="K220" s="82" t="n"/>
      <c r="L220" s="79" t="n"/>
      <c r="M220" s="78" t="n"/>
      <c r="N220" s="79" t="n"/>
      <c r="P220" s="63">
        <f>IF(O220="","",IF(O220="Open",TODAY()-L220,"--"))</f>
        <v/>
      </c>
      <c r="Q220" s="63">
        <f>IF(O220="","",IF(O220="Closed",N220-L220,"--"))</f>
        <v/>
      </c>
    </row>
    <row r="221" ht="15" customHeight="1" s="130">
      <c r="B221" s="64">
        <f>IF(C221="","",B220+1)</f>
        <v/>
      </c>
      <c r="C221" s="77" t="n"/>
      <c r="D221" s="65" t="n"/>
      <c r="E221" s="66" t="n"/>
      <c r="F221" s="77" t="n"/>
      <c r="G221" s="64" t="n"/>
      <c r="H221" s="78" t="n"/>
      <c r="I221" s="78" t="n"/>
      <c r="J221" s="67" t="n"/>
      <c r="K221" s="82" t="n"/>
      <c r="L221" s="79" t="n"/>
      <c r="M221" s="78" t="n"/>
      <c r="N221" s="79" t="n"/>
      <c r="P221" s="63">
        <f>IF(O221="","",IF(O221="Open",TODAY()-L221,"--"))</f>
        <v/>
      </c>
      <c r="Q221" s="63">
        <f>IF(O221="","",IF(O221="Closed",N221-L221,"--"))</f>
        <v/>
      </c>
      <c r="R221" s="56" t="n"/>
      <c r="S221" s="56" t="n"/>
    </row>
    <row r="222" ht="15" customHeight="1" s="130">
      <c r="B222" s="64">
        <f>IF(C222="","",B221+1)</f>
        <v/>
      </c>
      <c r="C222" s="65" t="n"/>
      <c r="D222" s="65" t="n"/>
      <c r="E222" s="66" t="n"/>
      <c r="F222" s="77" t="n"/>
      <c r="G222" s="64" t="n"/>
      <c r="H222" s="67" t="n"/>
      <c r="I222" s="67" t="n"/>
      <c r="J222" s="67" t="n"/>
      <c r="K222" s="66" t="n"/>
      <c r="L222" s="89" t="n"/>
      <c r="M222" s="67" t="n"/>
      <c r="N222" s="89" t="n"/>
      <c r="P222" s="63">
        <f>IF(O222="","",IF(O222="Open",TODAY()-L222,"--"))</f>
        <v/>
      </c>
      <c r="Q222" s="63">
        <f>IF(O222="","",IF(O222="Closed",N222-L222,"--"))</f>
        <v/>
      </c>
    </row>
    <row r="223" ht="15" customHeight="1" s="130">
      <c r="B223" s="64">
        <f>IF(C223="","",B222+1)</f>
        <v/>
      </c>
      <c r="C223" s="65" t="n"/>
      <c r="D223" s="65" t="n"/>
      <c r="E223" s="66" t="n"/>
      <c r="F223" s="77" t="n"/>
      <c r="G223" s="64" t="n"/>
      <c r="H223" s="67" t="n"/>
      <c r="I223" s="67" t="n"/>
      <c r="J223" s="67" t="n"/>
      <c r="K223" s="66" t="n"/>
      <c r="L223" s="89" t="n"/>
      <c r="M223" s="78" t="n"/>
      <c r="N223" s="79" t="n"/>
      <c r="P223" s="63">
        <f>IF(O223="","",IF(O223="Open",TODAY()-L223,"--"))</f>
        <v/>
      </c>
      <c r="Q223" s="63">
        <f>IF(O223="","",IF(O223="Closed",N223-L223,"--"))</f>
        <v/>
      </c>
    </row>
    <row r="224" ht="15" customHeight="1" s="130">
      <c r="B224" s="64">
        <f>IF(C224="","",B223+1)</f>
        <v/>
      </c>
      <c r="C224" s="92" t="n"/>
      <c r="D224" s="92" t="n"/>
      <c r="E224" s="93" t="n"/>
      <c r="F224" s="77" t="n"/>
      <c r="G224" s="64" t="n"/>
      <c r="H224" s="94" t="n"/>
      <c r="I224" s="94" t="n"/>
      <c r="J224" s="94" t="n"/>
      <c r="K224" s="93" t="n"/>
      <c r="L224" s="95" t="n"/>
      <c r="M224" s="94" t="n"/>
      <c r="N224" s="95" t="n"/>
      <c r="P224" s="63">
        <f>IF(O224="","",IF(O224="Open",TODAY()-L224,"--"))</f>
        <v/>
      </c>
      <c r="Q224" s="63">
        <f>IF(O224="","",IF(O224="Closed",N224-L224,"--"))</f>
        <v/>
      </c>
    </row>
    <row r="225" ht="15" customHeight="1" s="130">
      <c r="B225" s="64">
        <f>IF(C225="","",B224+1)</f>
        <v/>
      </c>
      <c r="C225" s="65" t="n"/>
      <c r="D225" s="65" t="n"/>
      <c r="E225" s="66" t="n"/>
      <c r="F225" s="77" t="n"/>
      <c r="G225" s="64" t="n"/>
      <c r="H225" s="67" t="n"/>
      <c r="I225" s="67" t="n"/>
      <c r="J225" s="67" t="n"/>
      <c r="K225" s="66" t="n"/>
      <c r="L225" s="89" t="n"/>
      <c r="M225" s="78" t="n"/>
      <c r="N225" s="79" t="n"/>
      <c r="P225" s="63">
        <f>IF(O225="","",IF(O225="Open",TODAY()-L225,"--"))</f>
        <v/>
      </c>
      <c r="Q225" s="63">
        <f>IF(O225="","",IF(O225="Closed",N225-L225,"--"))</f>
        <v/>
      </c>
    </row>
    <row r="226" ht="15" customHeight="1" s="130">
      <c r="B226" s="64">
        <f>IF(C226="","",B225+1)</f>
        <v/>
      </c>
      <c r="D226" s="65" t="n"/>
      <c r="E226" s="66" t="n"/>
      <c r="F226" s="77" t="n"/>
      <c r="G226" s="64" t="n"/>
      <c r="H226" s="67" t="n"/>
      <c r="I226" s="67" t="n"/>
      <c r="J226" s="67" t="n"/>
      <c r="K226" s="66" t="n"/>
      <c r="L226" s="89" t="n"/>
      <c r="M226" s="67" t="n"/>
      <c r="N226" s="89" t="n"/>
      <c r="P226" s="63">
        <f>IF(O226="","",IF(O226="Open",TODAY()-L226,"--"))</f>
        <v/>
      </c>
      <c r="Q226" s="63">
        <f>IF(O226="","",IF(O226="Closed",N226-L226,"--"))</f>
        <v/>
      </c>
    </row>
    <row r="227" ht="15" customHeight="1" s="130">
      <c r="B227" s="64">
        <f>IF(C227="","",B226+1)</f>
        <v/>
      </c>
      <c r="C227" s="77" t="n"/>
      <c r="D227" s="77" t="n"/>
      <c r="E227" s="82" t="n"/>
      <c r="F227" s="77" t="n"/>
      <c r="G227" s="64" t="n"/>
      <c r="H227" s="78" t="n"/>
      <c r="I227" s="78" t="n"/>
      <c r="J227" s="78" t="n"/>
      <c r="K227" s="82" t="n"/>
      <c r="L227" s="89" t="n"/>
      <c r="M227" s="67" t="n"/>
      <c r="N227" s="89" t="n"/>
      <c r="P227" s="63">
        <f>IF(O227="","",IF(O227="Open",TODAY()-L227,"--"))</f>
        <v/>
      </c>
      <c r="Q227" s="63">
        <f>IF(O227="","",IF(O227="Closed",N227-L227,"--"))</f>
        <v/>
      </c>
    </row>
    <row r="228" ht="15" customHeight="1" s="130">
      <c r="B228" s="64">
        <f>IF(C228="","",B227+1)</f>
        <v/>
      </c>
      <c r="C228" s="77" t="n"/>
      <c r="D228" s="77" t="n"/>
      <c r="E228" s="82" t="n"/>
      <c r="F228" s="77" t="n"/>
      <c r="G228" s="64" t="n"/>
      <c r="H228" s="78" t="n"/>
      <c r="I228" s="78" t="n"/>
      <c r="J228" s="78" t="n"/>
      <c r="K228" s="66" t="n"/>
      <c r="L228" s="79" t="n"/>
      <c r="M228" s="78" t="n"/>
      <c r="N228" s="79" t="n"/>
      <c r="P228" s="63">
        <f>IF(O228="","",IF(O228="Open",TODAY()-L228,"--"))</f>
        <v/>
      </c>
      <c r="Q228" s="63">
        <f>IF(O228="","",IF(O228="Closed",N228-L228,"--"))</f>
        <v/>
      </c>
    </row>
    <row r="229" ht="15" customHeight="1" s="130">
      <c r="B229" s="64">
        <f>IF(C229="","",B228+1)</f>
        <v/>
      </c>
      <c r="C229" s="77" t="n"/>
      <c r="D229" s="77" t="n"/>
      <c r="E229" s="82" t="n"/>
      <c r="F229" s="77" t="n"/>
      <c r="G229" s="64" t="n"/>
      <c r="H229" s="78" t="n"/>
      <c r="I229" s="78" t="n"/>
      <c r="J229" s="78" t="n"/>
      <c r="K229" s="66" t="n"/>
      <c r="L229" s="79" t="n"/>
      <c r="M229" s="78" t="n"/>
      <c r="N229" s="79" t="n"/>
      <c r="P229" s="63">
        <f>IF(O229="","",IF(O229="Open",TODAY()-L229,"--"))</f>
        <v/>
      </c>
      <c r="Q229" s="63">
        <f>IF(O229="","",IF(O229="Closed",N229-L229,"--"))</f>
        <v/>
      </c>
    </row>
    <row r="230" ht="15" customHeight="1" s="130">
      <c r="B230" s="64">
        <f>IF(C230="","",B229+1)</f>
        <v/>
      </c>
      <c r="C230" s="77" t="n"/>
      <c r="D230" s="65" t="n"/>
      <c r="E230" s="82" t="n"/>
      <c r="F230" s="77" t="n"/>
      <c r="G230" s="64" t="n"/>
      <c r="H230" s="78" t="n"/>
      <c r="I230" s="78" t="n"/>
      <c r="J230" s="78" t="n"/>
      <c r="K230" s="82" t="n"/>
      <c r="L230" s="79" t="n"/>
      <c r="M230" s="78" t="n"/>
      <c r="N230" s="79" t="n"/>
      <c r="P230" s="63">
        <f>IF(O230="","",IF(O230="Open",TODAY()-L230,"--"))</f>
        <v/>
      </c>
      <c r="Q230" s="63">
        <f>IF(O230="","",IF(O230="Closed",N230-L230,"--"))</f>
        <v/>
      </c>
    </row>
    <row r="231" ht="15" customHeight="1" s="130">
      <c r="B231" s="64">
        <f>IF(C231="","",B230+1)</f>
        <v/>
      </c>
      <c r="C231" s="77" t="n"/>
      <c r="D231" s="65" t="n"/>
      <c r="E231" s="82" t="n"/>
      <c r="F231" s="77" t="n"/>
      <c r="G231" s="64" t="n"/>
      <c r="H231" s="78" t="n"/>
      <c r="I231" s="78" t="n"/>
      <c r="J231" s="78" t="n"/>
      <c r="K231" s="82" t="n"/>
      <c r="L231" s="79" t="n"/>
      <c r="M231" s="78" t="n"/>
      <c r="N231" s="79" t="n"/>
      <c r="P231" s="63">
        <f>IF(O231="","",IF(O231="Open",TODAY()-L231,"--"))</f>
        <v/>
      </c>
      <c r="Q231" s="63">
        <f>IF(O231="","",IF(O231="Closed",N231-L231,"--"))</f>
        <v/>
      </c>
    </row>
    <row r="232" ht="15" customHeight="1" s="130">
      <c r="B232" s="64">
        <f>IF(C232="","",B231+1)</f>
        <v/>
      </c>
      <c r="C232" s="77" t="n"/>
      <c r="D232" s="77" t="n"/>
      <c r="E232" s="82" t="n"/>
      <c r="F232" s="77" t="n"/>
      <c r="G232" s="64" t="n"/>
      <c r="H232" s="78" t="n"/>
      <c r="I232" s="78" t="n"/>
      <c r="J232" s="78" t="n"/>
      <c r="K232" s="82" t="n"/>
      <c r="L232" s="89" t="n"/>
      <c r="M232" s="67" t="n"/>
      <c r="N232" s="89" t="n"/>
      <c r="P232" s="63">
        <f>IF(O232="","",IF(O232="Open",TODAY()-L232,"--"))</f>
        <v/>
      </c>
      <c r="Q232" s="63">
        <f>IF(O232="","",IF(O232="Closed",N232-L232,"--"))</f>
        <v/>
      </c>
    </row>
    <row r="233" ht="15" customHeight="1" s="130">
      <c r="B233" s="64">
        <f>IF(C233="","",B232+1)</f>
        <v/>
      </c>
      <c r="C233" s="77" t="n"/>
      <c r="D233" s="77" t="n"/>
      <c r="E233" s="82" t="n"/>
      <c r="F233" s="77" t="n"/>
      <c r="G233" s="64" t="n"/>
      <c r="H233" s="78" t="n"/>
      <c r="I233" s="78" t="n"/>
      <c r="J233" s="78" t="n"/>
      <c r="K233" s="82" t="n"/>
      <c r="L233" s="89" t="n"/>
      <c r="M233" s="67" t="n"/>
      <c r="N233" s="89" t="n"/>
      <c r="P233" s="63">
        <f>IF(O233="","",IF(O233="Open",TODAY()-L233,"--"))</f>
        <v/>
      </c>
      <c r="Q233" s="63">
        <f>IF(O233="","",IF(O233="Closed",N233-L233,"--"))</f>
        <v/>
      </c>
    </row>
    <row r="234" ht="15" customHeight="1" s="130">
      <c r="B234" s="64">
        <f>IF(C234="","",B233+1)</f>
        <v/>
      </c>
      <c r="C234" s="77" t="n"/>
      <c r="D234" s="77" t="n"/>
      <c r="E234" s="82" t="n"/>
      <c r="F234" s="77" t="n"/>
      <c r="G234" s="64" t="n"/>
      <c r="H234" s="78" t="n"/>
      <c r="I234" s="78" t="n"/>
      <c r="J234" s="67" t="n"/>
      <c r="K234" s="82" t="n"/>
      <c r="L234" s="89" t="n"/>
      <c r="M234" s="67" t="n"/>
      <c r="N234" s="89" t="n"/>
      <c r="P234" s="63">
        <f>IF(O234="","",IF(O234="Open",TODAY()-L234,"--"))</f>
        <v/>
      </c>
      <c r="Q234" s="63">
        <f>IF(O234="","",IF(O234="Closed",N234-L234,"--"))</f>
        <v/>
      </c>
    </row>
    <row r="235" ht="15" customHeight="1" s="130">
      <c r="B235" s="64">
        <f>IF(C235="","",B234+1)</f>
        <v/>
      </c>
      <c r="C235" s="77" t="n"/>
      <c r="D235" s="77" t="n"/>
      <c r="E235" s="82" t="n"/>
      <c r="F235" s="77" t="n"/>
      <c r="G235" s="64" t="n"/>
      <c r="H235" s="78" t="n"/>
      <c r="I235" s="78" t="n"/>
      <c r="J235" s="78" t="n"/>
      <c r="K235" s="82" t="n"/>
      <c r="L235" s="89" t="n"/>
      <c r="M235" s="78" t="n"/>
      <c r="N235" s="79" t="n"/>
      <c r="P235" s="63">
        <f>IF(O235="","",IF(O235="Open",TODAY()-L235,"--"))</f>
        <v/>
      </c>
      <c r="Q235" s="63">
        <f>IF(O235="","",IF(O235="Closed",N235-L235,"--"))</f>
        <v/>
      </c>
    </row>
    <row r="236" ht="15" customHeight="1" s="130">
      <c r="B236" s="64">
        <f>IF(C236="","",B235+1)</f>
        <v/>
      </c>
      <c r="C236" s="77" t="n"/>
      <c r="D236" s="77" t="n"/>
      <c r="E236" s="66" t="n"/>
      <c r="F236" s="77" t="n"/>
      <c r="G236" s="64" t="n"/>
      <c r="H236" s="78" t="n"/>
      <c r="I236" s="78" t="n"/>
      <c r="J236" s="67" t="n"/>
      <c r="K236" s="82" t="n"/>
      <c r="L236" s="89" t="n"/>
      <c r="M236" s="78" t="n"/>
      <c r="N236" s="79" t="n"/>
      <c r="P236" s="63">
        <f>IF(O236="","",IF(O236="Open",TODAY()-L236,"--"))</f>
        <v/>
      </c>
      <c r="Q236" s="63">
        <f>IF(O236="","",IF(O236="Closed",N236-L236,"--"))</f>
        <v/>
      </c>
    </row>
    <row r="237" ht="15" customHeight="1" s="130">
      <c r="B237" s="64">
        <f>IF(C237="","",B236+1)</f>
        <v/>
      </c>
      <c r="C237" s="77" t="n"/>
      <c r="D237" s="77" t="n"/>
      <c r="E237" s="82" t="n"/>
      <c r="F237" s="77" t="n"/>
      <c r="G237" s="64" t="n"/>
      <c r="H237" s="78" t="n"/>
      <c r="I237" s="78" t="n"/>
      <c r="J237" s="78" t="n"/>
      <c r="K237" s="66" t="n"/>
      <c r="L237" s="89" t="n"/>
      <c r="M237" s="78" t="n"/>
      <c r="N237" s="79" t="n"/>
      <c r="P237" s="63">
        <f>IF(O237="","",IF(O237="Open",TODAY()-L237,"--"))</f>
        <v/>
      </c>
      <c r="Q237" s="63">
        <f>IF(O237="","",IF(O237="Closed",N237-L237,"--"))</f>
        <v/>
      </c>
    </row>
    <row r="238" ht="15" customHeight="1" s="130">
      <c r="B238" s="64">
        <f>IF(C238="","",B237+1)</f>
        <v/>
      </c>
      <c r="C238" s="77" t="n"/>
      <c r="D238" s="77" t="n"/>
      <c r="E238" s="82" t="n"/>
      <c r="F238" s="77" t="n"/>
      <c r="G238" s="64" t="n"/>
      <c r="H238" s="78" t="n"/>
      <c r="I238" s="78" t="n"/>
      <c r="J238" s="78" t="n"/>
      <c r="K238" s="82" t="n"/>
      <c r="L238" s="89" t="n"/>
      <c r="M238" s="78" t="n"/>
      <c r="N238" s="79" t="n"/>
      <c r="P238" s="63">
        <f>IF(O238="","",IF(O238="Open",TODAY()-L238,"--"))</f>
        <v/>
      </c>
      <c r="Q238" s="63">
        <f>IF(O238="","",IF(O238="Closed",N238-L238,"--"))</f>
        <v/>
      </c>
    </row>
    <row r="239" ht="15" customHeight="1" s="130">
      <c r="B239" s="64">
        <f>IF(C239="","",B238+1)</f>
        <v/>
      </c>
      <c r="C239" s="65" t="n"/>
      <c r="D239" s="77" t="n"/>
      <c r="E239" s="82" t="n"/>
      <c r="F239" s="77" t="n"/>
      <c r="G239" s="64" t="n"/>
      <c r="H239" s="78" t="n"/>
      <c r="I239" s="78" t="n"/>
      <c r="J239" s="78" t="n"/>
      <c r="K239" s="66" t="n"/>
      <c r="L239" s="89" t="n"/>
      <c r="M239" s="78" t="n"/>
      <c r="N239" s="79" t="n"/>
      <c r="P239" s="63">
        <f>IF(O239="","",IF(O239="Open",TODAY()-L239,"--"))</f>
        <v/>
      </c>
      <c r="Q239" s="63">
        <f>IF(O239="","",IF(O239="Closed",N239-L239,"--"))</f>
        <v/>
      </c>
    </row>
    <row r="240" ht="15" customHeight="1" s="130">
      <c r="B240" s="64">
        <f>IF(C240="","",B239+1)</f>
        <v/>
      </c>
      <c r="C240" s="77" t="n"/>
      <c r="D240" s="77" t="n"/>
      <c r="E240" s="82" t="n"/>
      <c r="F240" s="77" t="n"/>
      <c r="G240" s="64" t="n"/>
      <c r="H240" s="78" t="n"/>
      <c r="I240" s="78" t="n"/>
      <c r="J240" s="78" t="n"/>
      <c r="K240" s="82" t="n"/>
      <c r="L240" s="89" t="n"/>
      <c r="M240" s="78" t="n"/>
      <c r="N240" s="79" t="n"/>
      <c r="P240" s="63">
        <f>IF(O240="","",IF(O240="Open",TODAY()-L240,"--"))</f>
        <v/>
      </c>
      <c r="Q240" s="63">
        <f>IF(O240="","",IF(O240="Closed",N240-L240,"--"))</f>
        <v/>
      </c>
    </row>
    <row r="241" ht="15" customHeight="1" s="130">
      <c r="B241" s="64">
        <f>IF(C241="","",B240+1)</f>
        <v/>
      </c>
      <c r="C241" s="65" t="n"/>
      <c r="D241" s="65" t="n"/>
      <c r="E241" s="82" t="n"/>
      <c r="F241" s="77" t="n"/>
      <c r="G241" s="64" t="n"/>
      <c r="H241" s="78" t="n"/>
      <c r="I241" s="78" t="n"/>
      <c r="J241" s="78" t="n"/>
      <c r="K241" s="82" t="n"/>
      <c r="L241" s="89" t="n"/>
      <c r="M241" s="78" t="n"/>
      <c r="N241" s="79" t="n"/>
      <c r="P241" s="63">
        <f>IF(O241="","",IF(O241="Open",TODAY()-L241,"--"))</f>
        <v/>
      </c>
      <c r="Q241" s="63">
        <f>IF(O241="","",IF(O241="Closed",N241-L241,"--"))</f>
        <v/>
      </c>
    </row>
    <row r="242" ht="15" customHeight="1" s="130">
      <c r="B242" s="64">
        <f>IF(C242="","",B241+1)</f>
        <v/>
      </c>
      <c r="C242" s="77" t="n"/>
      <c r="D242" s="77" t="n"/>
      <c r="E242" s="82" t="n"/>
      <c r="F242" s="77" t="n"/>
      <c r="G242" s="64" t="n"/>
      <c r="H242" s="78" t="n"/>
      <c r="I242" s="78" t="n"/>
      <c r="J242" s="78" t="n"/>
      <c r="K242" s="82" t="n"/>
      <c r="L242" s="89" t="n"/>
      <c r="M242" s="78" t="n"/>
      <c r="N242" s="79" t="n"/>
      <c r="P242" s="63">
        <f>IF(O242="","",IF(O242="Open",TODAY()-L242,"--"))</f>
        <v/>
      </c>
      <c r="Q242" s="63">
        <f>IF(O242="","",IF(O242="Closed",N242-L242,"--"))</f>
        <v/>
      </c>
    </row>
    <row r="243" ht="15" customHeight="1" s="130">
      <c r="B243" s="64">
        <f>IF(C243="","",B242+1)</f>
        <v/>
      </c>
      <c r="C243" s="77" t="n"/>
      <c r="D243" s="77" t="n"/>
      <c r="E243" s="82" t="n"/>
      <c r="F243" s="77" t="n"/>
      <c r="G243" s="64" t="n"/>
      <c r="H243" s="78" t="n"/>
      <c r="I243" s="78" t="n"/>
      <c r="J243" s="78" t="n"/>
      <c r="K243" s="82" t="n"/>
      <c r="L243" s="89" t="n"/>
      <c r="M243" s="67" t="n"/>
      <c r="N243" s="89" t="n"/>
      <c r="P243" s="63">
        <f>IF(O243="","",IF(O243="Open",TODAY()-L243,"--"))</f>
        <v/>
      </c>
      <c r="Q243" s="63">
        <f>IF(O243="","",IF(O243="Closed",N243-L243,"--"))</f>
        <v/>
      </c>
    </row>
    <row r="244" ht="15" customHeight="1" s="130">
      <c r="B244" s="64">
        <f>IF(C244="","",B243+1)</f>
        <v/>
      </c>
      <c r="C244" s="65" t="n"/>
      <c r="D244" s="77" t="n"/>
      <c r="E244" s="82" t="n"/>
      <c r="F244" s="77" t="n"/>
      <c r="G244" s="64" t="n"/>
      <c r="H244" s="78" t="n"/>
      <c r="I244" s="78" t="n"/>
      <c r="J244" s="78" t="n"/>
      <c r="K244" s="82" t="n"/>
      <c r="L244" s="89" t="n"/>
      <c r="M244" s="78" t="n"/>
      <c r="N244" s="79" t="n"/>
      <c r="P244" s="63">
        <f>IF(O244="","",IF(O244="Open",TODAY()-L244,"--"))</f>
        <v/>
      </c>
      <c r="Q244" s="63">
        <f>IF(O244="","",IF(O244="Closed",N244-L244,"--"))</f>
        <v/>
      </c>
    </row>
    <row r="245" ht="15" customHeight="1" s="130">
      <c r="B245" s="64">
        <f>IF(C245="","",B244+1)</f>
        <v/>
      </c>
      <c r="C245" s="77" t="n"/>
      <c r="D245" s="77" t="n"/>
      <c r="E245" s="82" t="n"/>
      <c r="F245" s="77" t="n"/>
      <c r="G245" s="64" t="n"/>
      <c r="H245" s="78" t="n"/>
      <c r="I245" s="78" t="n"/>
      <c r="J245" s="78" t="n"/>
      <c r="K245" s="82" t="n"/>
      <c r="L245" s="89" t="n"/>
      <c r="M245" s="78" t="n"/>
      <c r="N245" s="79" t="n"/>
      <c r="P245" s="63">
        <f>IF(O245="","",IF(O245="Open",TODAY()-L245,"--"))</f>
        <v/>
      </c>
      <c r="Q245" s="63">
        <f>IF(O245="","",IF(O245="Closed",N245-L245,"--"))</f>
        <v/>
      </c>
    </row>
    <row r="246" ht="15" customHeight="1" s="130">
      <c r="B246" s="64">
        <f>IF(C246="","",B245+1)</f>
        <v/>
      </c>
      <c r="C246" s="77" t="n"/>
      <c r="D246" s="77" t="n"/>
      <c r="E246" s="82" t="n"/>
      <c r="F246" s="77" t="n"/>
      <c r="G246" s="64" t="n"/>
      <c r="H246" s="78" t="n"/>
      <c r="I246" s="78" t="n"/>
      <c r="J246" s="78" t="n"/>
      <c r="K246" s="82" t="n"/>
      <c r="L246" s="89" t="n"/>
      <c r="M246" s="78" t="n"/>
      <c r="N246" s="79" t="n"/>
      <c r="P246" s="63">
        <f>IF(O246="","",IF(O246="Open",TODAY()-L246,"--"))</f>
        <v/>
      </c>
      <c r="Q246" s="63">
        <f>IF(O246="","",IF(O246="Closed",N246-L246,"--"))</f>
        <v/>
      </c>
    </row>
    <row r="247" ht="15" customHeight="1" s="130">
      <c r="B247" s="64">
        <f>IF(C247="","",B246+1)</f>
        <v/>
      </c>
      <c r="C247" s="77" t="n"/>
      <c r="D247" s="65" t="n"/>
      <c r="E247" s="82" t="n"/>
      <c r="F247" s="77" t="n"/>
      <c r="G247" s="64" t="n"/>
      <c r="H247" s="78" t="n"/>
      <c r="I247" s="78" t="n"/>
      <c r="J247" s="78" t="n"/>
      <c r="K247" s="82" t="n"/>
      <c r="L247" s="89" t="n"/>
      <c r="M247" s="78" t="n"/>
      <c r="N247" s="79" t="n"/>
      <c r="P247" s="63">
        <f>IF(O247="","",IF(O247="Open",TODAY()-L247,"--"))</f>
        <v/>
      </c>
      <c r="Q247" s="63">
        <f>IF(O247="","",IF(O247="Closed",N247-L247,"--"))</f>
        <v/>
      </c>
    </row>
    <row r="248" ht="15" customHeight="1" s="130">
      <c r="B248" s="64">
        <f>IF(C248="","",B247+1)</f>
        <v/>
      </c>
      <c r="C248" s="77" t="n"/>
      <c r="D248" s="77" t="n"/>
      <c r="E248" s="82" t="n"/>
      <c r="F248" s="77" t="n"/>
      <c r="G248" s="64" t="n"/>
      <c r="H248" s="78" t="n"/>
      <c r="I248" s="78" t="n"/>
      <c r="J248" s="78" t="n"/>
      <c r="K248" s="82" t="n"/>
      <c r="L248" s="89" t="n"/>
      <c r="M248" s="78" t="n"/>
      <c r="N248" s="79" t="n"/>
      <c r="P248" s="63">
        <f>IF(O248="","",IF(O248="Open",TODAY()-L248,"--"))</f>
        <v/>
      </c>
      <c r="Q248" s="63">
        <f>IF(O248="","",IF(O248="Closed",N248-L248,"--"))</f>
        <v/>
      </c>
    </row>
    <row r="249" ht="15" customHeight="1" s="130">
      <c r="B249" s="64">
        <f>IF(C249="","",B248+1)</f>
        <v/>
      </c>
      <c r="C249" s="65" t="n"/>
      <c r="D249" s="65" t="n"/>
      <c r="E249" s="82" t="n"/>
      <c r="F249" s="77" t="n"/>
      <c r="G249" s="64" t="n"/>
      <c r="H249" s="78" t="n"/>
      <c r="I249" s="78" t="n"/>
      <c r="J249" s="67" t="n"/>
      <c r="K249" s="82" t="n"/>
      <c r="L249" s="89" t="n"/>
      <c r="M249" s="78" t="n"/>
      <c r="N249" s="79" t="n"/>
      <c r="P249" s="63">
        <f>IF(O249="","",IF(O249="Open",TODAY()-L249,"--"))</f>
        <v/>
      </c>
      <c r="Q249" s="63">
        <f>IF(O249="","",IF(O249="Closed",N249-L249,"--"))</f>
        <v/>
      </c>
    </row>
    <row r="250" ht="15" customHeight="1" s="130">
      <c r="B250" s="64">
        <f>IF(C250="","",B249+1)</f>
        <v/>
      </c>
      <c r="C250" s="77" t="n"/>
      <c r="D250" s="77" t="n"/>
      <c r="E250" s="82" t="n"/>
      <c r="F250" s="77" t="n"/>
      <c r="G250" s="64" t="n"/>
      <c r="H250" s="78" t="n"/>
      <c r="I250" s="78" t="n"/>
      <c r="J250" s="78" t="n"/>
      <c r="K250" s="66" t="n"/>
      <c r="L250" s="89" t="n"/>
      <c r="M250" s="67" t="n"/>
      <c r="N250" s="89" t="n"/>
      <c r="P250" s="63">
        <f>IF(O250="","",IF(O250="Open",TODAY()-L250,"--"))</f>
        <v/>
      </c>
      <c r="Q250" s="63">
        <f>IF(O250="","",IF(O250="Closed",N250-L250,"--"))</f>
        <v/>
      </c>
    </row>
    <row r="251" ht="15" customHeight="1" s="130">
      <c r="B251" s="64">
        <f>IF(C251="","",B250+1)</f>
        <v/>
      </c>
      <c r="C251" s="77" t="n"/>
      <c r="D251" s="77" t="n"/>
      <c r="E251" s="82" t="n"/>
      <c r="F251" s="77" t="n"/>
      <c r="G251" s="64" t="n"/>
      <c r="H251" s="78" t="n"/>
      <c r="I251" s="78" t="n"/>
      <c r="J251" s="67" t="n"/>
      <c r="K251" s="66" t="n"/>
      <c r="L251" s="89" t="n"/>
      <c r="M251" s="78" t="n"/>
      <c r="N251" s="79" t="n"/>
      <c r="P251" s="63">
        <f>IF(O251="","",IF(O251="Open",TODAY()-L251,"--"))</f>
        <v/>
      </c>
      <c r="Q251" s="63">
        <f>IF(O251="","",IF(O251="Closed",N251-L251,"--"))</f>
        <v/>
      </c>
    </row>
    <row r="252" ht="15" customHeight="1" s="130">
      <c r="B252" s="64">
        <f>IF(C252="","",B251+1)</f>
        <v/>
      </c>
      <c r="C252" s="77" t="n"/>
      <c r="D252" s="77" t="n"/>
      <c r="E252" s="82" t="n"/>
      <c r="F252" s="77" t="n"/>
      <c r="G252" s="64" t="n"/>
      <c r="H252" s="78" t="n"/>
      <c r="I252" s="78" t="n"/>
      <c r="J252" s="78" t="n"/>
      <c r="K252" s="82" t="n"/>
      <c r="L252" s="89" t="n"/>
      <c r="M252" s="67" t="n"/>
      <c r="N252" s="89" t="n"/>
      <c r="P252" s="63">
        <f>IF(O252="","",IF(O252="Open",TODAY()-L252,"--"))</f>
        <v/>
      </c>
      <c r="Q252" s="63">
        <f>IF(O252="","",IF(O252="Closed",N252-L252,"--"))</f>
        <v/>
      </c>
    </row>
    <row r="253" ht="15" customHeight="1" s="130">
      <c r="B253" s="64">
        <f>IF(C253="","",B252+1)</f>
        <v/>
      </c>
      <c r="C253" s="77" t="n"/>
      <c r="D253" s="77" t="n"/>
      <c r="E253" s="82" t="n"/>
      <c r="F253" s="77" t="n"/>
      <c r="G253" s="64" t="n"/>
      <c r="H253" s="78" t="n"/>
      <c r="I253" s="78" t="n"/>
      <c r="J253" s="78" t="n"/>
      <c r="K253" s="66" t="n"/>
      <c r="L253" s="89" t="n"/>
      <c r="M253" s="67" t="n"/>
      <c r="N253" s="89" t="n"/>
      <c r="P253" s="63">
        <f>IF(O253="","",IF(O253="Open",TODAY()-L253,"--"))</f>
        <v/>
      </c>
      <c r="Q253" s="63">
        <f>IF(O253="","",IF(O253="Closed",N253-L253,"--"))</f>
        <v/>
      </c>
    </row>
    <row r="254" ht="15" customHeight="1" s="130">
      <c r="B254" s="64">
        <f>IF(C254="","",B253+1)</f>
        <v/>
      </c>
      <c r="C254" s="77" t="n"/>
      <c r="D254" s="77" t="n"/>
      <c r="E254" s="82" t="n"/>
      <c r="F254" s="77" t="n"/>
      <c r="G254" s="64" t="n"/>
      <c r="H254" s="78" t="n"/>
      <c r="I254" s="78" t="n"/>
      <c r="J254" s="78" t="n"/>
      <c r="K254" s="82" t="n"/>
      <c r="L254" s="89" t="n"/>
      <c r="M254" s="67" t="n"/>
      <c r="N254" s="89" t="n"/>
      <c r="P254" s="63">
        <f>IF(O254="","",IF(O254="Open",TODAY()-L254,"--"))</f>
        <v/>
      </c>
      <c r="Q254" s="63">
        <f>IF(O254="","",IF(O254="Closed",N254-L254,"--"))</f>
        <v/>
      </c>
    </row>
    <row r="255" ht="15" customHeight="1" s="130">
      <c r="B255" s="64">
        <f>IF(C255="","",B254+1)</f>
        <v/>
      </c>
      <c r="C255" s="77" t="n"/>
      <c r="D255" s="77" t="n"/>
      <c r="E255" s="82" t="n"/>
      <c r="F255" s="77" t="n"/>
      <c r="G255" s="64" t="n"/>
      <c r="H255" s="78" t="n"/>
      <c r="I255" s="78" t="n"/>
      <c r="J255" s="78" t="n"/>
      <c r="K255" s="82" t="n"/>
      <c r="L255" s="89" t="n"/>
      <c r="M255" s="67" t="n"/>
      <c r="N255" s="89" t="n"/>
      <c r="P255" s="63">
        <f>IF(O255="","",IF(O255="Open",TODAY()-L255,"--"))</f>
        <v/>
      </c>
      <c r="Q255" s="63">
        <f>IF(O255="","",IF(O255="Closed",N255-L255,"--"))</f>
        <v/>
      </c>
    </row>
    <row r="256" ht="15" customHeight="1" s="130">
      <c r="B256" s="64">
        <f>IF(C256="","",B255+1)</f>
        <v/>
      </c>
      <c r="C256" s="77" t="n"/>
      <c r="D256" s="77" t="n"/>
      <c r="E256" s="82" t="n"/>
      <c r="F256" s="77" t="n"/>
      <c r="G256" s="64" t="n"/>
      <c r="H256" s="78" t="n"/>
      <c r="I256" s="78" t="n"/>
      <c r="J256" s="78" t="n"/>
      <c r="K256" s="82" t="n"/>
      <c r="L256" s="89" t="n"/>
      <c r="M256" s="78" t="n"/>
      <c r="N256" s="79" t="n"/>
      <c r="P256" s="63">
        <f>IF(O256="","",IF(O256="Open",TODAY()-L256,"--"))</f>
        <v/>
      </c>
      <c r="Q256" s="63">
        <f>IF(O256="","",IF(O256="Closed",N256-L256,"--"))</f>
        <v/>
      </c>
    </row>
    <row r="257" ht="15" customHeight="1" s="130">
      <c r="B257" s="64">
        <f>IF(C257="","",B256+1)</f>
        <v/>
      </c>
      <c r="C257" s="77" t="n"/>
      <c r="D257" s="77" t="n"/>
      <c r="E257" s="82" t="n"/>
      <c r="F257" s="77" t="n"/>
      <c r="G257" s="64" t="n"/>
      <c r="H257" s="78" t="n"/>
      <c r="I257" s="78" t="n"/>
      <c r="J257" s="78" t="n"/>
      <c r="K257" s="82" t="n"/>
      <c r="L257" s="89" t="n"/>
      <c r="M257" s="67" t="n"/>
      <c r="N257" s="89" t="n"/>
      <c r="P257" s="63">
        <f>IF(O257="","",IF(O257="Open",TODAY()-L257,"--"))</f>
        <v/>
      </c>
      <c r="Q257" s="63">
        <f>IF(O257="","",IF(O257="Closed",N257-L257,"--"))</f>
        <v/>
      </c>
    </row>
    <row r="258" ht="15" customHeight="1" s="130">
      <c r="B258" s="64">
        <f>IF(C258="","",B257+1)</f>
        <v/>
      </c>
      <c r="C258" s="77" t="n"/>
      <c r="D258" s="77" t="n"/>
      <c r="E258" s="82" t="n"/>
      <c r="F258" s="77" t="n"/>
      <c r="G258" s="64" t="n"/>
      <c r="H258" s="78" t="n"/>
      <c r="I258" s="78" t="n"/>
      <c r="J258" s="78" t="n"/>
      <c r="K258" s="82" t="n"/>
      <c r="L258" s="89" t="n"/>
      <c r="M258" s="67" t="n"/>
      <c r="N258" s="89" t="n"/>
      <c r="P258" s="63">
        <f>IF(O258="","",IF(O258="Open",TODAY()-L258,"--"))</f>
        <v/>
      </c>
      <c r="Q258" s="63">
        <f>IF(O258="","",IF(O258="Closed",N258-L258,"--"))</f>
        <v/>
      </c>
    </row>
    <row r="259" ht="15" customHeight="1" s="130">
      <c r="B259" s="64">
        <f>IF(C259="","",B258+1)</f>
        <v/>
      </c>
      <c r="C259" s="77" t="n"/>
      <c r="D259" s="77" t="n"/>
      <c r="E259" s="82" t="n"/>
      <c r="F259" s="77" t="n"/>
      <c r="G259" s="64" t="n"/>
      <c r="H259" s="78" t="n"/>
      <c r="I259" s="78" t="n"/>
      <c r="J259" s="78" t="n"/>
      <c r="K259" s="82" t="n"/>
      <c r="L259" s="89" t="n"/>
      <c r="M259" s="67" t="n"/>
      <c r="N259" s="89" t="n"/>
      <c r="P259" s="63">
        <f>IF(O259="","",IF(O259="Open",TODAY()-L259,"--"))</f>
        <v/>
      </c>
      <c r="Q259" s="63">
        <f>IF(O259="","",IF(O259="Closed",N259-L259,"--"))</f>
        <v/>
      </c>
    </row>
    <row r="260" ht="15" customHeight="1" s="130">
      <c r="B260" s="64">
        <f>IF(C260="","",B259+1)</f>
        <v/>
      </c>
      <c r="C260" s="77" t="n"/>
      <c r="D260" s="77" t="n"/>
      <c r="E260" s="82" t="n"/>
      <c r="F260" s="77" t="n"/>
      <c r="G260" s="64" t="n"/>
      <c r="H260" s="78" t="n"/>
      <c r="I260" s="78" t="n"/>
      <c r="J260" s="78" t="n"/>
      <c r="K260" s="82" t="n"/>
      <c r="L260" s="89" t="n"/>
      <c r="M260" s="67" t="n"/>
      <c r="N260" s="89" t="n"/>
      <c r="P260" s="63">
        <f>IF(O260="","",IF(O260="Open",TODAY()-L260,"--"))</f>
        <v/>
      </c>
      <c r="Q260" s="63">
        <f>IF(O260="","",IF(O260="Closed",N260-L260,"--"))</f>
        <v/>
      </c>
    </row>
    <row r="261" ht="15" customHeight="1" s="130">
      <c r="B261" s="64">
        <f>IF(C261="","",B260+1)</f>
        <v/>
      </c>
      <c r="C261" s="77" t="n"/>
      <c r="D261" s="77" t="n"/>
      <c r="E261" s="82" t="n"/>
      <c r="F261" s="77" t="n"/>
      <c r="G261" s="64" t="n"/>
      <c r="H261" s="78" t="n"/>
      <c r="I261" s="78" t="n"/>
      <c r="J261" s="78" t="n"/>
      <c r="K261" s="91" t="n"/>
      <c r="L261" s="89" t="n"/>
      <c r="M261" s="67" t="n"/>
      <c r="N261" s="89" t="n"/>
      <c r="P261" s="63">
        <f>IF(O261="","",IF(O261="Open",TODAY()-L261,"--"))</f>
        <v/>
      </c>
      <c r="Q261" s="63">
        <f>IF(O261="","",IF(O261="Closed",N261-L261,"--"))</f>
        <v/>
      </c>
    </row>
    <row r="262" ht="15" customHeight="1" s="130">
      <c r="B262" s="64">
        <f>IF(C262="","",B261+1)</f>
        <v/>
      </c>
      <c r="C262" s="77" t="n"/>
      <c r="D262" s="77" t="n"/>
      <c r="E262" s="82" t="n"/>
      <c r="F262" s="77" t="n"/>
      <c r="G262" s="64" t="n"/>
      <c r="H262" s="78" t="n"/>
      <c r="I262" s="78" t="n"/>
      <c r="J262" s="78" t="n"/>
      <c r="K262" s="82" t="n"/>
      <c r="L262" s="89" t="n"/>
      <c r="M262" s="67" t="n"/>
      <c r="N262" s="89" t="n"/>
      <c r="P262" s="63">
        <f>IF(O262="","",IF(O262="Open",TODAY()-L262,"--"))</f>
        <v/>
      </c>
      <c r="Q262" s="63">
        <f>IF(O262="","",IF(O262="Closed",N262-L262,"--"))</f>
        <v/>
      </c>
    </row>
    <row r="263" ht="15" customHeight="1" s="130">
      <c r="B263" s="64">
        <f>IF(C263="","",B262+1)</f>
        <v/>
      </c>
      <c r="C263" s="77" t="n"/>
      <c r="D263" s="77" t="n"/>
      <c r="E263" s="82" t="n"/>
      <c r="F263" s="77" t="n"/>
      <c r="G263" s="64" t="n"/>
      <c r="H263" s="78" t="n"/>
      <c r="I263" s="67" t="n"/>
      <c r="J263" s="78" t="n"/>
      <c r="K263" s="82" t="n"/>
      <c r="L263" s="79" t="n"/>
      <c r="M263" s="78" t="n"/>
      <c r="N263" s="79" t="n"/>
      <c r="P263" s="63">
        <f>IF(O263="","",IF(O263="Open",TODAY()-L263,"--"))</f>
        <v/>
      </c>
      <c r="Q263" s="63">
        <f>IF(O263="","",IF(O263="Closed",N263-L263,"--"))</f>
        <v/>
      </c>
    </row>
    <row r="264" ht="15" customHeight="1" s="130">
      <c r="B264" s="64">
        <f>IF(C264="","",B263+1)</f>
        <v/>
      </c>
      <c r="C264" s="77" t="n"/>
      <c r="D264" s="77" t="n"/>
      <c r="E264" s="82" t="n"/>
      <c r="F264" s="77" t="n"/>
      <c r="G264" s="64" t="n"/>
      <c r="H264" s="78" t="n"/>
      <c r="I264" s="78" t="n"/>
      <c r="J264" s="78" t="n"/>
      <c r="K264" s="82" t="n"/>
      <c r="L264" s="89" t="n"/>
      <c r="M264" s="67" t="n"/>
      <c r="N264" s="89" t="n"/>
      <c r="P264" s="63">
        <f>IF(O264="","",IF(O264="Open",TODAY()-L264,"--"))</f>
        <v/>
      </c>
      <c r="Q264" s="63">
        <f>IF(O264="","",IF(O264="Closed",N264-L264,"--"))</f>
        <v/>
      </c>
    </row>
    <row r="265" ht="15" customHeight="1" s="130">
      <c r="B265" s="64">
        <f>IF(C265="","",B264+1)</f>
        <v/>
      </c>
      <c r="C265" s="77" t="n"/>
      <c r="D265" s="77" t="n"/>
      <c r="E265" s="82" t="n"/>
      <c r="F265" s="77" t="n"/>
      <c r="G265" s="64" t="n"/>
      <c r="H265" s="78" t="n"/>
      <c r="I265" s="67" t="n"/>
      <c r="J265" s="78" t="n"/>
      <c r="K265" s="82" t="n"/>
      <c r="L265" s="79" t="n"/>
      <c r="M265" s="78" t="n"/>
      <c r="N265" s="79" t="n"/>
      <c r="P265" s="63">
        <f>IF(O265="","",IF(O265="Open",TODAY()-L265,"--"))</f>
        <v/>
      </c>
      <c r="Q265" s="63">
        <f>IF(O265="","",IF(O265="Closed",N265-L265,"--"))</f>
        <v/>
      </c>
    </row>
    <row r="266" ht="15" customHeight="1" s="130">
      <c r="B266" s="64">
        <f>IF(C266="","",B265+1)</f>
        <v/>
      </c>
      <c r="C266" s="77" t="n"/>
      <c r="D266" s="65" t="n"/>
      <c r="E266" s="82" t="n"/>
      <c r="F266" s="77" t="n"/>
      <c r="G266" s="64" t="n"/>
      <c r="H266" s="78" t="n"/>
      <c r="I266" s="67" t="n"/>
      <c r="J266" s="78" t="n"/>
      <c r="K266" s="82" t="n"/>
      <c r="L266" s="89" t="n"/>
      <c r="M266" s="78" t="n"/>
      <c r="N266" s="79" t="n"/>
      <c r="P266" s="63">
        <f>IF(O266="","",IF(O266="Open",TODAY()-L266,"--"))</f>
        <v/>
      </c>
      <c r="Q266" s="63">
        <f>IF(O266="","",IF(O266="Closed",N266-L266,"--"))</f>
        <v/>
      </c>
    </row>
    <row r="267" ht="15" customHeight="1" s="130">
      <c r="B267" s="64">
        <f>IF(C267="","",B266+1)</f>
        <v/>
      </c>
      <c r="C267" s="77" t="n"/>
      <c r="D267" s="77" t="n"/>
      <c r="E267" s="82" t="n"/>
      <c r="F267" s="77" t="n"/>
      <c r="G267" s="64" t="n"/>
      <c r="H267" s="78" t="n"/>
      <c r="I267" s="78" t="n"/>
      <c r="J267" s="78" t="n"/>
      <c r="K267" s="82" t="n"/>
      <c r="L267" s="89" t="n"/>
      <c r="M267" s="78" t="n"/>
      <c r="N267" s="79" t="n"/>
      <c r="P267" s="63">
        <f>IF(O267="","",IF(O267="Open",TODAY()-L267,"--"))</f>
        <v/>
      </c>
      <c r="Q267" s="63">
        <f>IF(O267="","",IF(O267="Closed",N267-L267,"--"))</f>
        <v/>
      </c>
    </row>
    <row r="268" ht="15" customHeight="1" s="130">
      <c r="B268" s="64">
        <f>IF(C268="","",B267+1)</f>
        <v/>
      </c>
      <c r="C268" s="65" t="n"/>
      <c r="D268" s="77" t="n"/>
      <c r="E268" s="82" t="n"/>
      <c r="F268" s="77" t="n"/>
      <c r="G268" s="64" t="n"/>
      <c r="H268" s="78" t="n"/>
      <c r="I268" s="78" t="n"/>
      <c r="J268" s="78" t="n"/>
      <c r="K268" s="82" t="n"/>
      <c r="L268" s="89" t="n"/>
      <c r="M268" s="78" t="n"/>
      <c r="N268" s="79" t="n"/>
      <c r="P268" s="63">
        <f>IF(O268="","",IF(O268="Open",TODAY()-L268,"--"))</f>
        <v/>
      </c>
      <c r="Q268" s="63">
        <f>IF(O268="","",IF(O268="Closed",N268-L268,"--"))</f>
        <v/>
      </c>
    </row>
    <row r="269" ht="15" customHeight="1" s="130">
      <c r="B269" s="64">
        <f>IF(C269="","",B268+1)</f>
        <v/>
      </c>
      <c r="C269" s="65" t="n"/>
      <c r="D269" s="77" t="n"/>
      <c r="E269" s="82" t="n"/>
      <c r="F269" s="77" t="n"/>
      <c r="G269" s="64" t="n"/>
      <c r="H269" s="78" t="n"/>
      <c r="I269" s="78" t="n"/>
      <c r="J269" s="78" t="n"/>
      <c r="K269" s="82" t="n"/>
      <c r="L269" s="89" t="n"/>
      <c r="M269" s="78" t="n"/>
      <c r="N269" s="79" t="n"/>
      <c r="P269" s="63">
        <f>IF(O269="","",IF(O269="Open",TODAY()-L269,"--"))</f>
        <v/>
      </c>
      <c r="Q269" s="63">
        <f>IF(O269="","",IF(O269="Closed",N269-L269,"--"))</f>
        <v/>
      </c>
    </row>
    <row r="270" ht="15" customHeight="1" s="130">
      <c r="B270" s="64">
        <f>IF(C270="","",B269+1)</f>
        <v/>
      </c>
      <c r="C270" s="65" t="n"/>
      <c r="D270" s="77" t="n"/>
      <c r="E270" s="82" t="n"/>
      <c r="F270" s="77" t="n"/>
      <c r="G270" s="64" t="n"/>
      <c r="H270" s="78" t="n"/>
      <c r="I270" s="78" t="n"/>
      <c r="J270" s="78" t="n"/>
      <c r="K270" s="82" t="n"/>
      <c r="L270" s="89" t="n"/>
      <c r="M270" s="78" t="n"/>
      <c r="N270" s="79" t="n"/>
      <c r="P270" s="63">
        <f>IF(O270="","",IF(O270="Open",TODAY()-L270,"--"))</f>
        <v/>
      </c>
      <c r="Q270" s="63">
        <f>IF(O270="","",IF(O270="Closed",N270-L270,"--"))</f>
        <v/>
      </c>
    </row>
    <row r="271" ht="15" customHeight="1" s="130">
      <c r="B271" s="64">
        <f>IF(C271="","",B270+1)</f>
        <v/>
      </c>
      <c r="C271" s="65" t="n"/>
      <c r="D271" s="77" t="n"/>
      <c r="E271" s="82" t="n"/>
      <c r="F271" s="77" t="n"/>
      <c r="G271" s="64" t="n"/>
      <c r="H271" s="78" t="n"/>
      <c r="I271" s="78" t="n"/>
      <c r="J271" s="78" t="n"/>
      <c r="K271" s="82" t="n"/>
      <c r="L271" s="89" t="n"/>
      <c r="M271" s="78" t="n"/>
      <c r="N271" s="78" t="n"/>
      <c r="P271" s="63">
        <f>IF(O271="","",IF(O271="Open",TODAY()-L271,"--"))</f>
        <v/>
      </c>
      <c r="Q271" s="63">
        <f>IF(O271="","",IF(O271="Closed",N271-L271,"--"))</f>
        <v/>
      </c>
    </row>
    <row r="272" ht="15" customHeight="1" s="130">
      <c r="B272" s="64">
        <f>IF(C272="","",B271+1)</f>
        <v/>
      </c>
      <c r="C272" s="65" t="n"/>
      <c r="D272" s="77" t="n"/>
      <c r="E272" s="82" t="n"/>
      <c r="F272" s="77" t="n"/>
      <c r="G272" s="64" t="n"/>
      <c r="H272" s="78" t="n"/>
      <c r="I272" s="78" t="n"/>
      <c r="J272" s="78" t="n"/>
      <c r="K272" s="82" t="n"/>
      <c r="L272" s="89" t="n"/>
      <c r="M272" s="78" t="n"/>
      <c r="N272" s="78" t="n"/>
      <c r="P272" s="63">
        <f>IF(O272="","",IF(O272="Open",TODAY()-L272,"--"))</f>
        <v/>
      </c>
      <c r="Q272" s="63">
        <f>IF(O272="","",IF(O272="Closed",N272-L272,"--"))</f>
        <v/>
      </c>
    </row>
    <row r="273" ht="15" customHeight="1" s="130">
      <c r="B273" s="64">
        <f>IF(C273="","",B272+1)</f>
        <v/>
      </c>
      <c r="C273" s="65" t="n"/>
      <c r="D273" s="77" t="n"/>
      <c r="E273" s="82" t="n"/>
      <c r="F273" s="77" t="n"/>
      <c r="G273" s="64" t="n"/>
      <c r="H273" s="78" t="n"/>
      <c r="I273" s="78" t="n"/>
      <c r="J273" s="78" t="n"/>
      <c r="K273" s="82" t="n"/>
      <c r="L273" s="89" t="n"/>
      <c r="M273" s="78" t="n"/>
      <c r="N273" s="79" t="n"/>
      <c r="P273" s="63">
        <f>IF(O273="","",IF(O273="Open",TODAY()-L273,"--"))</f>
        <v/>
      </c>
      <c r="Q273" s="63">
        <f>IF(O273="","",IF(O273="Closed",N273-L273,"--"))</f>
        <v/>
      </c>
      <c r="R273" s="96" t="n"/>
      <c r="S273" s="79" t="n"/>
    </row>
    <row r="274" ht="15" customHeight="1" s="130">
      <c r="B274" s="64">
        <f>IF(C274="","",B273+1)</f>
        <v/>
      </c>
      <c r="C274" s="65" t="n"/>
      <c r="D274" s="77" t="n"/>
      <c r="E274" s="82" t="n"/>
      <c r="F274" s="77" t="n"/>
      <c r="G274" s="64" t="n"/>
      <c r="H274" s="78" t="n"/>
      <c r="I274" s="78" t="n"/>
      <c r="J274" s="78" t="n"/>
      <c r="K274" s="66" t="n"/>
      <c r="L274" s="89" t="n"/>
      <c r="M274" s="78" t="n"/>
      <c r="N274" s="79" t="n"/>
      <c r="P274" s="63">
        <f>IF(O274="","",IF(O274="Open",TODAY()-L274,"--"))</f>
        <v/>
      </c>
      <c r="Q274" s="63">
        <f>IF(O274="","",IF(O274="Closed",N274-L274,"--"))</f>
        <v/>
      </c>
    </row>
    <row r="275" ht="15" customHeight="1" s="130">
      <c r="B275" s="64">
        <f>IF(C275="","",B274+1)</f>
        <v/>
      </c>
      <c r="C275" s="65" t="n"/>
      <c r="D275" s="77" t="n"/>
      <c r="E275" s="82" t="n"/>
      <c r="F275" s="77" t="n"/>
      <c r="G275" s="64" t="n"/>
      <c r="H275" s="78" t="n"/>
      <c r="I275" s="78" t="n"/>
      <c r="J275" s="78" t="n"/>
      <c r="K275" s="66" t="n"/>
      <c r="L275" s="89" t="n"/>
      <c r="M275" s="78" t="n"/>
      <c r="N275" s="79" t="n"/>
      <c r="P275" s="63">
        <f>IF(O275="","",IF(O275="Open",TODAY()-L275,"--"))</f>
        <v/>
      </c>
      <c r="Q275" s="63">
        <f>IF(O275="","",IF(O275="Closed",N275-L275,"--"))</f>
        <v/>
      </c>
    </row>
    <row r="276" ht="15" customHeight="1" s="130">
      <c r="B276" s="64">
        <f>IF(C276="","",B275+1)</f>
        <v/>
      </c>
      <c r="C276" s="65" t="n"/>
      <c r="D276" s="65" t="n"/>
      <c r="E276" s="66" t="n"/>
      <c r="F276" s="77" t="n"/>
      <c r="G276" s="64" t="n"/>
      <c r="H276" s="78" t="n"/>
      <c r="I276" s="78" t="n"/>
      <c r="J276" s="78" t="n"/>
      <c r="K276" s="97" t="n"/>
      <c r="L276" s="89" t="n"/>
      <c r="M276" s="78" t="n"/>
      <c r="N276" s="79" t="n"/>
      <c r="P276" s="63">
        <f>IF(O276="","",IF(O276="Open",TODAY()-L276,"--"))</f>
        <v/>
      </c>
      <c r="Q276" s="63">
        <f>IF(O276="","",IF(O276="Closed",N276-L276,"--"))</f>
        <v/>
      </c>
      <c r="R276" s="96" t="n"/>
      <c r="S276" s="79" t="n"/>
    </row>
    <row r="277" ht="15" customHeight="1" s="130">
      <c r="B277" s="64">
        <f>IF(C277="","",B276+1)</f>
        <v/>
      </c>
      <c r="C277" s="77" t="n"/>
      <c r="D277" s="77" t="n"/>
      <c r="E277" s="82" t="n"/>
      <c r="F277" s="77" t="n"/>
      <c r="G277" s="64" t="n"/>
      <c r="H277" s="78" t="n"/>
      <c r="I277" s="78" t="n"/>
      <c r="J277" s="78" t="n"/>
      <c r="K277" s="98" t="n"/>
      <c r="L277" s="89" t="n"/>
      <c r="M277" s="78" t="n"/>
      <c r="N277" s="79" t="n"/>
      <c r="P277" s="63">
        <f>IF(O277="","",IF(O277="Open",TODAY()-L277,"--"))</f>
        <v/>
      </c>
      <c r="Q277" s="63">
        <f>IF(O277="","",IF(O277="Closed",N277-L277,"--"))</f>
        <v/>
      </c>
      <c r="R277" s="96" t="n"/>
      <c r="S277" s="79" t="n"/>
    </row>
    <row r="278" ht="15" customHeight="1" s="130">
      <c r="B278" s="64">
        <f>IF(C278="","",B277+1)</f>
        <v/>
      </c>
      <c r="C278" s="65" t="n"/>
      <c r="D278" s="77" t="n"/>
      <c r="E278" s="82" t="n"/>
      <c r="F278" s="77" t="n"/>
      <c r="G278" s="64" t="n"/>
      <c r="H278" s="78" t="n"/>
      <c r="I278" s="78" t="n"/>
      <c r="J278" s="78" t="n"/>
      <c r="K278" s="98" t="n"/>
      <c r="L278" s="89" t="n"/>
      <c r="M278" s="78" t="n"/>
      <c r="N278" s="79" t="n"/>
      <c r="P278" s="63">
        <f>IF(O278="","",IF(O278="Open",TODAY()-L278,"--"))</f>
        <v/>
      </c>
      <c r="Q278" s="63">
        <f>IF(O278="","",IF(O278="Closed",N278-L278,"--"))</f>
        <v/>
      </c>
      <c r="R278" s="96" t="n"/>
      <c r="S278" s="79" t="n"/>
    </row>
    <row r="279" ht="15" customHeight="1" s="130">
      <c r="B279" s="64">
        <f>IF(C279="","",B278+1)</f>
        <v/>
      </c>
      <c r="C279" s="77" t="n"/>
      <c r="D279" s="77" t="n"/>
      <c r="E279" s="82" t="n"/>
      <c r="F279" s="77" t="n"/>
      <c r="G279" s="64" t="n"/>
      <c r="H279" s="78" t="n"/>
      <c r="I279" s="78" t="n"/>
      <c r="J279" s="78" t="n"/>
      <c r="K279" s="98" t="n"/>
      <c r="L279" s="89" t="n"/>
      <c r="M279" s="78" t="n"/>
      <c r="N279" s="79" t="n"/>
      <c r="P279" s="63">
        <f>IF(O279="","",IF(O279="Open",TODAY()-L279,"--"))</f>
        <v/>
      </c>
      <c r="Q279" s="63">
        <f>IF(O279="","",IF(O279="Closed",N279-L279,"--"))</f>
        <v/>
      </c>
      <c r="R279" s="96" t="n"/>
      <c r="S279" s="79" t="n"/>
    </row>
    <row r="280" ht="15" customHeight="1" s="130">
      <c r="B280" s="64">
        <f>IF(C280="","",B279+1)</f>
        <v/>
      </c>
      <c r="C280" s="77" t="n"/>
      <c r="D280" s="77" t="n"/>
      <c r="E280" s="82" t="n"/>
      <c r="F280" s="77" t="n"/>
      <c r="G280" s="64" t="n"/>
      <c r="H280" s="78" t="n"/>
      <c r="I280" s="78" t="n"/>
      <c r="J280" s="78" t="n"/>
      <c r="K280" s="98" t="n"/>
      <c r="L280" s="89" t="n"/>
      <c r="M280" s="78" t="n"/>
      <c r="N280" s="79" t="n"/>
      <c r="P280" s="63">
        <f>IF(O280="","",IF(O280="Open",TODAY()-L280,"--"))</f>
        <v/>
      </c>
      <c r="Q280" s="63">
        <f>IF(O280="","",IF(O280="Closed",N280-L280,"--"))</f>
        <v/>
      </c>
      <c r="R280" s="96" t="n"/>
      <c r="S280" s="79" t="n"/>
    </row>
    <row r="281" ht="15" customHeight="1" s="130">
      <c r="B281" s="64">
        <f>IF(C281="","",B280+1)</f>
        <v/>
      </c>
      <c r="C281" s="65" t="n"/>
      <c r="D281" s="77" t="n"/>
      <c r="E281" s="82" t="n"/>
      <c r="F281" s="77" t="n"/>
      <c r="G281" s="64" t="n"/>
      <c r="H281" s="78" t="n"/>
      <c r="I281" s="78" t="n"/>
      <c r="J281" s="78" t="n"/>
      <c r="K281" s="98" t="n"/>
      <c r="L281" s="89" t="n"/>
      <c r="M281" s="78" t="n"/>
      <c r="N281" s="79" t="n"/>
      <c r="P281" s="63">
        <f>IF(O281="","",IF(O281="Open",TODAY()-L281,"--"))</f>
        <v/>
      </c>
      <c r="Q281" s="63">
        <f>IF(O281="","",IF(O281="Closed",N281-L281,"--"))</f>
        <v/>
      </c>
      <c r="R281" s="96" t="n"/>
      <c r="S281" s="79" t="n"/>
    </row>
    <row r="282" ht="15" customHeight="1" s="130">
      <c r="B282" s="64">
        <f>IF(C282="","",B281+1)</f>
        <v/>
      </c>
      <c r="C282" s="65" t="n"/>
      <c r="D282" s="77" t="n"/>
      <c r="E282" s="82" t="n"/>
      <c r="F282" s="77" t="n"/>
      <c r="G282" s="64" t="n"/>
      <c r="H282" s="78" t="n"/>
      <c r="I282" s="78" t="n"/>
      <c r="J282" s="78" t="n"/>
      <c r="K282" s="98" t="n"/>
      <c r="L282" s="89" t="n"/>
      <c r="M282" s="78" t="n"/>
      <c r="N282" s="79" t="n"/>
      <c r="P282" s="63">
        <f>IF(O282="","",IF(O282="Open",TODAY()-L282,"--"))</f>
        <v/>
      </c>
      <c r="Q282" s="63">
        <f>IF(O282="","",IF(O282="Closed",N282-L282,"--"))</f>
        <v/>
      </c>
      <c r="R282" s="96" t="n"/>
      <c r="S282" s="79" t="n"/>
    </row>
    <row r="283" ht="15" customHeight="1" s="130">
      <c r="B283" s="64">
        <f>IF(C283="","",B282+1)</f>
        <v/>
      </c>
      <c r="C283" s="77" t="n"/>
      <c r="D283" s="77" t="n"/>
      <c r="E283" s="82" t="n"/>
      <c r="F283" s="77" t="n"/>
      <c r="G283" s="64" t="n"/>
      <c r="H283" s="78" t="n"/>
      <c r="I283" s="78" t="n"/>
      <c r="J283" s="78" t="n"/>
      <c r="K283" s="98" t="n"/>
      <c r="L283" s="79" t="n"/>
      <c r="M283" s="78" t="n"/>
      <c r="N283" s="79" t="n"/>
      <c r="P283" s="63">
        <f>IF(O283="","",IF(O283="Open",TODAY()-L283,"--"))</f>
        <v/>
      </c>
      <c r="Q283" s="63">
        <f>IF(O283="","",IF(O283="Closed",N283-L283,"--"))</f>
        <v/>
      </c>
      <c r="R283" s="96" t="n"/>
      <c r="S283" s="79" t="n"/>
    </row>
    <row r="284" ht="15" customHeight="1" s="130">
      <c r="B284" s="64">
        <f>IF(C284="","",B283+1)</f>
        <v/>
      </c>
      <c r="C284" s="77" t="n"/>
      <c r="D284" s="77" t="n"/>
      <c r="E284" s="82" t="n"/>
      <c r="F284" s="77" t="n"/>
      <c r="G284" s="64" t="n"/>
      <c r="H284" s="78" t="n"/>
      <c r="I284" s="78" t="n"/>
      <c r="J284" s="78" t="n"/>
      <c r="K284" s="82" t="n"/>
      <c r="L284" s="79" t="n"/>
      <c r="M284" s="78" t="n"/>
      <c r="N284" s="79" t="n"/>
      <c r="P284" s="63">
        <f>IF(O284="","",IF(O284="Open",TODAY()-L284,"--"))</f>
        <v/>
      </c>
      <c r="Q284" s="63">
        <f>IF(O284="","",IF(O284="Closed",N284-L284,"--"))</f>
        <v/>
      </c>
      <c r="R284" s="96" t="n"/>
      <c r="S284" s="79" t="n"/>
    </row>
    <row r="285" ht="15" customHeight="1" s="130">
      <c r="B285" s="64">
        <f>IF(C285="","",B284+1)</f>
        <v/>
      </c>
      <c r="C285" s="77" t="n"/>
      <c r="D285" s="77" t="n"/>
      <c r="E285" s="82" t="n"/>
      <c r="F285" s="77" t="n"/>
      <c r="G285" s="64" t="n"/>
      <c r="H285" s="78" t="n"/>
      <c r="I285" s="78" t="n"/>
      <c r="J285" s="78" t="n"/>
      <c r="K285" s="82" t="n"/>
      <c r="L285" s="79" t="n"/>
      <c r="M285" s="78" t="n"/>
      <c r="N285" s="79" t="n"/>
      <c r="P285" s="63">
        <f>IF(O285="","",IF(O285="Open",TODAY()-L285,"--"))</f>
        <v/>
      </c>
      <c r="Q285" s="63">
        <f>IF(O285="","",IF(O285="Closed",N285-L285,"--"))</f>
        <v/>
      </c>
      <c r="R285" s="96" t="n"/>
      <c r="S285" s="79" t="n"/>
    </row>
    <row r="286" ht="15" customHeight="1" s="130">
      <c r="B286" s="64">
        <f>IF(C286="","",B285+1)</f>
        <v/>
      </c>
      <c r="C286" s="77" t="n"/>
      <c r="D286" s="77" t="n"/>
      <c r="E286" s="82" t="n"/>
      <c r="F286" s="77" t="n"/>
      <c r="G286" s="64" t="n"/>
      <c r="H286" s="78" t="n"/>
      <c r="I286" s="78" t="n"/>
      <c r="J286" s="78" t="n"/>
      <c r="K286" s="98" t="n"/>
      <c r="L286" s="79" t="n"/>
      <c r="M286" s="78" t="n"/>
      <c r="N286" s="79" t="n"/>
      <c r="P286" s="63">
        <f>IF(O286="","",IF(O286="Open",TODAY()-L286,"--"))</f>
        <v/>
      </c>
      <c r="Q286" s="63">
        <f>IF(O286="","",IF(O286="Closed",N286-L286,"--"))</f>
        <v/>
      </c>
    </row>
    <row r="287" ht="15" customHeight="1" s="130">
      <c r="B287" s="64">
        <f>IF(C287="","",B286+1)</f>
        <v/>
      </c>
      <c r="C287" s="77" t="n"/>
      <c r="D287" s="77" t="n"/>
      <c r="E287" s="82" t="n"/>
      <c r="F287" s="77" t="n"/>
      <c r="G287" s="64" t="n"/>
      <c r="H287" s="78" t="n"/>
      <c r="I287" s="78" t="n"/>
      <c r="J287" s="78" t="n"/>
      <c r="K287" s="98" t="n"/>
      <c r="L287" s="79" t="n"/>
      <c r="M287" s="78" t="n"/>
      <c r="N287" s="79" t="n"/>
      <c r="P287" s="63">
        <f>IF(O287="","",IF(O287="Open",TODAY()-L287,"--"))</f>
        <v/>
      </c>
      <c r="Q287" s="63">
        <f>IF(O287="","",IF(O287="Closed",N287-L287,"--"))</f>
        <v/>
      </c>
    </row>
    <row r="288" ht="15" customHeight="1" s="130">
      <c r="B288" s="64">
        <f>IF(C288="","",B287+1)</f>
        <v/>
      </c>
      <c r="C288" s="77" t="n"/>
      <c r="D288" s="77" t="n"/>
      <c r="E288" s="82" t="n"/>
      <c r="F288" s="77" t="n"/>
      <c r="G288" s="64" t="n"/>
      <c r="H288" s="78" t="n"/>
      <c r="I288" s="78" t="n"/>
      <c r="J288" s="78" t="n"/>
      <c r="K288" s="98" t="n"/>
      <c r="L288" s="79" t="n"/>
      <c r="M288" s="78" t="n"/>
      <c r="N288" s="79" t="n"/>
      <c r="P288" s="63">
        <f>IF(O288="","",IF(O288="Open",TODAY()-L288,"--"))</f>
        <v/>
      </c>
      <c r="Q288" s="63">
        <f>IF(O288="","",IF(O288="Closed",N288-L288,"--"))</f>
        <v/>
      </c>
    </row>
    <row r="289" ht="15" customHeight="1" s="130">
      <c r="B289" s="64">
        <f>IF(C289="","",B288+1)</f>
        <v/>
      </c>
      <c r="C289" s="77" t="n"/>
      <c r="D289" s="77" t="n"/>
      <c r="E289" s="82" t="n"/>
      <c r="F289" s="77" t="n"/>
      <c r="G289" s="64" t="n"/>
      <c r="H289" s="67" t="n"/>
      <c r="I289" s="99" t="n"/>
      <c r="J289" s="67" t="n"/>
      <c r="K289" s="98" t="n"/>
      <c r="L289" s="79" t="n"/>
      <c r="M289" s="78" t="n"/>
      <c r="N289" s="79" t="n"/>
      <c r="P289" s="63">
        <f>IF(O289="","",IF(O289="Open",TODAY()-L289,"--"))</f>
        <v/>
      </c>
      <c r="Q289" s="63">
        <f>IF(O289="","",IF(O289="Closed",N289-L289,"--"))</f>
        <v/>
      </c>
    </row>
    <row r="290" ht="15" customHeight="1" s="130">
      <c r="B290" s="64">
        <f>IF(C290="","",B289+1)</f>
        <v/>
      </c>
      <c r="C290" s="77" t="n"/>
      <c r="D290" s="77" t="n"/>
      <c r="E290" s="82" t="n"/>
      <c r="F290" s="77" t="n"/>
      <c r="G290" s="64" t="n"/>
      <c r="H290" s="67" t="n"/>
      <c r="I290" s="99" t="n"/>
      <c r="J290" s="67" t="n"/>
      <c r="K290" s="98" t="n"/>
      <c r="L290" s="79" t="n"/>
      <c r="M290" s="78" t="n"/>
      <c r="N290" s="79" t="n"/>
      <c r="P290" s="63">
        <f>IF(O290="","",IF(O290="Open",TODAY()-L290,"--"))</f>
        <v/>
      </c>
      <c r="Q290" s="63">
        <f>IF(O290="","",IF(O290="Closed",N290-L290,"--"))</f>
        <v/>
      </c>
    </row>
    <row r="291" ht="15" customHeight="1" s="130">
      <c r="B291" s="64">
        <f>IF(C291="","",B290+1)</f>
        <v/>
      </c>
      <c r="C291" s="65" t="n"/>
      <c r="D291" s="77" t="n"/>
      <c r="E291" s="82" t="n"/>
      <c r="F291" s="77" t="n"/>
      <c r="G291" s="64" t="n"/>
      <c r="H291" s="78" t="n"/>
      <c r="I291" s="99" t="n"/>
      <c r="J291" s="78" t="n"/>
      <c r="K291" s="98" t="n"/>
      <c r="L291" s="79" t="n"/>
      <c r="M291" s="78" t="n"/>
      <c r="N291" s="79" t="n"/>
      <c r="P291" s="63">
        <f>IF(O291="","",IF(O291="Open",TODAY()-L291,"--"))</f>
        <v/>
      </c>
      <c r="Q291" s="63">
        <f>IF(O291="","",IF(O291="Closed",N291-L291,"--"))</f>
        <v/>
      </c>
    </row>
    <row r="292" ht="15" customHeight="1" s="130">
      <c r="B292" s="64">
        <f>IF(C292="","",B291+1)</f>
        <v/>
      </c>
      <c r="C292" s="65" t="n"/>
      <c r="D292" s="77" t="n"/>
      <c r="E292" s="82" t="n"/>
      <c r="F292" s="77" t="n"/>
      <c r="G292" s="64" t="n"/>
      <c r="H292" s="78" t="n"/>
      <c r="I292" s="99" t="n"/>
      <c r="J292" s="67" t="n"/>
      <c r="K292" s="82" t="n"/>
      <c r="L292" s="79" t="n"/>
      <c r="M292" s="78" t="n"/>
      <c r="N292" s="79" t="n"/>
      <c r="P292" s="63">
        <f>IF(O292="","",IF(O292="Open",TODAY()-L292,"--"))</f>
        <v/>
      </c>
      <c r="Q292" s="63">
        <f>IF(O292="","",IF(O292="Closed",N292-L292,"--"))</f>
        <v/>
      </c>
    </row>
    <row r="293" ht="15" customHeight="1" s="130">
      <c r="B293" s="64">
        <f>IF(C293="","",B292+1)</f>
        <v/>
      </c>
      <c r="C293" s="65" t="n"/>
      <c r="D293" s="77" t="n"/>
      <c r="E293" s="82" t="n"/>
      <c r="F293" s="77" t="n"/>
      <c r="G293" s="64" t="n"/>
      <c r="H293" s="78" t="n"/>
      <c r="I293" s="99" t="n"/>
      <c r="J293" s="78" t="n"/>
      <c r="K293" s="82" t="n"/>
      <c r="L293" s="79" t="n"/>
      <c r="M293" s="78" t="n"/>
      <c r="N293" s="79" t="n"/>
      <c r="P293" s="63">
        <f>IF(O293="","",IF(O293="Open",TODAY()-L293,"--"))</f>
        <v/>
      </c>
      <c r="Q293" s="63">
        <f>IF(O293="","",IF(O293="Closed",N293-L293,"--"))</f>
        <v/>
      </c>
    </row>
    <row r="294" ht="15" customHeight="1" s="130">
      <c r="B294" s="64">
        <f>IF(C294="","",B293+1)</f>
        <v/>
      </c>
      <c r="C294" s="65" t="n"/>
      <c r="D294" s="77" t="n"/>
      <c r="E294" s="82" t="n"/>
      <c r="F294" s="77" t="n"/>
      <c r="G294" s="64" t="n"/>
      <c r="H294" s="78" t="n"/>
      <c r="I294" s="99" t="n"/>
      <c r="J294" s="78" t="n"/>
      <c r="K294" s="82" t="n"/>
      <c r="L294" s="79" t="n"/>
      <c r="M294" s="78" t="n"/>
      <c r="N294" s="79" t="n"/>
      <c r="P294" s="63">
        <f>IF(O294="","",IF(O294="Open",TODAY()-L294,"--"))</f>
        <v/>
      </c>
      <c r="Q294" s="63">
        <f>IF(O294="","",IF(O294="Closed",N294-L294,"--"))</f>
        <v/>
      </c>
    </row>
    <row r="295" ht="15" customHeight="1" s="130">
      <c r="B295" s="64">
        <f>IF(C295="","",B294+1)</f>
        <v/>
      </c>
      <c r="C295" s="65" t="n"/>
      <c r="D295" s="77" t="n"/>
      <c r="E295" s="82" t="n"/>
      <c r="F295" s="77" t="n"/>
      <c r="G295" s="64" t="n"/>
      <c r="H295" s="78" t="n"/>
      <c r="I295" s="99" t="n"/>
      <c r="J295" s="78" t="n"/>
      <c r="K295" s="82" t="n"/>
      <c r="L295" s="79" t="n"/>
      <c r="M295" s="78" t="n"/>
      <c r="N295" s="79" t="n"/>
      <c r="P295" s="63">
        <f>IF(O295="","",IF(O295="Open",TODAY()-L295,"--"))</f>
        <v/>
      </c>
      <c r="Q295" s="63">
        <f>IF(O295="","",IF(O295="Closed",N295-L295,"--"))</f>
        <v/>
      </c>
    </row>
    <row r="296" ht="15" customHeight="1" s="130">
      <c r="B296" s="64">
        <f>IF(C296="","",B295+1)</f>
        <v/>
      </c>
      <c r="C296" s="65" t="n"/>
      <c r="D296" s="77" t="n"/>
      <c r="E296" s="82" t="n"/>
      <c r="F296" s="77" t="n"/>
      <c r="G296" s="64" t="n"/>
      <c r="H296" s="78" t="n"/>
      <c r="I296" s="99" t="n"/>
      <c r="J296" s="67" t="n"/>
      <c r="K296" s="82" t="n"/>
      <c r="L296" s="79" t="n"/>
      <c r="M296" s="78" t="n"/>
      <c r="N296" s="78" t="n"/>
      <c r="P296" s="63">
        <f>IF(O296="","",IF(O296="Open",TODAY()-L296,"--"))</f>
        <v/>
      </c>
      <c r="Q296" s="63">
        <f>IF(O296="","",IF(O296="Closed",N296-L296,"--"))</f>
        <v/>
      </c>
    </row>
    <row r="297" ht="15" customHeight="1" s="130">
      <c r="B297" s="64">
        <f>IF(C297="","",B296+1)</f>
        <v/>
      </c>
      <c r="C297" s="65" t="n"/>
      <c r="D297" s="77" t="n"/>
      <c r="E297" s="82" t="n"/>
      <c r="F297" s="77" t="n"/>
      <c r="G297" s="64" t="n"/>
      <c r="H297" s="78" t="n"/>
      <c r="I297" s="99" t="n"/>
      <c r="J297" s="78" t="n"/>
      <c r="K297" s="82" t="n"/>
      <c r="L297" s="79" t="n"/>
      <c r="M297" s="78" t="n"/>
      <c r="N297" s="79" t="n"/>
      <c r="P297" s="63">
        <f>IF(O297="","",IF(O297="Open",TODAY()-L297,"--"))</f>
        <v/>
      </c>
      <c r="Q297" s="63">
        <f>IF(O297="","",IF(O297="Closed",N297-L297,"--"))</f>
        <v/>
      </c>
    </row>
    <row r="298" ht="15" customHeight="1" s="130">
      <c r="B298" s="64">
        <f>IF(C298="","",B297+1)</f>
        <v/>
      </c>
      <c r="C298" s="65" t="n"/>
      <c r="D298" s="77" t="n"/>
      <c r="E298" s="82" t="n"/>
      <c r="F298" s="77" t="n"/>
      <c r="G298" s="64" t="n"/>
      <c r="H298" s="78" t="n"/>
      <c r="I298" s="99" t="n"/>
      <c r="J298" s="67" t="n"/>
      <c r="K298" s="82" t="n"/>
      <c r="L298" s="79" t="n"/>
      <c r="M298" s="78" t="n"/>
      <c r="N298" s="79" t="n"/>
      <c r="P298" s="63">
        <f>IF(O298="","",IF(O298="Open",TODAY()-L298,"--"))</f>
        <v/>
      </c>
      <c r="Q298" s="63">
        <f>IF(O298="","",IF(O298="Closed",N298-L298,"--"))</f>
        <v/>
      </c>
    </row>
    <row r="299" ht="15" customHeight="1" s="130">
      <c r="B299" s="64">
        <f>IF(C299="","",B298+1)</f>
        <v/>
      </c>
      <c r="C299" s="65" t="n"/>
      <c r="D299" s="77" t="n"/>
      <c r="E299" s="82" t="n"/>
      <c r="F299" s="77" t="n"/>
      <c r="G299" s="64" t="n"/>
      <c r="H299" s="78" t="n"/>
      <c r="I299" s="99" t="n"/>
      <c r="J299" s="78" t="n"/>
      <c r="K299" s="82" t="n"/>
      <c r="L299" s="79" t="n"/>
      <c r="M299" s="78" t="n"/>
      <c r="N299" s="79" t="n"/>
      <c r="P299" s="63">
        <f>IF(O299="","",IF(O299="Open",TODAY()-L299,"--"))</f>
        <v/>
      </c>
      <c r="Q299" s="63">
        <f>IF(O299="","",IF(O299="Closed",N299-L299,"--"))</f>
        <v/>
      </c>
    </row>
    <row r="300" ht="15" customHeight="1" s="130">
      <c r="B300" s="64">
        <f>IF(C300="","",B299+1)</f>
        <v/>
      </c>
      <c r="C300" s="65" t="n"/>
      <c r="D300" s="77" t="n"/>
      <c r="E300" s="82" t="n"/>
      <c r="F300" s="77" t="n"/>
      <c r="G300" s="64" t="n"/>
      <c r="H300" s="78" t="n"/>
      <c r="I300" s="99" t="n"/>
      <c r="J300" s="78" t="n"/>
      <c r="K300" s="82" t="n"/>
      <c r="L300" s="79" t="n"/>
      <c r="M300" s="78" t="n"/>
      <c r="N300" s="79" t="n"/>
      <c r="P300" s="63">
        <f>IF(O300="","",IF(O300="Open",TODAY()-L300,"--"))</f>
        <v/>
      </c>
      <c r="Q300" s="63">
        <f>IF(O300="","",IF(O300="Closed",N300-L300,"--"))</f>
        <v/>
      </c>
    </row>
    <row r="301" ht="15" customHeight="1" s="130">
      <c r="B301" s="64">
        <f>IF(C301="","",B300+1)</f>
        <v/>
      </c>
      <c r="C301" s="65" t="n"/>
      <c r="D301" s="65" t="n"/>
      <c r="E301" s="82" t="n"/>
      <c r="F301" s="77" t="n"/>
      <c r="G301" s="64" t="n"/>
      <c r="H301" s="78" t="n"/>
      <c r="I301" s="99" t="n"/>
      <c r="J301" s="78" t="n"/>
      <c r="K301" s="82" t="n"/>
      <c r="L301" s="79" t="n"/>
      <c r="M301" s="78" t="n"/>
      <c r="N301" s="79" t="n"/>
      <c r="P301" s="63">
        <f>IF(O301="","",IF(O301="Open",TODAY()-L301,"--"))</f>
        <v/>
      </c>
      <c r="Q301" s="63">
        <f>IF(O301="","",IF(O301="Closed",N301-L301,"--"))</f>
        <v/>
      </c>
    </row>
    <row r="302" ht="15" customHeight="1" s="130">
      <c r="B302" s="64">
        <f>IF(C302="","",B301+1)</f>
        <v/>
      </c>
      <c r="C302" s="65" t="n"/>
      <c r="D302" s="65" t="n"/>
      <c r="E302" s="82" t="n"/>
      <c r="F302" s="77" t="n"/>
      <c r="G302" s="64" t="n"/>
      <c r="H302" s="78" t="n"/>
      <c r="I302" s="99" t="n"/>
      <c r="J302" s="78" t="n"/>
      <c r="K302" s="82" t="n"/>
      <c r="L302" s="79" t="n"/>
      <c r="M302" s="78" t="n"/>
      <c r="N302" s="79" t="n"/>
      <c r="P302" s="63">
        <f>IF(O302="","",IF(O302="Open",TODAY()-L302,"--"))</f>
        <v/>
      </c>
      <c r="Q302" s="63">
        <f>IF(O302="","",IF(O302="Closed",N302-L302,"--"))</f>
        <v/>
      </c>
    </row>
    <row r="303" ht="15" customHeight="1" s="130">
      <c r="B303" s="64">
        <f>IF(C303="","",B302+1)</f>
        <v/>
      </c>
      <c r="C303" s="65" t="n"/>
      <c r="D303" s="77" t="n"/>
      <c r="E303" s="82" t="n"/>
      <c r="F303" s="77" t="n"/>
      <c r="G303" s="64" t="n"/>
      <c r="H303" s="78" t="n"/>
      <c r="I303" s="99" t="n"/>
      <c r="J303" s="67" t="n"/>
      <c r="K303" s="82" t="n"/>
      <c r="L303" s="79" t="n"/>
      <c r="M303" s="78" t="n"/>
      <c r="N303" s="79" t="n"/>
      <c r="P303" s="63">
        <f>IF(O303="","",IF(O303="Open",TODAY()-L303,"--"))</f>
        <v/>
      </c>
      <c r="Q303" s="63">
        <f>IF(O303="","",IF(O303="Closed",N303-L303,"--"))</f>
        <v/>
      </c>
    </row>
    <row r="304" ht="15" customHeight="1" s="130">
      <c r="B304" s="64">
        <f>IF(C304="","",B303+1)</f>
        <v/>
      </c>
      <c r="C304" s="65" t="n"/>
      <c r="D304" s="77" t="n"/>
      <c r="E304" s="82" t="n"/>
      <c r="F304" s="77" t="n"/>
      <c r="G304" s="64" t="n"/>
      <c r="H304" s="78" t="n"/>
      <c r="I304" s="99" t="n"/>
      <c r="J304" s="67" t="n"/>
      <c r="K304" s="82" t="n"/>
      <c r="L304" s="79" t="n"/>
      <c r="M304" s="78" t="n"/>
      <c r="N304" s="79" t="n"/>
      <c r="P304" s="63">
        <f>IF(O304="","",IF(O304="Open",TODAY()-L304,"--"))</f>
        <v/>
      </c>
      <c r="Q304" s="63">
        <f>IF(O304="","",IF(O304="Closed",N304-L304,"--"))</f>
        <v/>
      </c>
    </row>
    <row r="305" ht="15" customHeight="1" s="130">
      <c r="B305" s="64">
        <f>IF(C305="","",B304+1)</f>
        <v/>
      </c>
      <c r="C305" s="65" t="n"/>
      <c r="D305" s="77" t="n"/>
      <c r="E305" s="82" t="n"/>
      <c r="F305" s="77" t="n"/>
      <c r="G305" s="64" t="n"/>
      <c r="H305" s="78" t="n"/>
      <c r="I305" s="99" t="n"/>
      <c r="J305" s="67" t="n"/>
      <c r="K305" s="82" t="n"/>
      <c r="L305" s="79" t="n"/>
      <c r="M305" s="78" t="n"/>
      <c r="N305" s="79" t="n"/>
      <c r="P305" s="63">
        <f>IF(O305="","",IF(O305="Open",TODAY()-L305,"--"))</f>
        <v/>
      </c>
      <c r="Q305" s="63">
        <f>IF(O305="","",IF(O305="Closed",N305-L305,"--"))</f>
        <v/>
      </c>
    </row>
    <row r="306" ht="15" customHeight="1" s="130">
      <c r="B306" s="64">
        <f>IF(C306="","",B305+1)</f>
        <v/>
      </c>
      <c r="C306" s="65" t="n"/>
      <c r="D306" s="77" t="n"/>
      <c r="E306" s="82" t="n"/>
      <c r="F306" s="77" t="n"/>
      <c r="G306" s="64" t="n"/>
      <c r="H306" s="78" t="n"/>
      <c r="I306" s="99" t="n"/>
      <c r="J306" s="67" t="n"/>
      <c r="K306" s="82" t="n"/>
      <c r="L306" s="79" t="n"/>
      <c r="M306" s="78" t="n"/>
      <c r="N306" s="79" t="n"/>
      <c r="P306" s="63">
        <f>IF(O306="","",IF(O306="Open",TODAY()-L306,"--"))</f>
        <v/>
      </c>
      <c r="Q306" s="63">
        <f>IF(O306="","",IF(O306="Closed",N306-L306,"--"))</f>
        <v/>
      </c>
    </row>
    <row r="307" ht="15" customHeight="1" s="130">
      <c r="B307" s="64">
        <f>IF(C307="","",B306+1)</f>
        <v/>
      </c>
      <c r="C307" s="77" t="n"/>
      <c r="D307" s="77" t="n"/>
      <c r="E307" s="82" t="n"/>
      <c r="F307" s="77" t="n"/>
      <c r="G307" s="64" t="n"/>
      <c r="H307" s="78" t="n"/>
      <c r="I307" s="99" t="n"/>
      <c r="J307" s="78" t="n"/>
      <c r="K307" s="82" t="n"/>
      <c r="L307" s="79" t="n"/>
      <c r="M307" s="78" t="n"/>
      <c r="N307" s="79" t="n"/>
      <c r="P307" s="63">
        <f>IF(O307="","",IF(O307="Open",TODAY()-L307,"--"))</f>
        <v/>
      </c>
      <c r="Q307" s="63">
        <f>IF(O307="","",IF(O307="Closed",N307-L307,"--"))</f>
        <v/>
      </c>
    </row>
    <row r="308" ht="15" customHeight="1" s="130">
      <c r="B308" s="64">
        <f>IF(C308="","",B307+1)</f>
        <v/>
      </c>
      <c r="C308" s="77" t="n"/>
      <c r="D308" s="77" t="n"/>
      <c r="E308" s="82" t="n"/>
      <c r="F308" s="77" t="n"/>
      <c r="G308" s="64" t="n"/>
      <c r="H308" s="78" t="n"/>
      <c r="I308" s="99" t="n"/>
      <c r="J308" s="78" t="n"/>
      <c r="K308" s="82" t="n"/>
      <c r="L308" s="79" t="n"/>
      <c r="M308" s="78" t="n"/>
      <c r="N308" s="79" t="n"/>
      <c r="P308" s="63">
        <f>IF(O308="","",IF(O308="Open",TODAY()-L308,"--"))</f>
        <v/>
      </c>
      <c r="Q308" s="63">
        <f>IF(O308="","",IF(O308="Closed",N308-L308,"--"))</f>
        <v/>
      </c>
    </row>
    <row r="309" ht="15" customHeight="1" s="130">
      <c r="B309" s="64">
        <f>IF(C309="","",B308+1)</f>
        <v/>
      </c>
      <c r="C309" s="65" t="n"/>
      <c r="D309" s="77" t="n"/>
      <c r="E309" s="82" t="n"/>
      <c r="F309" s="77" t="n"/>
      <c r="G309" s="64" t="n"/>
      <c r="H309" s="78" t="n"/>
      <c r="I309" s="99" t="n"/>
      <c r="J309" s="78" t="n"/>
      <c r="K309" s="82" t="n"/>
      <c r="L309" s="79" t="n"/>
      <c r="M309" s="78" t="n"/>
      <c r="N309" s="79" t="n"/>
      <c r="P309" s="63">
        <f>IF(O309="","",IF(O309="Open",TODAY()-L309,"--"))</f>
        <v/>
      </c>
      <c r="Q309" s="63">
        <f>IF(O309="","",IF(O309="Closed",N309-L309,"--"))</f>
        <v/>
      </c>
    </row>
    <row r="310" ht="15" customHeight="1" s="130">
      <c r="B310" s="64">
        <f>IF(C310="","",B309+1)</f>
        <v/>
      </c>
      <c r="C310" s="100" t="n"/>
      <c r="D310" s="77" t="n"/>
      <c r="E310" s="82" t="n"/>
      <c r="F310" s="77" t="n"/>
      <c r="G310" s="64" t="n"/>
      <c r="H310" s="101" t="n"/>
      <c r="I310" s="102" t="n"/>
      <c r="J310" s="78" t="n"/>
      <c r="K310" s="82" t="n"/>
      <c r="L310" s="79" t="n"/>
      <c r="M310" s="78" t="n"/>
      <c r="N310" s="79" t="n"/>
      <c r="P310" s="63">
        <f>IF(O310="","",IF(O310="Open",TODAY()-L310,"--"))</f>
        <v/>
      </c>
      <c r="Q310" s="63">
        <f>IF(O310="","",IF(O310="Closed",N310-L310,"--"))</f>
        <v/>
      </c>
    </row>
    <row r="311" ht="15" customHeight="1" s="130">
      <c r="B311" s="64">
        <f>IF(C311="","",B310+1)</f>
        <v/>
      </c>
      <c r="C311" s="100" t="n"/>
      <c r="D311" s="77" t="n"/>
      <c r="E311" s="82" t="n"/>
      <c r="F311" s="77" t="n"/>
      <c r="G311" s="64" t="n"/>
      <c r="H311" s="101" t="n"/>
      <c r="I311" s="102" t="n"/>
      <c r="J311" s="67" t="n"/>
      <c r="K311" s="82" t="n"/>
      <c r="L311" s="79" t="n"/>
      <c r="M311" s="78" t="n"/>
      <c r="N311" s="79" t="n"/>
      <c r="P311" s="63">
        <f>IF(O311="","",IF(O311="Open",TODAY()-L311,"--"))</f>
        <v/>
      </c>
      <c r="Q311" s="63">
        <f>IF(O311="","",IF(O311="Closed",N311-L311,"--"))</f>
        <v/>
      </c>
    </row>
    <row r="312" ht="15" customHeight="1" s="130">
      <c r="B312" s="64">
        <f>IF(C312="","",B311+1)</f>
        <v/>
      </c>
      <c r="C312" s="100" t="n"/>
      <c r="D312" s="77" t="n"/>
      <c r="E312" s="82" t="n"/>
      <c r="F312" s="77" t="n"/>
      <c r="G312" s="64" t="n"/>
      <c r="H312" s="101" t="n"/>
      <c r="I312" s="102" t="n"/>
      <c r="J312" s="67" t="n"/>
      <c r="K312" s="82" t="n"/>
      <c r="L312" s="79" t="n"/>
      <c r="M312" s="78" t="n"/>
      <c r="N312" s="79" t="n"/>
      <c r="P312" s="63">
        <f>IF(O312="","",IF(O312="Open",TODAY()-L312,"--"))</f>
        <v/>
      </c>
      <c r="Q312" s="63">
        <f>IF(O312="","",IF(O312="Closed",N312-L312,"--"))</f>
        <v/>
      </c>
    </row>
    <row r="313" ht="15" customHeight="1" s="130">
      <c r="B313" s="64">
        <f>IF(C313="","",B312+1)</f>
        <v/>
      </c>
      <c r="C313" s="100" t="n"/>
      <c r="D313" s="77" t="n"/>
      <c r="E313" s="82" t="n"/>
      <c r="F313" s="77" t="n"/>
      <c r="G313" s="64" t="n"/>
      <c r="H313" s="101" t="n"/>
      <c r="I313" s="102" t="n"/>
      <c r="J313" s="67" t="n"/>
      <c r="K313" s="82" t="n"/>
      <c r="L313" s="79" t="n"/>
      <c r="M313" s="78" t="n"/>
      <c r="N313" s="79" t="n"/>
      <c r="P313" s="63">
        <f>IF(O313="","",IF(O313="Open",TODAY()-L313,"--"))</f>
        <v/>
      </c>
      <c r="Q313" s="63">
        <f>IF(O313="","",IF(O313="Closed",N313-L313,"--"))</f>
        <v/>
      </c>
    </row>
    <row r="314" ht="15" customHeight="1" s="130">
      <c r="B314" s="64">
        <f>IF(C314="","",B313+1)</f>
        <v/>
      </c>
      <c r="C314" s="100" t="n"/>
      <c r="D314" s="77" t="n"/>
      <c r="E314" s="82" t="n"/>
      <c r="F314" s="77" t="n"/>
      <c r="G314" s="64" t="n"/>
      <c r="H314" s="101" t="n"/>
      <c r="I314" s="102" t="n"/>
      <c r="J314" s="78" t="n"/>
      <c r="K314" s="82" t="n"/>
      <c r="L314" s="79" t="n"/>
      <c r="M314" s="78" t="n"/>
      <c r="N314" s="79" t="n"/>
      <c r="P314" s="63">
        <f>IF(O314="","",IF(O314="Open",TODAY()-L314,"--"))</f>
        <v/>
      </c>
      <c r="Q314" s="63">
        <f>IF(O314="","",IF(O314="Closed",N314-L314,"--"))</f>
        <v/>
      </c>
    </row>
    <row r="315" ht="15" customHeight="1" s="130">
      <c r="B315" s="64">
        <f>IF(C315="","",B314+1)</f>
        <v/>
      </c>
      <c r="C315" s="100" t="n"/>
      <c r="D315" s="77" t="n"/>
      <c r="E315" s="82" t="n"/>
      <c r="F315" s="77" t="n"/>
      <c r="G315" s="64" t="n"/>
      <c r="H315" s="101" t="n"/>
      <c r="I315" s="102" t="n"/>
      <c r="J315" s="78" t="n"/>
      <c r="K315" s="82" t="n"/>
      <c r="L315" s="79" t="n"/>
      <c r="M315" s="78" t="n"/>
      <c r="N315" s="79" t="n"/>
      <c r="P315" s="63">
        <f>IF(O315="","",IF(O315="Open",TODAY()-L315,"--"))</f>
        <v/>
      </c>
      <c r="Q315" s="63">
        <f>IF(O315="","",IF(O315="Closed",N315-L315,"--"))</f>
        <v/>
      </c>
    </row>
    <row r="316" ht="15" customHeight="1" s="130">
      <c r="B316" s="64">
        <f>IF(C316="","",B315+1)</f>
        <v/>
      </c>
      <c r="C316" s="65" t="n"/>
      <c r="D316" s="77" t="n"/>
      <c r="E316" s="82" t="n"/>
      <c r="F316" s="77" t="n"/>
      <c r="G316" s="64" t="n"/>
      <c r="H316" s="67" t="n"/>
      <c r="I316" s="67" t="n"/>
      <c r="J316" s="67" t="n"/>
      <c r="K316" s="82" t="n"/>
      <c r="L316" s="79" t="n"/>
      <c r="M316" s="78" t="n"/>
      <c r="N316" s="79" t="n"/>
      <c r="P316" s="63">
        <f>IF(O316="","",IF(O316="Open",TODAY()-L316,"--"))</f>
        <v/>
      </c>
      <c r="Q316" s="63">
        <f>IF(O316="","",IF(O316="Closed",N316-L316,"--"))</f>
        <v/>
      </c>
    </row>
    <row r="317" ht="15" customHeight="1" s="130">
      <c r="B317" s="64">
        <f>IF(C317="","",B316+1)</f>
        <v/>
      </c>
      <c r="C317" s="77" t="n"/>
      <c r="D317" s="77" t="n"/>
      <c r="E317" s="82" t="n"/>
      <c r="F317" s="77" t="n"/>
      <c r="G317" s="64" t="n"/>
      <c r="H317" s="67" t="n"/>
      <c r="I317" s="67" t="n"/>
      <c r="J317" s="67" t="n"/>
      <c r="K317" s="82" t="n"/>
      <c r="L317" s="79" t="n"/>
      <c r="M317" s="78" t="n"/>
      <c r="N317" s="79" t="n"/>
      <c r="P317" s="63">
        <f>IF(O317="","",IF(O317="Open",TODAY()-L317,"--"))</f>
        <v/>
      </c>
      <c r="Q317" s="63">
        <f>IF(O317="","",IF(O317="Closed",N317-L317,"--"))</f>
        <v/>
      </c>
    </row>
    <row r="318" ht="15" customHeight="1" s="130">
      <c r="B318" s="64">
        <f>IF(C318="","",B317+1)</f>
        <v/>
      </c>
      <c r="C318" s="77" t="n"/>
      <c r="D318" s="77" t="n"/>
      <c r="E318" s="82" t="n"/>
      <c r="F318" s="77" t="n"/>
      <c r="G318" s="64" t="n"/>
      <c r="H318" s="78" t="n"/>
      <c r="I318" s="67" t="n"/>
      <c r="J318" s="78" t="n"/>
      <c r="K318" s="91" t="n"/>
      <c r="L318" s="79" t="n"/>
      <c r="M318" s="78" t="n"/>
      <c r="N318" s="78" t="n"/>
      <c r="P318" s="63">
        <f>IF(O318="","",IF(O318="Open",TODAY()-L318,"--"))</f>
        <v/>
      </c>
      <c r="Q318" s="63">
        <f>IF(O318="","",IF(O318="Closed",N318-L318,"--"))</f>
        <v/>
      </c>
    </row>
    <row r="319" ht="15" customHeight="1" s="130">
      <c r="B319" s="64">
        <f>IF(C319="","",B318+1)</f>
        <v/>
      </c>
      <c r="C319" s="65" t="n"/>
      <c r="D319" s="77" t="n"/>
      <c r="E319" s="82" t="n"/>
      <c r="F319" s="77" t="n"/>
      <c r="G319" s="64" t="n"/>
      <c r="H319" s="78" t="n"/>
      <c r="I319" s="78" t="n"/>
      <c r="J319" s="78" t="n"/>
      <c r="K319" s="82" t="n"/>
      <c r="L319" s="79" t="n"/>
      <c r="M319" s="78" t="n"/>
      <c r="N319" s="79" t="n"/>
      <c r="P319" s="63">
        <f>IF(O319="","",IF(O319="Open",TODAY()-L319,"--"))</f>
        <v/>
      </c>
      <c r="Q319" s="63">
        <f>IF(O319="","",IF(O319="Closed",N319-L319,"--"))</f>
        <v/>
      </c>
    </row>
    <row r="320" ht="15" customHeight="1" s="130">
      <c r="B320" s="64">
        <f>IF(C320="","",B319+1)</f>
        <v/>
      </c>
      <c r="C320" s="65" t="n"/>
      <c r="D320" s="77" t="n"/>
      <c r="E320" s="82" t="n"/>
      <c r="F320" s="77" t="n"/>
      <c r="G320" s="64" t="n"/>
      <c r="H320" s="67" t="n"/>
      <c r="I320" s="78" t="n"/>
      <c r="J320" s="78" t="n"/>
      <c r="K320" s="82" t="n"/>
      <c r="L320" s="79" t="n"/>
      <c r="M320" s="78" t="n"/>
      <c r="N320" s="79" t="n"/>
      <c r="P320" s="63">
        <f>IF(O320="","",IF(O320="Open",TODAY()-L320,"--"))</f>
        <v/>
      </c>
      <c r="Q320" s="63">
        <f>IF(O320="","",IF(O320="Closed",N320-L320,"--"))</f>
        <v/>
      </c>
    </row>
    <row r="321" ht="15" customHeight="1" s="130">
      <c r="B321" s="64">
        <f>IF(C321="","",B320+1)</f>
        <v/>
      </c>
      <c r="C321" s="65" t="n"/>
      <c r="D321" s="77" t="n"/>
      <c r="E321" s="82" t="n"/>
      <c r="F321" s="77" t="n"/>
      <c r="G321" s="64" t="n"/>
      <c r="H321" s="78" t="n"/>
      <c r="I321" s="78" t="n"/>
      <c r="J321" s="78" t="n"/>
      <c r="K321" s="82" t="n"/>
      <c r="L321" s="79" t="n"/>
      <c r="M321" s="78" t="n"/>
      <c r="N321" s="79" t="n"/>
      <c r="P321" s="63">
        <f>IF(O321="","",IF(O321="Open",TODAY()-L321,"--"))</f>
        <v/>
      </c>
      <c r="Q321" s="63">
        <f>IF(O321="","",IF(O321="Closed",N321-L321,"--"))</f>
        <v/>
      </c>
    </row>
    <row r="322" ht="15" customHeight="1" s="130">
      <c r="B322" s="64">
        <f>IF(C322="","",B321+1)</f>
        <v/>
      </c>
      <c r="C322" s="77" t="n"/>
      <c r="D322" s="77" t="n"/>
      <c r="E322" s="82" t="n"/>
      <c r="F322" s="77" t="n"/>
      <c r="G322" s="64" t="n"/>
      <c r="H322" s="78" t="n"/>
      <c r="I322" s="78" t="n"/>
      <c r="J322" s="78" t="n"/>
      <c r="K322" s="82" t="n"/>
      <c r="L322" s="79" t="n"/>
      <c r="M322" s="78" t="n"/>
      <c r="N322" s="79" t="n"/>
      <c r="P322" s="63">
        <f>IF(O322="","",IF(O322="Open",TODAY()-L322,"--"))</f>
        <v/>
      </c>
      <c r="Q322" s="63">
        <f>IF(O322="","",IF(O322="Closed",N322-L322,"--"))</f>
        <v/>
      </c>
    </row>
    <row r="323" ht="15" customHeight="1" s="130">
      <c r="B323" s="64">
        <f>IF(C323="","",B322+1)</f>
        <v/>
      </c>
      <c r="C323" s="77" t="n"/>
      <c r="D323" s="77" t="n"/>
      <c r="E323" s="82" t="n"/>
      <c r="F323" s="77" t="n"/>
      <c r="G323" s="64" t="n"/>
      <c r="H323" s="78" t="n"/>
      <c r="I323" s="78" t="n"/>
      <c r="J323" s="78" t="n"/>
      <c r="K323" s="82" t="n"/>
      <c r="L323" s="79" t="n"/>
      <c r="M323" s="78" t="n"/>
      <c r="N323" s="79" t="n"/>
      <c r="P323" s="63">
        <f>IF(O323="","",IF(O323="Open",TODAY()-L323,"--"))</f>
        <v/>
      </c>
      <c r="Q323" s="63">
        <f>IF(O323="","",IF(O323="Closed",N323-L323,"--"))</f>
        <v/>
      </c>
    </row>
    <row r="324" ht="15.75" customHeight="1" s="130">
      <c r="B324" s="64">
        <f>IF(C324="","",B323+1)</f>
        <v/>
      </c>
      <c r="C324" s="77" t="n"/>
      <c r="D324" s="77" t="n"/>
      <c r="E324" s="82" t="n"/>
      <c r="F324" s="77" t="n"/>
      <c r="G324" s="64" t="n"/>
      <c r="H324" s="78" t="n"/>
      <c r="I324" s="78" t="n"/>
      <c r="J324" s="78" t="n"/>
      <c r="K324" s="82" t="n"/>
      <c r="L324" s="79" t="n"/>
      <c r="M324" s="78" t="n"/>
      <c r="N324" s="79" t="n"/>
      <c r="P324" s="63">
        <f>IF(O324="","",IF(O324="Open",TODAY()-L324,"--"))</f>
        <v/>
      </c>
      <c r="Q324" s="63">
        <f>IF(O324="","",IF(O324="Closed",N324-L324,"--"))</f>
        <v/>
      </c>
    </row>
    <row r="325" ht="15.75" customHeight="1" s="130">
      <c r="B325" s="64">
        <f>IF(C325="","",B324+1)</f>
        <v/>
      </c>
      <c r="C325" s="103" t="n"/>
      <c r="D325" s="77" t="n"/>
      <c r="E325" s="82" t="n"/>
      <c r="F325" s="77" t="n"/>
      <c r="G325" s="64" t="n"/>
      <c r="H325" s="78" t="n"/>
      <c r="I325" s="78" t="n"/>
      <c r="J325" s="78" t="n"/>
      <c r="K325" s="82" t="n"/>
      <c r="L325" s="79" t="n"/>
      <c r="M325" s="78" t="n"/>
      <c r="N325" s="79" t="n"/>
      <c r="P325" s="63">
        <f>IF(O325="","",IF(O325="Open",TODAY()-L325,"--"))</f>
        <v/>
      </c>
      <c r="Q325" s="63">
        <f>IF(O325="","",IF(O325="Closed",N325-L325,"--"))</f>
        <v/>
      </c>
    </row>
    <row r="326" ht="15" customHeight="1" s="130">
      <c r="B326" s="64">
        <f>IF(C326="","",B325+1)</f>
        <v/>
      </c>
      <c r="C326" s="77" t="n"/>
      <c r="D326" s="77" t="n"/>
      <c r="E326" s="82" t="n"/>
      <c r="F326" s="77" t="n"/>
      <c r="G326" s="64" t="n"/>
      <c r="H326" s="78" t="n"/>
      <c r="I326" s="78" t="n"/>
      <c r="J326" s="78" t="n"/>
      <c r="K326" s="82" t="n"/>
      <c r="L326" s="79" t="n"/>
      <c r="M326" s="78" t="n"/>
      <c r="N326" s="79" t="n"/>
      <c r="P326" s="63">
        <f>IF(O326="","",IF(O326="Open",TODAY()-L326,"--"))</f>
        <v/>
      </c>
      <c r="Q326" s="63">
        <f>IF(O326="","",IF(O326="Closed",N326-L326,"--"))</f>
        <v/>
      </c>
    </row>
    <row r="327" ht="15" customHeight="1" s="130">
      <c r="B327" s="64">
        <f>IF(C327="","",B326+1)</f>
        <v/>
      </c>
      <c r="C327" s="77" t="n"/>
      <c r="D327" s="77" t="n"/>
      <c r="E327" s="82" t="n"/>
      <c r="F327" s="77" t="n"/>
      <c r="G327" s="64" t="n"/>
      <c r="H327" s="78" t="n"/>
      <c r="I327" s="78" t="n"/>
      <c r="J327" s="78" t="n"/>
      <c r="K327" s="82" t="n"/>
      <c r="L327" s="79" t="n"/>
      <c r="M327" s="78" t="n"/>
      <c r="N327" s="79" t="n"/>
      <c r="P327" s="63">
        <f>IF(O327="","",IF(O327="Open",TODAY()-L327,"--"))</f>
        <v/>
      </c>
      <c r="Q327" s="63">
        <f>IF(O327="","",IF(O327="Closed",N327-L327,"--"))</f>
        <v/>
      </c>
    </row>
    <row r="328" ht="15" customHeight="1" s="130">
      <c r="B328" s="64">
        <f>IF(C328="","",B327+1)</f>
        <v/>
      </c>
      <c r="C328" s="77" t="n"/>
      <c r="D328" s="65" t="n"/>
      <c r="E328" s="82" t="n"/>
      <c r="F328" s="77" t="n"/>
      <c r="G328" s="64" t="n"/>
      <c r="H328" s="78" t="n"/>
      <c r="I328" s="78" t="n"/>
      <c r="J328" s="78" t="n"/>
      <c r="K328" s="82" t="n"/>
      <c r="L328" s="79" t="n"/>
      <c r="M328" s="78" t="n"/>
      <c r="N328" s="79" t="n"/>
      <c r="P328" s="63">
        <f>IF(O328="","",IF(O328="Open",TODAY()-L328,"--"))</f>
        <v/>
      </c>
      <c r="Q328" s="63">
        <f>IF(O328="","",IF(O328="Closed",N328-L328,"--"))</f>
        <v/>
      </c>
    </row>
    <row r="329" ht="15" customHeight="1" s="130">
      <c r="B329" s="64">
        <f>IF(C329="","",B328+1)</f>
        <v/>
      </c>
      <c r="C329" s="77" t="n"/>
      <c r="D329" s="65" t="n"/>
      <c r="E329" s="82" t="n"/>
      <c r="F329" s="77" t="n"/>
      <c r="G329" s="64" t="n"/>
      <c r="H329" s="78" t="n"/>
      <c r="I329" s="78" t="n"/>
      <c r="J329" s="78" t="n"/>
      <c r="K329" s="82" t="n"/>
      <c r="L329" s="79" t="n"/>
      <c r="M329" s="78" t="n"/>
      <c r="N329" s="79" t="n"/>
      <c r="P329" s="63">
        <f>IF(O329="","",IF(O329="Open",TODAY()-L329,"--"))</f>
        <v/>
      </c>
      <c r="Q329" s="63">
        <f>IF(O329="","",IF(O329="Closed",N329-L329,"--"))</f>
        <v/>
      </c>
    </row>
    <row r="330" ht="15" customHeight="1" s="130">
      <c r="B330" s="64">
        <f>IF(C330="","",B329+1)</f>
        <v/>
      </c>
      <c r="C330" s="77" t="n"/>
      <c r="D330" s="65" t="n"/>
      <c r="E330" s="82" t="n"/>
      <c r="F330" s="77" t="n"/>
      <c r="G330" s="64" t="n"/>
      <c r="H330" s="78" t="n"/>
      <c r="I330" s="78" t="n"/>
      <c r="J330" s="78" t="n"/>
      <c r="K330" s="82" t="n"/>
      <c r="L330" s="79" t="n"/>
      <c r="M330" s="78" t="n"/>
      <c r="N330" s="79" t="n"/>
      <c r="P330" s="63">
        <f>IF(O330="","",IF(O330="Open",TODAY()-L330,"--"))</f>
        <v/>
      </c>
      <c r="Q330" s="63">
        <f>IF(O330="","",IF(O330="Closed",N330-L330,"--"))</f>
        <v/>
      </c>
    </row>
    <row r="331" ht="15" customHeight="1" s="130">
      <c r="B331" s="64">
        <f>IF(C331="","",B330+1)</f>
        <v/>
      </c>
      <c r="C331" s="77" t="n"/>
      <c r="D331" s="77" t="n"/>
      <c r="E331" s="82" t="n"/>
      <c r="F331" s="77" t="n"/>
      <c r="G331" s="64" t="n"/>
      <c r="H331" s="78" t="n"/>
      <c r="I331" s="78" t="n"/>
      <c r="J331" s="78" t="n"/>
      <c r="K331" s="82" t="n"/>
      <c r="L331" s="79" t="n"/>
      <c r="M331" s="78" t="n"/>
      <c r="N331" s="78" t="n"/>
      <c r="P331" s="63">
        <f>IF(O331="","",IF(O331="Open",TODAY()-L331,"--"))</f>
        <v/>
      </c>
      <c r="Q331" s="63">
        <f>IF(O331="","",IF(O331="Closed",N331-L331,"--"))</f>
        <v/>
      </c>
    </row>
    <row r="332" ht="15" customHeight="1" s="130">
      <c r="B332" s="64">
        <f>IF(C332="","",B331+1)</f>
        <v/>
      </c>
      <c r="C332" s="77" t="n"/>
      <c r="D332" s="77" t="n"/>
      <c r="E332" s="82" t="n"/>
      <c r="F332" s="77" t="n"/>
      <c r="G332" s="64" t="n"/>
      <c r="H332" s="78" t="n"/>
      <c r="I332" s="78" t="n"/>
      <c r="J332" s="78" t="n"/>
      <c r="K332" s="82" t="n"/>
      <c r="L332" s="79" t="n"/>
      <c r="M332" s="78" t="n"/>
      <c r="N332" s="78" t="n"/>
      <c r="P332" s="63">
        <f>IF(O332="","",IF(O332="Open",TODAY()-L332,"--"))</f>
        <v/>
      </c>
      <c r="Q332" s="63">
        <f>IF(O332="","",IF(O332="Closed",N332-L332,"--"))</f>
        <v/>
      </c>
    </row>
    <row r="333" ht="15" customHeight="1" s="130">
      <c r="B333" s="64">
        <f>IF(C333="","",B332+1)</f>
        <v/>
      </c>
      <c r="C333" s="77" t="n"/>
      <c r="D333" s="77" t="n"/>
      <c r="E333" s="82" t="n"/>
      <c r="F333" s="77" t="n"/>
      <c r="G333" s="64" t="n"/>
      <c r="H333" s="78" t="n"/>
      <c r="I333" s="78" t="n"/>
      <c r="J333" s="78" t="n"/>
      <c r="K333" s="82" t="n"/>
      <c r="L333" s="79" t="n"/>
      <c r="M333" s="78" t="n"/>
      <c r="N333" s="78" t="n"/>
      <c r="P333" s="63">
        <f>IF(O333="","",IF(O333="Open",TODAY()-L333,"--"))</f>
        <v/>
      </c>
      <c r="Q333" s="63">
        <f>IF(O333="","",IF(O333="Closed",N333-L333,"--"))</f>
        <v/>
      </c>
    </row>
    <row r="334" ht="15" customHeight="1" s="130">
      <c r="B334" s="64">
        <f>IF(C334="","",B333+1)</f>
        <v/>
      </c>
      <c r="C334" s="77" t="n"/>
      <c r="D334" s="77" t="n"/>
      <c r="E334" s="82" t="n"/>
      <c r="F334" s="77" t="n"/>
      <c r="G334" s="64" t="n"/>
      <c r="H334" s="78" t="n"/>
      <c r="I334" s="78" t="n"/>
      <c r="J334" s="78" t="n"/>
      <c r="K334" s="82" t="n"/>
      <c r="L334" s="79" t="n"/>
      <c r="M334" s="78" t="n"/>
      <c r="N334" s="79" t="n"/>
      <c r="P334" s="63">
        <f>IF(O334="","",IF(O334="Open",TODAY()-L334,"--"))</f>
        <v/>
      </c>
      <c r="Q334" s="63">
        <f>IF(O334="","",IF(O334="Closed",N334-L334,"--"))</f>
        <v/>
      </c>
    </row>
    <row r="335" ht="15" customHeight="1" s="130">
      <c r="B335" s="64">
        <f>IF(C335="","",B334+1)</f>
        <v/>
      </c>
      <c r="C335" s="77" t="n"/>
      <c r="D335" s="77" t="n"/>
      <c r="E335" s="82" t="n"/>
      <c r="F335" s="77" t="n"/>
      <c r="G335" s="64" t="n"/>
      <c r="H335" s="78" t="n"/>
      <c r="I335" s="78" t="n"/>
      <c r="J335" s="78" t="n"/>
      <c r="K335" s="82" t="n"/>
      <c r="L335" s="79" t="n"/>
      <c r="M335" s="78" t="n"/>
      <c r="N335" s="79" t="n"/>
      <c r="P335" s="63">
        <f>IF(O335="","",IF(O335="Open",TODAY()-L335,"--"))</f>
        <v/>
      </c>
      <c r="Q335" s="63">
        <f>IF(O335="","",IF(O335="Closed",N335-L335,"--"))</f>
        <v/>
      </c>
    </row>
    <row r="336" ht="15" customHeight="1" s="130">
      <c r="B336" s="64">
        <f>IF(C336="","",B335+1)</f>
        <v/>
      </c>
      <c r="C336" s="77" t="n"/>
      <c r="D336" s="77" t="n"/>
      <c r="E336" s="82" t="n"/>
      <c r="F336" s="77" t="n"/>
      <c r="G336" s="64" t="n"/>
      <c r="H336" s="78" t="n"/>
      <c r="I336" s="78" t="n"/>
      <c r="J336" s="78" t="n"/>
      <c r="K336" s="82" t="n"/>
      <c r="L336" s="79" t="n"/>
      <c r="M336" s="78" t="n"/>
      <c r="N336" s="79" t="n"/>
      <c r="P336" s="63">
        <f>IF(O336="","",IF(O336="Open",TODAY()-L336,"--"))</f>
        <v/>
      </c>
      <c r="Q336" s="63">
        <f>IF(O336="","",IF(O336="Closed",N336-L336,"--"))</f>
        <v/>
      </c>
    </row>
    <row r="337" ht="15" customHeight="1" s="130">
      <c r="B337" s="64">
        <f>IF(C337="","",B336+1)</f>
        <v/>
      </c>
      <c r="C337" s="77" t="n"/>
      <c r="D337" s="77" t="n"/>
      <c r="E337" s="82" t="n"/>
      <c r="F337" s="77" t="n"/>
      <c r="G337" s="64" t="n"/>
      <c r="H337" s="78" t="n"/>
      <c r="I337" s="78" t="n"/>
      <c r="J337" s="78" t="n"/>
      <c r="K337" s="82" t="n"/>
      <c r="L337" s="79" t="n"/>
      <c r="M337" s="78" t="n"/>
      <c r="N337" s="79" t="n"/>
      <c r="P337" s="63">
        <f>IF(O337="","",IF(O337="Open",TODAY()-L337,"--"))</f>
        <v/>
      </c>
      <c r="Q337" s="63">
        <f>IF(O337="","",IF(O337="Closed",N337-L337,"--"))</f>
        <v/>
      </c>
    </row>
    <row r="338" ht="15" customHeight="1" s="130">
      <c r="B338" s="64">
        <f>IF(C338="","",B337+1)</f>
        <v/>
      </c>
      <c r="C338" s="77" t="n"/>
      <c r="D338" s="77" t="n"/>
      <c r="E338" s="82" t="n"/>
      <c r="F338" s="77" t="n"/>
      <c r="G338" s="64" t="n"/>
      <c r="H338" s="78" t="n"/>
      <c r="I338" s="78" t="n"/>
      <c r="J338" s="78" t="n"/>
      <c r="K338" s="82" t="n"/>
      <c r="L338" s="79" t="n"/>
      <c r="M338" s="78" t="n"/>
      <c r="N338" s="78" t="n"/>
      <c r="P338" s="63">
        <f>IF(O338="","",IF(O338="Open",TODAY()-L338,"--"))</f>
        <v/>
      </c>
      <c r="Q338" s="63">
        <f>IF(O338="","",IF(O338="Closed",N338-L338,"--"))</f>
        <v/>
      </c>
    </row>
    <row r="339" ht="15" customHeight="1" s="130">
      <c r="B339" s="64">
        <f>IF(C339="","",B338+1)</f>
        <v/>
      </c>
      <c r="C339" s="77" t="n"/>
      <c r="D339" s="77" t="n"/>
      <c r="E339" s="82" t="n"/>
      <c r="F339" s="77" t="n"/>
      <c r="G339" s="64" t="n"/>
      <c r="H339" s="78" t="n"/>
      <c r="I339" s="78" t="n"/>
      <c r="J339" s="78" t="n"/>
      <c r="K339" s="82" t="n"/>
      <c r="L339" s="79" t="n"/>
      <c r="M339" s="78" t="n"/>
      <c r="N339" s="79" t="n"/>
      <c r="P339" s="63">
        <f>IF(O339="","",IF(O339="Open",TODAY()-L339,"--"))</f>
        <v/>
      </c>
      <c r="Q339" s="63">
        <f>IF(O339="","",IF(O339="Closed",N339-L339,"--"))</f>
        <v/>
      </c>
    </row>
    <row r="340" ht="15" customHeight="1" s="130">
      <c r="B340" s="64">
        <f>IF(C340="","",B339+1)</f>
        <v/>
      </c>
      <c r="C340" s="77" t="n"/>
      <c r="D340" s="77" t="n"/>
      <c r="E340" s="82" t="n"/>
      <c r="F340" s="77" t="n"/>
      <c r="G340" s="64" t="n"/>
      <c r="H340" s="78" t="n"/>
      <c r="I340" s="78" t="n"/>
      <c r="J340" s="78" t="n"/>
      <c r="K340" s="82" t="n"/>
      <c r="L340" s="79" t="n"/>
      <c r="M340" s="78" t="n"/>
      <c r="N340" s="78" t="n"/>
      <c r="P340" s="63">
        <f>IF(O340="","",IF(O340="Open",TODAY()-L340,"--"))</f>
        <v/>
      </c>
      <c r="Q340" s="63">
        <f>IF(O340="","",IF(O340="Closed",N340-L340,"--"))</f>
        <v/>
      </c>
    </row>
    <row r="341" ht="15" customHeight="1" s="130">
      <c r="A341" s="87" t="n"/>
      <c r="B341" s="64">
        <f>IF(C341="","",B340+1)</f>
        <v/>
      </c>
      <c r="C341" s="77" t="n"/>
      <c r="D341" s="77" t="n"/>
      <c r="E341" s="82" t="n"/>
      <c r="F341" s="77" t="n"/>
      <c r="G341" s="64" t="n"/>
      <c r="H341" s="78" t="n"/>
      <c r="I341" s="78" t="n"/>
      <c r="J341" s="78" t="n"/>
      <c r="K341" s="82" t="n"/>
      <c r="L341" s="79" t="n"/>
      <c r="M341" s="78" t="n"/>
      <c r="N341" s="78" t="n"/>
      <c r="P341" s="63">
        <f>IF(O341="","",IF(O341="Open",TODAY()-L341,"--"))</f>
        <v/>
      </c>
      <c r="Q341" s="63">
        <f>IF(O341="","",IF(O341="Closed",N341-L341,"--"))</f>
        <v/>
      </c>
    </row>
    <row r="342" ht="15" customHeight="1" s="130">
      <c r="A342" s="87" t="n"/>
      <c r="B342" s="64">
        <f>IF(C342="","",B341+1)</f>
        <v/>
      </c>
      <c r="C342" s="77" t="n"/>
      <c r="D342" s="77" t="n"/>
      <c r="E342" s="82" t="n"/>
      <c r="F342" s="77" t="n"/>
      <c r="G342" s="64" t="n"/>
      <c r="H342" s="78" t="n"/>
      <c r="I342" s="78" t="n"/>
      <c r="J342" s="78" t="n"/>
      <c r="K342" s="82" t="n"/>
      <c r="L342" s="79" t="n"/>
      <c r="M342" s="78" t="n"/>
      <c r="N342" s="79" t="n"/>
      <c r="P342" s="63">
        <f>IF(O342="","",IF(O342="Open",TODAY()-L342,"--"))</f>
        <v/>
      </c>
      <c r="Q342" s="63">
        <f>IF(O342="","",IF(O342="Closed",N342-L342,"--"))</f>
        <v/>
      </c>
    </row>
    <row r="343" ht="15" customHeight="1" s="130">
      <c r="A343" s="87" t="n"/>
      <c r="B343" s="64">
        <f>IF(C343="","",B342+1)</f>
        <v/>
      </c>
      <c r="C343" s="77" t="n"/>
      <c r="D343" s="77" t="n"/>
      <c r="E343" s="82" t="n"/>
      <c r="F343" s="77" t="n"/>
      <c r="G343" s="64" t="n"/>
      <c r="H343" s="78" t="n"/>
      <c r="I343" s="78" t="n"/>
      <c r="J343" s="78" t="n"/>
      <c r="K343" s="82" t="n"/>
      <c r="L343" s="79" t="n"/>
      <c r="M343" s="78" t="n"/>
      <c r="N343" s="78" t="n"/>
      <c r="P343" s="63">
        <f>IF(O343="","",IF(O343="Open",TODAY()-L343,"--"))</f>
        <v/>
      </c>
      <c r="Q343" s="63">
        <f>IF(O343="","",IF(O343="Closed",N343-L343,"--"))</f>
        <v/>
      </c>
    </row>
    <row r="344" ht="15" customHeight="1" s="130">
      <c r="A344" s="87" t="n"/>
      <c r="B344" s="64">
        <f>IF(C344="","",B343+1)</f>
        <v/>
      </c>
      <c r="C344" s="77" t="n"/>
      <c r="D344" s="77" t="n"/>
      <c r="E344" s="82" t="n"/>
      <c r="F344" s="77" t="n"/>
      <c r="G344" s="64" t="n"/>
      <c r="H344" s="78" t="n"/>
      <c r="I344" s="78" t="n"/>
      <c r="J344" s="78" t="n"/>
      <c r="K344" s="82" t="n"/>
      <c r="L344" s="79" t="n"/>
      <c r="M344" s="78" t="n"/>
      <c r="N344" s="79" t="n"/>
      <c r="P344" s="63">
        <f>IF(O344="","",IF(O344="Open",TODAY()-L344,"--"))</f>
        <v/>
      </c>
      <c r="Q344" s="63">
        <f>IF(O344="","",IF(O344="Closed",N344-L344,"--"))</f>
        <v/>
      </c>
    </row>
    <row r="345" ht="15" customHeight="1" s="130">
      <c r="B345" s="64">
        <f>IF(C345="","",B344+1)</f>
        <v/>
      </c>
      <c r="C345" s="77" t="n"/>
      <c r="D345" s="77" t="n"/>
      <c r="E345" s="82" t="n"/>
      <c r="F345" s="77" t="n"/>
      <c r="G345" s="64" t="n"/>
      <c r="H345" s="78" t="n"/>
      <c r="I345" s="78" t="n"/>
      <c r="J345" s="78" t="n"/>
      <c r="K345" s="82" t="n"/>
      <c r="L345" s="79" t="n"/>
      <c r="M345" s="78" t="n"/>
      <c r="N345" s="79" t="n"/>
      <c r="P345" s="63">
        <f>IF(O345="","",IF(O345="Open",TODAY()-L345,"--"))</f>
        <v/>
      </c>
      <c r="Q345" s="63">
        <f>IF(O345="","",IF(O345="Closed",N345-L345,"--"))</f>
        <v/>
      </c>
    </row>
    <row r="346" ht="15" customHeight="1" s="130">
      <c r="B346" s="64">
        <f>IF(C346="","",B345+1)</f>
        <v/>
      </c>
      <c r="C346" s="77" t="n"/>
      <c r="D346" s="77" t="n"/>
      <c r="E346" s="82" t="n"/>
      <c r="F346" s="77" t="n"/>
      <c r="G346" s="64" t="n"/>
      <c r="H346" s="78" t="n"/>
      <c r="I346" s="78" t="n"/>
      <c r="J346" s="78" t="n"/>
      <c r="K346" s="82" t="n"/>
      <c r="L346" s="79" t="n"/>
      <c r="M346" s="78" t="n"/>
      <c r="N346" s="79" t="n"/>
      <c r="P346" s="63">
        <f>IF(O346="","",IF(O346="Open",TODAY()-L346,"--"))</f>
        <v/>
      </c>
      <c r="Q346" s="63">
        <f>IF(O346="","",IF(O346="Closed",N346-L346,"--"))</f>
        <v/>
      </c>
    </row>
    <row r="347" ht="15" customHeight="1" s="130">
      <c r="B347" s="64">
        <f>IF(C347="","",B346+1)</f>
        <v/>
      </c>
      <c r="C347" s="77" t="n"/>
      <c r="D347" s="77" t="n"/>
      <c r="E347" s="82" t="n"/>
      <c r="F347" s="77" t="n"/>
      <c r="G347" s="64" t="n"/>
      <c r="H347" s="78" t="n"/>
      <c r="I347" s="78" t="n"/>
      <c r="J347" s="78" t="n"/>
      <c r="K347" s="82" t="n"/>
      <c r="L347" s="79" t="n"/>
      <c r="M347" s="78" t="n"/>
      <c r="N347" s="79" t="n"/>
      <c r="P347" s="63">
        <f>IF(O347="","",IF(O347="Open",TODAY()-L347,"--"))</f>
        <v/>
      </c>
      <c r="Q347" s="63">
        <f>IF(O347="","",IF(O347="Closed",N347-L347,"--"))</f>
        <v/>
      </c>
    </row>
    <row r="348" ht="15" customHeight="1" s="130">
      <c r="B348" s="64">
        <f>IF(C348="","",B347+1)</f>
        <v/>
      </c>
      <c r="C348" s="77" t="n"/>
      <c r="D348" s="77" t="n"/>
      <c r="E348" s="82" t="n"/>
      <c r="F348" s="77" t="n"/>
      <c r="G348" s="64" t="n"/>
      <c r="H348" s="78" t="n"/>
      <c r="I348" s="78" t="n"/>
      <c r="J348" s="78" t="n"/>
      <c r="K348" s="82" t="n"/>
      <c r="L348" s="79" t="n"/>
      <c r="M348" s="78" t="n"/>
      <c r="N348" s="79" t="n"/>
      <c r="P348" s="63">
        <f>IF(O348="","",IF(O348="Open",TODAY()-L348,"--"))</f>
        <v/>
      </c>
      <c r="Q348" s="63">
        <f>IF(O348="","",IF(O348="Closed",N348-L348,"--"))</f>
        <v/>
      </c>
    </row>
    <row r="349" ht="15" customHeight="1" s="130">
      <c r="B349" s="64">
        <f>IF(C349="","",B348+1)</f>
        <v/>
      </c>
      <c r="C349" s="77" t="n"/>
      <c r="D349" s="77" t="n"/>
      <c r="E349" s="82" t="n"/>
      <c r="F349" s="77" t="n"/>
      <c r="G349" s="64" t="n"/>
      <c r="H349" s="78" t="n"/>
      <c r="I349" s="78" t="n"/>
      <c r="J349" s="78" t="n"/>
      <c r="K349" s="82" t="n"/>
      <c r="L349" s="79" t="n"/>
      <c r="M349" s="78" t="n"/>
      <c r="N349" s="79" t="n"/>
      <c r="P349" s="63">
        <f>IF(O349="","",IF(O349="Open",TODAY()-L349,"--"))</f>
        <v/>
      </c>
      <c r="Q349" s="63">
        <f>IF(O349="","",IF(O349="Closed",N349-L349,"--"))</f>
        <v/>
      </c>
    </row>
    <row r="350" ht="15" customHeight="1" s="130">
      <c r="B350" s="64">
        <f>IF(C350="","",B349+1)</f>
        <v/>
      </c>
      <c r="C350" s="77" t="n"/>
      <c r="D350" s="77" t="n"/>
      <c r="E350" s="82" t="n"/>
      <c r="F350" s="77" t="n"/>
      <c r="G350" s="64" t="n"/>
      <c r="H350" s="78" t="n"/>
      <c r="I350" s="78" t="n"/>
      <c r="J350" s="78" t="n"/>
      <c r="K350" s="82" t="n"/>
      <c r="L350" s="79" t="n"/>
      <c r="M350" s="78" t="n"/>
      <c r="N350" s="78" t="n"/>
      <c r="P350" s="63">
        <f>IF(O350="","",IF(O350="Open",TODAY()-L350,"--"))</f>
        <v/>
      </c>
      <c r="Q350" s="63">
        <f>IF(O350="","",IF(O350="Closed",N350-L350,"--"))</f>
        <v/>
      </c>
    </row>
    <row r="351" ht="15" customHeight="1" s="130">
      <c r="B351" s="64">
        <f>IF(C351="","",B350+1)</f>
        <v/>
      </c>
      <c r="C351" s="65" t="n"/>
      <c r="D351" s="77" t="n"/>
      <c r="E351" s="82" t="n"/>
      <c r="F351" s="77" t="n"/>
      <c r="G351" s="64" t="n"/>
      <c r="H351" s="78" t="n"/>
      <c r="I351" s="78" t="n"/>
      <c r="J351" s="78" t="n"/>
      <c r="K351" s="82" t="n"/>
      <c r="L351" s="79" t="n"/>
      <c r="M351" s="78" t="n"/>
      <c r="N351" s="78" t="n"/>
      <c r="P351" s="63">
        <f>IF(O351="","",IF(O351="Open",TODAY()-L351,"--"))</f>
        <v/>
      </c>
      <c r="Q351" s="63">
        <f>IF(O351="","",IF(O351="Closed",N351-L351,"--"))</f>
        <v/>
      </c>
    </row>
    <row r="352" ht="15" customHeight="1" s="130">
      <c r="B352" s="64">
        <f>IF(C352="","",B351+1)</f>
        <v/>
      </c>
      <c r="C352" s="65" t="n"/>
      <c r="D352" s="77" t="n"/>
      <c r="E352" s="82" t="n"/>
      <c r="F352" s="77" t="n"/>
      <c r="G352" s="64" t="n"/>
      <c r="H352" s="78" t="n"/>
      <c r="I352" s="78" t="n"/>
      <c r="J352" s="78" t="n"/>
      <c r="K352" s="82" t="n"/>
      <c r="L352" s="79" t="n"/>
      <c r="M352" s="78" t="n"/>
      <c r="N352" s="78" t="n"/>
      <c r="P352" s="63">
        <f>IF(O352="","",IF(O352="Open",TODAY()-L352,"--"))</f>
        <v/>
      </c>
      <c r="Q352" s="63">
        <f>IF(O352="","",IF(O352="Closed",N352-L352,"--"))</f>
        <v/>
      </c>
    </row>
    <row r="353" ht="15" customHeight="1" s="130">
      <c r="B353" s="64">
        <f>IF(C353="","",B352+1)</f>
        <v/>
      </c>
      <c r="C353" s="77" t="n"/>
      <c r="D353" s="77" t="n"/>
      <c r="E353" s="82" t="n"/>
      <c r="F353" s="77" t="n"/>
      <c r="G353" s="64" t="n"/>
      <c r="H353" s="78" t="n"/>
      <c r="I353" s="78" t="n"/>
      <c r="J353" s="78" t="n"/>
      <c r="K353" s="82" t="n"/>
      <c r="L353" s="79" t="n"/>
      <c r="M353" s="78" t="n"/>
      <c r="N353" s="78" t="n"/>
      <c r="P353" s="63">
        <f>IF(O353="","",IF(O353="Open",TODAY()-L353,"--"))</f>
        <v/>
      </c>
      <c r="Q353" s="63">
        <f>IF(O353="","",IF(O353="Closed",N353-L353,"--"))</f>
        <v/>
      </c>
    </row>
    <row r="354" ht="15" customHeight="1" s="130">
      <c r="B354" s="64">
        <f>IF(C354="","",B353+1)</f>
        <v/>
      </c>
      <c r="C354" s="77" t="n"/>
      <c r="D354" s="77" t="n"/>
      <c r="E354" s="82" t="n"/>
      <c r="F354" s="77" t="n"/>
      <c r="G354" s="64" t="n"/>
      <c r="H354" s="78" t="n"/>
      <c r="I354" s="78" t="n"/>
      <c r="J354" s="78" t="n"/>
      <c r="K354" s="82" t="n"/>
      <c r="L354" s="79" t="n"/>
      <c r="M354" s="78" t="n"/>
      <c r="N354" s="78" t="n"/>
      <c r="P354" s="63">
        <f>IF(O354="","",IF(O354="Open",TODAY()-L354,"--"))</f>
        <v/>
      </c>
      <c r="Q354" s="63">
        <f>IF(O354="","",IF(O354="Closed",N354-L354,"--"))</f>
        <v/>
      </c>
    </row>
    <row r="355" ht="15" customHeight="1" s="130">
      <c r="B355" s="64">
        <f>IF(C355="","",B354+1)</f>
        <v/>
      </c>
      <c r="C355" s="77" t="n"/>
      <c r="D355" s="77" t="n"/>
      <c r="E355" s="82" t="n"/>
      <c r="F355" s="77" t="n"/>
      <c r="G355" s="64" t="n"/>
      <c r="H355" s="78" t="n"/>
      <c r="I355" s="78" t="n"/>
      <c r="J355" s="78" t="n"/>
      <c r="K355" s="82" t="n"/>
      <c r="L355" s="79" t="n"/>
      <c r="M355" s="78" t="n"/>
      <c r="N355" s="78" t="n"/>
      <c r="P355" s="63">
        <f>IF(O355="","",IF(O355="Open",TODAY()-L355,"--"))</f>
        <v/>
      </c>
      <c r="Q355" s="63">
        <f>IF(O355="","",IF(O355="Closed",N355-L355,"--"))</f>
        <v/>
      </c>
    </row>
    <row r="356" ht="15" customHeight="1" s="130">
      <c r="B356" s="64">
        <f>IF(C356="","",B355+1)</f>
        <v/>
      </c>
      <c r="C356" s="77" t="n"/>
      <c r="D356" s="77" t="n"/>
      <c r="E356" s="82" t="n"/>
      <c r="F356" s="77" t="n"/>
      <c r="G356" s="64" t="n"/>
      <c r="H356" s="78" t="n"/>
      <c r="I356" s="78" t="n"/>
      <c r="J356" s="78" t="n"/>
      <c r="K356" s="82" t="n"/>
      <c r="L356" s="79" t="n"/>
      <c r="M356" s="78" t="n"/>
      <c r="N356" s="78" t="n"/>
      <c r="P356" s="63">
        <f>IF(O356="","",IF(O356="Open",TODAY()-L356,"--"))</f>
        <v/>
      </c>
      <c r="Q356" s="63">
        <f>IF(O356="","",IF(O356="Closed",N356-L356,"--"))</f>
        <v/>
      </c>
    </row>
    <row r="357" ht="15" customHeight="1" s="130">
      <c r="B357" s="64">
        <f>IF(C357="","",B356+1)</f>
        <v/>
      </c>
      <c r="C357" s="77" t="n"/>
      <c r="D357" s="77" t="n"/>
      <c r="E357" s="82" t="n"/>
      <c r="F357" s="77" t="n"/>
      <c r="G357" s="64" t="n"/>
      <c r="H357" s="78" t="n"/>
      <c r="I357" s="78" t="n"/>
      <c r="J357" s="78" t="n"/>
      <c r="K357" s="82" t="n"/>
      <c r="L357" s="79" t="n"/>
      <c r="M357" s="78" t="n"/>
      <c r="N357" s="78" t="n"/>
      <c r="P357" s="63">
        <f>IF(O357="","",IF(O357="Open",TODAY()-L357,"--"))</f>
        <v/>
      </c>
      <c r="Q357" s="63">
        <f>IF(O357="","",IF(O357="Closed",N357-L357,"--"))</f>
        <v/>
      </c>
    </row>
    <row r="358" ht="15" customHeight="1" s="130">
      <c r="B358" s="64">
        <f>IF(C358="","",B357+1)</f>
        <v/>
      </c>
      <c r="C358" s="77" t="n"/>
      <c r="D358" s="77" t="n"/>
      <c r="E358" s="82" t="n"/>
      <c r="F358" s="77" t="n"/>
      <c r="G358" s="64" t="n"/>
      <c r="H358" s="78" t="n"/>
      <c r="I358" s="78" t="n"/>
      <c r="J358" s="78" t="n"/>
      <c r="K358" s="82" t="n"/>
      <c r="L358" s="79" t="n"/>
      <c r="M358" s="78" t="n"/>
      <c r="N358" s="78" t="n"/>
      <c r="P358" s="63">
        <f>IF(O358="","",IF(O358="Open",TODAY()-L358,"--"))</f>
        <v/>
      </c>
      <c r="Q358" s="63">
        <f>IF(O358="","",IF(O358="Closed",N358-L358,"--"))</f>
        <v/>
      </c>
    </row>
    <row r="359" ht="15" customHeight="1" s="130">
      <c r="B359" s="64">
        <f>IF(C359="","",B358+1)</f>
        <v/>
      </c>
      <c r="C359" s="77" t="n"/>
      <c r="D359" s="77" t="n"/>
      <c r="E359" s="82" t="n"/>
      <c r="F359" s="77" t="n"/>
      <c r="G359" s="64" t="n"/>
      <c r="H359" s="78" t="n"/>
      <c r="I359" s="78" t="n"/>
      <c r="J359" s="78" t="n"/>
      <c r="K359" s="82" t="n"/>
      <c r="L359" s="79" t="n"/>
      <c r="M359" s="78" t="n"/>
      <c r="N359" s="78" t="n"/>
      <c r="P359" s="63">
        <f>IF(O359="","",IF(O359="Open",TODAY()-L359,"--"))</f>
        <v/>
      </c>
      <c r="Q359" s="63">
        <f>IF(O359="","",IF(O359="Closed",N359-L359,"--"))</f>
        <v/>
      </c>
    </row>
    <row r="360" ht="15" customHeight="1" s="130">
      <c r="B360" s="64">
        <f>IF(C360="","",B359+1)</f>
        <v/>
      </c>
      <c r="C360" s="77" t="n"/>
      <c r="D360" s="77" t="n"/>
      <c r="E360" s="82" t="n"/>
      <c r="F360" s="77" t="n"/>
      <c r="G360" s="64" t="n"/>
      <c r="H360" s="78" t="n"/>
      <c r="I360" s="78" t="n"/>
      <c r="J360" s="78" t="n"/>
      <c r="K360" s="82" t="n"/>
      <c r="L360" s="79" t="n"/>
      <c r="M360" s="78" t="n"/>
      <c r="N360" s="79" t="n"/>
      <c r="P360" s="63">
        <f>IF(O360="","",IF(O360="Open",TODAY()-L360,"--"))</f>
        <v/>
      </c>
      <c r="Q360" s="63">
        <f>IF(O360="","",IF(O360="Closed",N360-L360,"--"))</f>
        <v/>
      </c>
    </row>
    <row r="361" ht="15" customHeight="1" s="130">
      <c r="B361" s="64">
        <f>IF(C361="","",B360+1)</f>
        <v/>
      </c>
      <c r="C361" s="77" t="n"/>
      <c r="D361" s="77" t="n"/>
      <c r="E361" s="82" t="n"/>
      <c r="F361" s="77" t="n"/>
      <c r="G361" s="64" t="n"/>
      <c r="H361" s="78" t="n"/>
      <c r="I361" s="78" t="n"/>
      <c r="J361" s="78" t="n"/>
      <c r="K361" s="82" t="n"/>
      <c r="L361" s="79" t="n"/>
      <c r="M361" s="78" t="n"/>
      <c r="N361" s="78" t="n"/>
      <c r="P361" s="63">
        <f>IF(O361="","",IF(O361="Open",TODAY()-L361,"--"))</f>
        <v/>
      </c>
      <c r="Q361" s="63">
        <f>IF(O361="","",IF(O361="Closed",N361-L361,"--"))</f>
        <v/>
      </c>
    </row>
    <row r="362" ht="15" customHeight="1" s="130">
      <c r="B362" s="64">
        <f>IF(C362="","",B361+1)</f>
        <v/>
      </c>
      <c r="C362" s="77" t="n"/>
      <c r="D362" s="77" t="n"/>
      <c r="E362" s="82" t="n"/>
      <c r="F362" s="77" t="n"/>
      <c r="G362" s="64" t="n"/>
      <c r="H362" s="78" t="n"/>
      <c r="I362" s="78" t="n"/>
      <c r="J362" s="78" t="n"/>
      <c r="K362" s="82" t="n"/>
      <c r="L362" s="79" t="n"/>
      <c r="M362" s="78" t="n"/>
      <c r="N362" s="78" t="n"/>
      <c r="P362" s="63">
        <f>IF(O362="","",IF(O362="Open",TODAY()-L362,"--"))</f>
        <v/>
      </c>
      <c r="Q362" s="63">
        <f>IF(O362="","",IF(O362="Closed",N362-L362,"--"))</f>
        <v/>
      </c>
    </row>
    <row r="363" ht="15" customHeight="1" s="130">
      <c r="B363" s="64">
        <f>IF(C363="","",B362+1)</f>
        <v/>
      </c>
      <c r="C363" s="77" t="n"/>
      <c r="D363" s="77" t="n"/>
      <c r="E363" s="82" t="n"/>
      <c r="F363" s="77" t="n"/>
      <c r="G363" s="64" t="n"/>
      <c r="H363" s="78" t="n"/>
      <c r="I363" s="78" t="n"/>
      <c r="J363" s="78" t="n"/>
      <c r="K363" s="82" t="n"/>
      <c r="L363" s="79" t="n"/>
      <c r="M363" s="78" t="n"/>
      <c r="N363" s="78" t="n"/>
      <c r="P363" s="63">
        <f>IF(O363="","",IF(O363="Open",TODAY()-L363,"--"))</f>
        <v/>
      </c>
      <c r="Q363" s="63">
        <f>IF(O363="","",IF(O363="Closed",N363-L363,"--"))</f>
        <v/>
      </c>
    </row>
    <row r="364" ht="15" customHeight="1" s="130">
      <c r="B364" s="64">
        <f>IF(C364="","",B363+1)</f>
        <v/>
      </c>
      <c r="C364" s="77" t="n"/>
      <c r="D364" s="77" t="n"/>
      <c r="E364" s="82" t="n"/>
      <c r="F364" s="77" t="n"/>
      <c r="G364" s="64" t="n"/>
      <c r="H364" s="78" t="n"/>
      <c r="I364" s="78" t="n"/>
      <c r="J364" s="78" t="n"/>
      <c r="K364" s="82" t="n"/>
      <c r="L364" s="79" t="n"/>
      <c r="M364" s="78" t="n"/>
      <c r="N364" s="78" t="n"/>
      <c r="P364" s="63">
        <f>IF(O364="","",IF(O364="Open",TODAY()-L364,"--"))</f>
        <v/>
      </c>
      <c r="Q364" s="63">
        <f>IF(O364="","",IF(O364="Closed",N364-L364,"--"))</f>
        <v/>
      </c>
    </row>
    <row r="365" ht="15" customHeight="1" s="130">
      <c r="B365" s="64">
        <f>IF(C365="","",B364+1)</f>
        <v/>
      </c>
      <c r="C365" s="77" t="n"/>
      <c r="D365" s="77" t="n"/>
      <c r="E365" s="82" t="n"/>
      <c r="F365" s="77" t="n"/>
      <c r="G365" s="64" t="n"/>
      <c r="H365" s="78" t="n"/>
      <c r="I365" s="78" t="n"/>
      <c r="J365" s="78" t="n"/>
      <c r="K365" s="82" t="n"/>
      <c r="L365" s="79" t="n"/>
      <c r="M365" s="78" t="n"/>
      <c r="N365" s="79" t="n"/>
      <c r="P365" s="63">
        <f>IF(O365="","",IF(O365="Open",TODAY()-L365,"--"))</f>
        <v/>
      </c>
      <c r="Q365" s="63">
        <f>IF(O365="","",IF(O365="Closed",N365-L365,"--"))</f>
        <v/>
      </c>
    </row>
    <row r="366" ht="15" customHeight="1" s="130">
      <c r="B366" s="64">
        <f>IF(C366="","",B365+1)</f>
        <v/>
      </c>
      <c r="C366" s="77" t="n"/>
      <c r="D366" s="77" t="n"/>
      <c r="E366" s="82" t="n"/>
      <c r="F366" s="77" t="n"/>
      <c r="G366" s="64" t="n"/>
      <c r="H366" s="78" t="n"/>
      <c r="I366" s="78" t="n"/>
      <c r="J366" s="78" t="n"/>
      <c r="K366" s="82" t="n"/>
      <c r="L366" s="79" t="n"/>
      <c r="M366" s="78" t="n"/>
      <c r="N366" s="78" t="n"/>
      <c r="P366" s="63">
        <f>IF(O366="","",IF(O366="Open",TODAY()-L366,"--"))</f>
        <v/>
      </c>
      <c r="Q366" s="63">
        <f>IF(O366="","",IF(O366="Closed",N366-L366,"--"))</f>
        <v/>
      </c>
    </row>
    <row r="367" ht="15" customHeight="1" s="130">
      <c r="B367" s="64">
        <f>IF(C367="","",B366+1)</f>
        <v/>
      </c>
      <c r="C367" s="77" t="n"/>
      <c r="D367" s="77" t="n"/>
      <c r="E367" s="82" t="n"/>
      <c r="F367" s="77" t="n"/>
      <c r="G367" s="64" t="n"/>
      <c r="H367" s="78" t="n"/>
      <c r="I367" s="78" t="n"/>
      <c r="J367" s="78" t="n"/>
      <c r="K367" s="82" t="n"/>
      <c r="L367" s="79" t="n"/>
      <c r="M367" s="78" t="n"/>
      <c r="N367" s="78" t="n"/>
      <c r="P367" s="63">
        <f>IF(O367="","",IF(O367="Open",TODAY()-L367,"--"))</f>
        <v/>
      </c>
      <c r="Q367" s="63">
        <f>IF(O367="","",IF(O367="Closed",N367-L367,"--"))</f>
        <v/>
      </c>
    </row>
    <row r="368" ht="15" customHeight="1" s="130">
      <c r="B368" s="64">
        <f>IF(C368="","",B367+1)</f>
        <v/>
      </c>
      <c r="C368" s="77" t="n"/>
      <c r="D368" s="77" t="n"/>
      <c r="E368" s="82" t="n"/>
      <c r="F368" s="77" t="n"/>
      <c r="G368" s="64" t="n"/>
      <c r="H368" s="78" t="n"/>
      <c r="I368" s="78" t="n"/>
      <c r="J368" s="78" t="n"/>
      <c r="K368" s="82" t="n"/>
      <c r="L368" s="79" t="n"/>
      <c r="M368" s="78" t="n"/>
      <c r="N368" s="78" t="n"/>
      <c r="P368" s="63">
        <f>IF(O368="","",IF(O368="Open",TODAY()-L368,"--"))</f>
        <v/>
      </c>
      <c r="Q368" s="63">
        <f>IF(O368="","",IF(O368="Closed",N368-L368,"--"))</f>
        <v/>
      </c>
    </row>
    <row r="369" ht="15" customHeight="1" s="130">
      <c r="B369" s="64">
        <f>IF(C369="","",B368+1)</f>
        <v/>
      </c>
      <c r="C369" s="77" t="n"/>
      <c r="D369" s="77" t="n"/>
      <c r="E369" s="82" t="n"/>
      <c r="F369" s="77" t="n"/>
      <c r="G369" s="64" t="n"/>
      <c r="H369" s="78" t="n"/>
      <c r="I369" s="78" t="n"/>
      <c r="J369" s="78" t="n"/>
      <c r="K369" s="82" t="n"/>
      <c r="L369" s="79" t="n"/>
      <c r="M369" s="78" t="n"/>
      <c r="N369" s="78" t="n"/>
      <c r="P369" s="63">
        <f>IF(O369="","",IF(O369="Open",TODAY()-L369,"--"))</f>
        <v/>
      </c>
      <c r="Q369" s="63">
        <f>IF(O369="","",IF(O369="Closed",N369-L369,"--"))</f>
        <v/>
      </c>
    </row>
    <row r="370" ht="15" customHeight="1" s="130">
      <c r="B370" s="64">
        <f>IF(C370="","",B369+1)</f>
        <v/>
      </c>
      <c r="C370" s="77" t="n"/>
      <c r="D370" s="77" t="n"/>
      <c r="E370" s="82" t="n"/>
      <c r="F370" s="77" t="n"/>
      <c r="G370" s="64" t="n"/>
      <c r="H370" s="78" t="n"/>
      <c r="I370" s="78" t="n"/>
      <c r="J370" s="78" t="n"/>
      <c r="K370" s="82" t="n"/>
      <c r="L370" s="79" t="n"/>
      <c r="M370" s="78" t="n"/>
      <c r="N370" s="78" t="n"/>
      <c r="P370" s="63">
        <f>IF(O370="","",IF(O370="Open",TODAY()-L370,"--"))</f>
        <v/>
      </c>
      <c r="Q370" s="63">
        <f>IF(O370="","",IF(O370="Closed",N370-L370,"--"))</f>
        <v/>
      </c>
    </row>
    <row r="371" ht="15" customHeight="1" s="130">
      <c r="B371" s="64">
        <f>IF(C371="","",B370+1)</f>
        <v/>
      </c>
      <c r="C371" s="77" t="n"/>
      <c r="D371" s="77" t="n"/>
      <c r="E371" s="82" t="n"/>
      <c r="F371" s="77" t="n"/>
      <c r="G371" s="64" t="n"/>
      <c r="H371" s="78" t="n"/>
      <c r="I371" s="78" t="n"/>
      <c r="J371" s="78" t="n"/>
      <c r="K371" s="82" t="n"/>
      <c r="L371" s="79" t="n"/>
      <c r="M371" s="78" t="n"/>
      <c r="N371" s="79" t="n"/>
      <c r="P371" s="63">
        <f>IF(O371="","",IF(O371="Open",TODAY()-L371,"--"))</f>
        <v/>
      </c>
      <c r="Q371" s="63">
        <f>IF(O371="","",IF(O371="Closed",N371-L371,"--"))</f>
        <v/>
      </c>
    </row>
    <row r="372" ht="15" customHeight="1" s="130">
      <c r="B372" s="64">
        <f>IF(C372="","",B371+1)</f>
        <v/>
      </c>
      <c r="C372" s="77" t="n"/>
      <c r="D372" s="77" t="n"/>
      <c r="E372" s="82" t="n"/>
      <c r="F372" s="77" t="n"/>
      <c r="G372" s="64" t="n"/>
      <c r="H372" s="78" t="n"/>
      <c r="I372" s="78" t="n"/>
      <c r="J372" s="78" t="n"/>
      <c r="K372" s="82" t="n"/>
      <c r="L372" s="79" t="n"/>
      <c r="M372" s="78" t="n"/>
      <c r="N372" s="79" t="n"/>
      <c r="P372" s="63">
        <f>IF(O372="","",IF(O372="Open",TODAY()-L372,"--"))</f>
        <v/>
      </c>
      <c r="Q372" s="63">
        <f>IF(O372="","",IF(O372="Closed",N372-L372,"--"))</f>
        <v/>
      </c>
    </row>
    <row r="373" ht="15" customHeight="1" s="130">
      <c r="B373" s="64">
        <f>IF(C373="","",B372+1)</f>
        <v/>
      </c>
      <c r="C373" s="77" t="n"/>
      <c r="D373" s="77" t="n"/>
      <c r="E373" s="82" t="n"/>
      <c r="F373" s="77" t="n"/>
      <c r="G373" s="64" t="n"/>
      <c r="H373" s="78" t="n"/>
      <c r="I373" s="78" t="n"/>
      <c r="J373" s="78" t="n"/>
      <c r="K373" s="82" t="n"/>
      <c r="L373" s="79" t="n"/>
      <c r="M373" s="78" t="n"/>
      <c r="N373" s="79" t="n"/>
      <c r="P373" s="63">
        <f>IF(O373="","",IF(O373="Open",TODAY()-L373,"--"))</f>
        <v/>
      </c>
      <c r="Q373" s="63">
        <f>IF(O373="","",IF(O373="Closed",N373-L373,"--"))</f>
        <v/>
      </c>
    </row>
    <row r="374" ht="15" customHeight="1" s="130">
      <c r="B374" s="64">
        <f>IF(C374="","",B373+1)</f>
        <v/>
      </c>
      <c r="C374" s="77" t="n"/>
      <c r="D374" s="77" t="n"/>
      <c r="E374" s="82" t="n"/>
      <c r="F374" s="77" t="n"/>
      <c r="G374" s="64" t="n"/>
      <c r="H374" s="78" t="n"/>
      <c r="I374" s="78" t="n"/>
      <c r="J374" s="78" t="n"/>
      <c r="K374" s="82" t="n"/>
      <c r="L374" s="79" t="n"/>
      <c r="M374" s="78" t="n"/>
      <c r="N374" s="78" t="n"/>
      <c r="P374" s="63">
        <f>IF(O374="","",IF(O374="Open",TODAY()-L374,"--"))</f>
        <v/>
      </c>
      <c r="Q374" s="63">
        <f>IF(O374="","",IF(O374="Closed",N374-L374,"--"))</f>
        <v/>
      </c>
    </row>
    <row r="375" ht="15" customHeight="1" s="130">
      <c r="B375" s="64">
        <f>IF(C375="","",B374+1)</f>
        <v/>
      </c>
      <c r="C375" s="77" t="n"/>
      <c r="D375" s="77" t="n"/>
      <c r="E375" s="82" t="n"/>
      <c r="F375" s="77" t="n"/>
      <c r="G375" s="64" t="n"/>
      <c r="H375" s="78" t="n"/>
      <c r="I375" s="78" t="n"/>
      <c r="J375" s="78" t="n"/>
      <c r="K375" s="82" t="n"/>
      <c r="L375" s="79" t="n"/>
      <c r="M375" s="78" t="n"/>
      <c r="N375" s="78" t="n"/>
      <c r="P375" s="63">
        <f>IF(O375="","",IF(O375="Open",TODAY()-L375,"--"))</f>
        <v/>
      </c>
      <c r="Q375" s="63">
        <f>IF(O375="","",IF(O375="Closed",N375-L375,"--"))</f>
        <v/>
      </c>
    </row>
    <row r="376" ht="15" customHeight="1" s="130">
      <c r="B376" s="64">
        <f>IF(C376="","",B375+1)</f>
        <v/>
      </c>
      <c r="C376" s="77" t="n"/>
      <c r="D376" s="77" t="n"/>
      <c r="E376" s="82" t="n"/>
      <c r="F376" s="77" t="n"/>
      <c r="G376" s="64" t="n"/>
      <c r="H376" s="78" t="n"/>
      <c r="I376" s="78" t="n"/>
      <c r="J376" s="78" t="n"/>
      <c r="K376" s="82" t="n"/>
      <c r="L376" s="79" t="n"/>
      <c r="M376" s="78" t="n"/>
      <c r="N376" s="78" t="n"/>
      <c r="P376" s="63">
        <f>IF(O376="","",IF(O376="Open",TODAY()-L376,"--"))</f>
        <v/>
      </c>
      <c r="Q376" s="63">
        <f>IF(O376="","",IF(O376="Closed",N376-L376,"--"))</f>
        <v/>
      </c>
    </row>
    <row r="377" ht="15" customHeight="1" s="130">
      <c r="B377" s="64">
        <f>IF(C377="","",B376+1)</f>
        <v/>
      </c>
      <c r="C377" s="77" t="n"/>
      <c r="D377" s="77" t="n"/>
      <c r="E377" s="82" t="n"/>
      <c r="F377" s="77" t="n"/>
      <c r="G377" s="64" t="n"/>
      <c r="H377" s="78" t="n"/>
      <c r="I377" s="78" t="n"/>
      <c r="J377" s="78" t="n"/>
      <c r="K377" s="82" t="n"/>
      <c r="L377" s="79" t="n"/>
      <c r="M377" s="78" t="n"/>
      <c r="N377" s="78" t="n"/>
      <c r="P377" s="63">
        <f>IF(O377="","",IF(O377="Open",TODAY()-L377,"--"))</f>
        <v/>
      </c>
      <c r="Q377" s="63">
        <f>IF(O377="","",IF(O377="Closed",N377-L377,"--"))</f>
        <v/>
      </c>
    </row>
    <row r="378" ht="15" customHeight="1" s="130">
      <c r="B378" s="64">
        <f>IF(C378="","",B377+1)</f>
        <v/>
      </c>
      <c r="C378" s="77" t="n"/>
      <c r="D378" s="77" t="n"/>
      <c r="E378" s="82" t="n"/>
      <c r="F378" s="77" t="n"/>
      <c r="G378" s="64" t="n"/>
      <c r="H378" s="78" t="n"/>
      <c r="I378" s="78" t="n"/>
      <c r="J378" s="78" t="n"/>
      <c r="K378" s="82" t="n"/>
      <c r="L378" s="79" t="n"/>
      <c r="M378" s="78" t="n"/>
      <c r="N378" s="78" t="n"/>
      <c r="P378" s="63">
        <f>IF(O378="","",IF(O378="Open",TODAY()-L378,"--"))</f>
        <v/>
      </c>
      <c r="Q378" s="63">
        <f>IF(O378="","",IF(O378="Closed",N378-L378,"--"))</f>
        <v/>
      </c>
    </row>
    <row r="379" ht="15" customHeight="1" s="130">
      <c r="B379" s="64">
        <f>IF(C379="","",B378+1)</f>
        <v/>
      </c>
      <c r="C379" s="77" t="n"/>
      <c r="D379" s="77" t="n"/>
      <c r="E379" s="82" t="n"/>
      <c r="F379" s="77" t="n"/>
      <c r="G379" s="64" t="n"/>
      <c r="H379" s="78" t="n"/>
      <c r="I379" s="78" t="n"/>
      <c r="J379" s="78" t="n"/>
      <c r="K379" s="82" t="n"/>
      <c r="L379" s="79" t="n"/>
      <c r="M379" s="78" t="n"/>
      <c r="N379" s="78" t="n"/>
      <c r="P379" s="63">
        <f>IF(O379="","",IF(O379="Open",TODAY()-L379,"--"))</f>
        <v/>
      </c>
      <c r="Q379" s="63">
        <f>IF(O379="","",IF(O379="Closed",N379-L379,"--"))</f>
        <v/>
      </c>
    </row>
    <row r="380" ht="15" customHeight="1" s="130">
      <c r="B380" s="64">
        <f>IF(C380="","",B379+1)</f>
        <v/>
      </c>
      <c r="C380" s="77" t="n"/>
      <c r="D380" s="77" t="n"/>
      <c r="E380" s="82" t="n"/>
      <c r="F380" s="77" t="n"/>
      <c r="G380" s="64" t="n"/>
      <c r="H380" s="78" t="n"/>
      <c r="I380" s="78" t="n"/>
      <c r="J380" s="78" t="n"/>
      <c r="K380" s="82" t="n"/>
      <c r="L380" s="79" t="n"/>
      <c r="M380" s="78" t="n"/>
      <c r="N380" s="78" t="n"/>
      <c r="P380" s="63">
        <f>IF(O380="","",IF(O380="Open",TODAY()-L380,"--"))</f>
        <v/>
      </c>
      <c r="Q380" s="63">
        <f>IF(O380="","",IF(O380="Closed",N380-L380,"--"))</f>
        <v/>
      </c>
    </row>
    <row r="381" ht="15" customHeight="1" s="130">
      <c r="B381" s="64">
        <f>IF(C381="","",B380+1)</f>
        <v/>
      </c>
      <c r="C381" s="77" t="n"/>
      <c r="D381" s="77" t="n"/>
      <c r="E381" s="82" t="n"/>
      <c r="F381" s="77" t="n"/>
      <c r="G381" s="64" t="n"/>
      <c r="H381" s="78" t="n"/>
      <c r="I381" s="78" t="n"/>
      <c r="J381" s="78" t="n"/>
      <c r="K381" s="82" t="n"/>
      <c r="L381" s="79" t="n"/>
      <c r="M381" s="78" t="n"/>
      <c r="N381" s="78" t="n"/>
      <c r="P381" s="63">
        <f>IF(O381="","",IF(O381="Open",TODAY()-L381,"--"))</f>
        <v/>
      </c>
      <c r="Q381" s="63">
        <f>IF(O381="","",IF(O381="Closed",N381-L381,"--"))</f>
        <v/>
      </c>
    </row>
    <row r="382" ht="15" customHeight="1" s="130">
      <c r="B382" s="64">
        <f>IF(C382="","",B381+1)</f>
        <v/>
      </c>
      <c r="C382" s="77" t="n"/>
      <c r="D382" s="77" t="n"/>
      <c r="E382" s="82" t="n"/>
      <c r="F382" s="77" t="n"/>
      <c r="G382" s="64" t="n"/>
      <c r="H382" s="78" t="n"/>
      <c r="I382" s="78" t="n"/>
      <c r="J382" s="78" t="n"/>
      <c r="K382" s="82" t="n"/>
      <c r="L382" s="79" t="n"/>
      <c r="M382" s="78" t="n"/>
      <c r="N382" s="79" t="n"/>
      <c r="P382" s="63">
        <f>IF(O382="","",IF(O382="Open",TODAY()-L382,"--"))</f>
        <v/>
      </c>
      <c r="Q382" s="63">
        <f>IF(O382="","",IF(O382="Closed",N382-L382,"--"))</f>
        <v/>
      </c>
    </row>
    <row r="383" ht="15" customHeight="1" s="130">
      <c r="B383" s="64">
        <f>IF(C383="","",B382+1)</f>
        <v/>
      </c>
      <c r="C383" s="77" t="n"/>
      <c r="D383" s="77" t="n"/>
      <c r="E383" s="82" t="n"/>
      <c r="F383" s="77" t="n"/>
      <c r="G383" s="64" t="n"/>
      <c r="H383" s="78" t="n"/>
      <c r="I383" s="78" t="n"/>
      <c r="J383" s="78" t="n"/>
      <c r="K383" s="82" t="n"/>
      <c r="L383" s="79" t="n"/>
      <c r="M383" s="78" t="n"/>
      <c r="N383" s="79" t="n"/>
      <c r="P383" s="63">
        <f>IF(O383="","",IF(O383="Open",TODAY()-L383,"--"))</f>
        <v/>
      </c>
      <c r="Q383" s="63">
        <f>IF(O383="","",IF(O383="Closed",N383-L383,"--"))</f>
        <v/>
      </c>
    </row>
    <row r="384" ht="15" customHeight="1" s="130">
      <c r="B384" s="64">
        <f>IF(C384="","",B383+1)</f>
        <v/>
      </c>
      <c r="C384" s="77" t="n"/>
      <c r="D384" s="77" t="n"/>
      <c r="E384" s="82" t="n"/>
      <c r="F384" s="77" t="n"/>
      <c r="G384" s="64" t="n"/>
      <c r="H384" s="78" t="n"/>
      <c r="I384" s="78" t="n"/>
      <c r="J384" s="78" t="n"/>
      <c r="K384" s="82" t="n"/>
      <c r="L384" s="79" t="n"/>
      <c r="M384" s="78" t="n"/>
      <c r="N384" s="79" t="n"/>
      <c r="P384" s="63">
        <f>IF(O384="","",IF(O384="Open",TODAY()-L384,"--"))</f>
        <v/>
      </c>
      <c r="Q384" s="63">
        <f>IF(O384="","",IF(O384="Closed",N384-L384,"--"))</f>
        <v/>
      </c>
    </row>
    <row r="385" ht="15" customHeight="1" s="130">
      <c r="B385" s="64">
        <f>IF(C385="","",B384+1)</f>
        <v/>
      </c>
      <c r="C385" s="77" t="n"/>
      <c r="D385" s="77" t="n"/>
      <c r="E385" s="82" t="n"/>
      <c r="F385" s="77" t="n"/>
      <c r="G385" s="64" t="n"/>
      <c r="H385" s="78" t="n"/>
      <c r="I385" s="78" t="n"/>
      <c r="J385" s="78" t="n"/>
      <c r="K385" s="82" t="n"/>
      <c r="L385" s="79" t="n"/>
      <c r="M385" s="78" t="n"/>
      <c r="N385" s="78" t="n"/>
      <c r="P385" s="63">
        <f>IF(O385="","",IF(O385="Open",TODAY()-L385,"--"))</f>
        <v/>
      </c>
      <c r="Q385" s="63">
        <f>IF(O385="","",IF(O385="Closed",N385-L385,"--"))</f>
        <v/>
      </c>
    </row>
    <row r="386" ht="15" customHeight="1" s="130">
      <c r="B386" s="64">
        <f>IF(C386="","",B385+1)</f>
        <v/>
      </c>
      <c r="C386" s="77" t="n"/>
      <c r="D386" s="77" t="n"/>
      <c r="E386" s="82" t="n"/>
      <c r="F386" s="77" t="n"/>
      <c r="G386" s="64" t="n"/>
      <c r="H386" s="78" t="n"/>
      <c r="I386" s="78" t="n"/>
      <c r="J386" s="78" t="n"/>
      <c r="K386" s="82" t="n"/>
      <c r="L386" s="79" t="n"/>
      <c r="M386" s="78" t="n"/>
      <c r="N386" s="78" t="n"/>
      <c r="P386" s="63">
        <f>IF(O386="","",IF(O386="Open",TODAY()-L386,"--"))</f>
        <v/>
      </c>
      <c r="Q386" s="63">
        <f>IF(O386="","",IF(O386="Closed",N386-L386,"--"))</f>
        <v/>
      </c>
    </row>
    <row r="387" ht="15" customHeight="1" s="130">
      <c r="B387" s="64">
        <f>IF(C387="","",B386+1)</f>
        <v/>
      </c>
      <c r="C387" s="77" t="n"/>
      <c r="D387" s="77" t="n"/>
      <c r="E387" s="82" t="n"/>
      <c r="F387" s="77" t="n"/>
      <c r="G387" s="64" t="n"/>
      <c r="H387" s="78" t="n"/>
      <c r="I387" s="78" t="n"/>
      <c r="J387" s="78" t="n"/>
      <c r="K387" s="82" t="n"/>
      <c r="L387" s="79" t="n"/>
      <c r="M387" s="78" t="n"/>
      <c r="N387" s="78" t="n"/>
      <c r="P387" s="63">
        <f>IF(O387="","",IF(O387="Open",TODAY()-L387,"--"))</f>
        <v/>
      </c>
      <c r="Q387" s="63">
        <f>IF(O387="","",IF(O387="Closed",N387-L387,"--"))</f>
        <v/>
      </c>
    </row>
    <row r="388" ht="15" customHeight="1" s="130">
      <c r="B388" s="64">
        <f>IF(C388="","",B387+1)</f>
        <v/>
      </c>
      <c r="C388" s="77" t="n"/>
      <c r="D388" s="77" t="n"/>
      <c r="E388" s="82" t="n"/>
      <c r="F388" s="77" t="n"/>
      <c r="G388" s="64" t="n"/>
      <c r="H388" s="78" t="n"/>
      <c r="I388" s="78" t="n"/>
      <c r="J388" s="78" t="n"/>
      <c r="K388" s="82" t="n"/>
      <c r="L388" s="79" t="n"/>
      <c r="M388" s="78" t="n"/>
      <c r="N388" s="78" t="n"/>
      <c r="P388" s="63">
        <f>IF(O388="","",IF(O388="Open",TODAY()-L388,"--"))</f>
        <v/>
      </c>
      <c r="Q388" s="63">
        <f>IF(O388="","",IF(O388="Closed",N388-L388,"--"))</f>
        <v/>
      </c>
    </row>
    <row r="389" ht="15" customHeight="1" s="130">
      <c r="B389" s="64">
        <f>IF(C389="","",B388+1)</f>
        <v/>
      </c>
      <c r="C389" s="77" t="n"/>
      <c r="D389" s="77" t="n"/>
      <c r="E389" s="82" t="n"/>
      <c r="F389" s="77" t="n"/>
      <c r="G389" s="64" t="n"/>
      <c r="H389" s="78" t="n"/>
      <c r="I389" s="78" t="n"/>
      <c r="J389" s="78" t="n"/>
      <c r="K389" s="82" t="n"/>
      <c r="L389" s="79" t="n"/>
      <c r="M389" s="78" t="n"/>
      <c r="N389" s="78" t="n"/>
      <c r="P389" s="63">
        <f>IF(O389="","",IF(O389="Open",TODAY()-L389,"--"))</f>
        <v/>
      </c>
      <c r="Q389" s="63">
        <f>IF(O389="","",IF(O389="Closed",N389-L389,"--"))</f>
        <v/>
      </c>
    </row>
    <row r="390" ht="15" customHeight="1" s="130">
      <c r="B390" s="64">
        <f>IF(C390="","",B389+1)</f>
        <v/>
      </c>
      <c r="C390" s="77" t="n"/>
      <c r="D390" s="77" t="n"/>
      <c r="E390" s="82" t="n"/>
      <c r="F390" s="77" t="n"/>
      <c r="G390" s="64" t="n"/>
      <c r="H390" s="78" t="n"/>
      <c r="I390" s="78" t="n"/>
      <c r="J390" s="78" t="n"/>
      <c r="K390" s="82" t="n"/>
      <c r="L390" s="79" t="n"/>
      <c r="M390" s="78" t="n"/>
      <c r="N390" s="79" t="n"/>
      <c r="P390" s="63">
        <f>IF(O390="","",IF(O390="Open",TODAY()-L390,"--"))</f>
        <v/>
      </c>
      <c r="Q390" s="63">
        <f>IF(O390="","",IF(O390="Closed",N390-L390,"--"))</f>
        <v/>
      </c>
    </row>
    <row r="391" ht="15" customHeight="1" s="130">
      <c r="B391" s="64">
        <f>IF(C391="","",B390+1)</f>
        <v/>
      </c>
      <c r="C391" s="77" t="n"/>
      <c r="D391" s="77" t="n"/>
      <c r="E391" s="82" t="n"/>
      <c r="F391" s="77" t="n"/>
      <c r="G391" s="64" t="n"/>
      <c r="H391" s="78" t="n"/>
      <c r="I391" s="78" t="n"/>
      <c r="J391" s="78" t="n"/>
      <c r="K391" s="82" t="n"/>
      <c r="L391" s="79" t="n"/>
      <c r="M391" s="78" t="n"/>
      <c r="N391" s="78" t="n"/>
      <c r="P391" s="63">
        <f>IF(O391="","",IF(O391="Open",TODAY()-L391,"--"))</f>
        <v/>
      </c>
      <c r="Q391" s="63">
        <f>IF(O391="","",IF(O391="Closed",N391-L391,"--"))</f>
        <v/>
      </c>
    </row>
    <row r="392" ht="15" customHeight="1" s="130">
      <c r="B392" s="64">
        <f>IF(C392="","",B391+1)</f>
        <v/>
      </c>
      <c r="C392" s="77" t="n"/>
      <c r="D392" s="77" t="n"/>
      <c r="E392" s="82" t="n"/>
      <c r="F392" s="77" t="n"/>
      <c r="G392" s="64" t="n"/>
      <c r="H392" s="78" t="n"/>
      <c r="I392" s="78" t="n"/>
      <c r="J392" s="78" t="n"/>
      <c r="K392" s="82" t="n"/>
      <c r="L392" s="79" t="n"/>
      <c r="M392" s="78" t="n"/>
      <c r="N392" s="78" t="n"/>
      <c r="P392" s="63">
        <f>IF(O392="","",IF(O392="Open",TODAY()-L392,"--"))</f>
        <v/>
      </c>
      <c r="Q392" s="63">
        <f>IF(O392="","",IF(O392="Closed",N392-L392,"--"))</f>
        <v/>
      </c>
    </row>
    <row r="393" ht="15" customHeight="1" s="130">
      <c r="B393" s="64">
        <f>IF(C393="","",B392+1)</f>
        <v/>
      </c>
      <c r="C393" s="77" t="n"/>
      <c r="D393" s="77" t="n"/>
      <c r="E393" s="82" t="n"/>
      <c r="F393" s="77" t="n"/>
      <c r="G393" s="64" t="n"/>
      <c r="H393" s="78" t="n"/>
      <c r="I393" s="78" t="n"/>
      <c r="J393" s="78" t="n"/>
      <c r="K393" s="82" t="n"/>
      <c r="L393" s="79" t="n"/>
      <c r="M393" s="78" t="n"/>
      <c r="N393" s="78" t="n"/>
      <c r="P393" s="63">
        <f>IF(O393="","",IF(O393="Open",TODAY()-L393,"--"))</f>
        <v/>
      </c>
      <c r="Q393" s="63">
        <f>IF(O393="","",IF(O393="Closed",N393-L393,"--"))</f>
        <v/>
      </c>
    </row>
    <row r="394" ht="15" customHeight="1" s="130">
      <c r="B394" s="64">
        <f>IF(C394="","",B393+1)</f>
        <v/>
      </c>
      <c r="C394" s="77" t="n"/>
      <c r="D394" s="77" t="n"/>
      <c r="E394" s="82" t="n"/>
      <c r="F394" s="77" t="n"/>
      <c r="G394" s="64" t="n"/>
      <c r="H394" s="78" t="n"/>
      <c r="I394" s="78" t="n"/>
      <c r="J394" s="78" t="n"/>
      <c r="K394" s="82" t="n"/>
      <c r="L394" s="79" t="n"/>
      <c r="M394" s="78" t="n"/>
      <c r="N394" s="78" t="n"/>
      <c r="P394" s="63">
        <f>IF(O394="","",IF(O394="Open",TODAY()-L394,"--"))</f>
        <v/>
      </c>
      <c r="Q394" s="63">
        <f>IF(O394="","",IF(O394="Closed",N394-L394,"--"))</f>
        <v/>
      </c>
    </row>
    <row r="395" ht="15" customHeight="1" s="130">
      <c r="B395" s="64">
        <f>IF(C395="","",B394+1)</f>
        <v/>
      </c>
      <c r="C395" s="77" t="n"/>
      <c r="D395" s="77" t="n"/>
      <c r="E395" s="82" t="n"/>
      <c r="F395" s="77" t="n"/>
      <c r="G395" s="64" t="n"/>
      <c r="H395" s="78" t="n"/>
      <c r="I395" s="78" t="n"/>
      <c r="J395" s="78" t="n"/>
      <c r="K395" s="82" t="n"/>
      <c r="L395" s="79" t="n"/>
      <c r="M395" s="78" t="n"/>
      <c r="N395" s="78" t="n"/>
      <c r="P395" s="63">
        <f>IF(O395="","",IF(O395="Open",TODAY()-L395,"--"))</f>
        <v/>
      </c>
      <c r="Q395" s="63">
        <f>IF(O395="","",IF(O395="Closed",N395-L395,"--"))</f>
        <v/>
      </c>
    </row>
    <row r="396" ht="15" customHeight="1" s="130">
      <c r="B396" s="64">
        <f>IF(C396="","",B395+1)</f>
        <v/>
      </c>
      <c r="C396" s="77" t="n"/>
      <c r="D396" s="77" t="n"/>
      <c r="E396" s="82" t="n"/>
      <c r="F396" s="77" t="n"/>
      <c r="G396" s="64" t="n"/>
      <c r="H396" s="78" t="n"/>
      <c r="I396" s="78" t="n"/>
      <c r="J396" s="78" t="n"/>
      <c r="K396" s="82" t="n"/>
      <c r="L396" s="79" t="n"/>
      <c r="M396" s="78" t="n"/>
      <c r="N396" s="78" t="n"/>
      <c r="P396" s="63">
        <f>IF(O396="","",IF(O396="Open",TODAY()-L396,"--"))</f>
        <v/>
      </c>
      <c r="Q396" s="63">
        <f>IF(O396="","",IF(O396="Closed",N396-L396,"--"))</f>
        <v/>
      </c>
    </row>
    <row r="397" ht="15" customHeight="1" s="130">
      <c r="B397" s="64">
        <f>IF(C397="","",B396+1)</f>
        <v/>
      </c>
      <c r="C397" s="77" t="n"/>
      <c r="D397" s="77" t="n"/>
      <c r="E397" s="82" t="n"/>
      <c r="F397" s="77" t="n"/>
      <c r="G397" s="64" t="n"/>
      <c r="H397" s="78" t="n"/>
      <c r="I397" s="78" t="n"/>
      <c r="J397" s="78" t="n"/>
      <c r="K397" s="82" t="n"/>
      <c r="L397" s="79" t="n"/>
      <c r="M397" s="78" t="n"/>
      <c r="N397" s="78" t="n"/>
      <c r="P397" s="63">
        <f>IF(O397="","",IF(O397="Open",TODAY()-L397,"--"))</f>
        <v/>
      </c>
      <c r="Q397" s="63">
        <f>IF(O397="","",IF(O397="Closed",N397-L397,"--"))</f>
        <v/>
      </c>
    </row>
    <row r="398" ht="15" customHeight="1" s="130">
      <c r="B398" s="64">
        <f>IF(C398="","",B397+1)</f>
        <v/>
      </c>
      <c r="C398" s="77" t="n"/>
      <c r="D398" s="77" t="n"/>
      <c r="E398" s="82" t="n"/>
      <c r="F398" s="77" t="n"/>
      <c r="G398" s="64" t="n"/>
      <c r="H398" s="78" t="n"/>
      <c r="I398" s="78" t="n"/>
      <c r="J398" s="78" t="n"/>
      <c r="K398" s="82" t="n"/>
      <c r="L398" s="79" t="n"/>
      <c r="M398" s="78" t="n"/>
      <c r="N398" s="78" t="n"/>
      <c r="P398" s="63">
        <f>IF(O398="","",IF(O398="Open",TODAY()-L398,"--"))</f>
        <v/>
      </c>
      <c r="Q398" s="63">
        <f>IF(O398="","",IF(O398="Closed",N398-L398,"--"))</f>
        <v/>
      </c>
    </row>
    <row r="399" ht="15" customHeight="1" s="130">
      <c r="B399" s="64">
        <f>IF(C399="","",B398+1)</f>
        <v/>
      </c>
      <c r="C399" s="77" t="n"/>
      <c r="D399" s="77" t="n"/>
      <c r="E399" s="82" t="n"/>
      <c r="F399" s="77" t="n"/>
      <c r="G399" s="64" t="n"/>
      <c r="H399" s="78" t="n"/>
      <c r="I399" s="78" t="n"/>
      <c r="J399" s="78" t="n"/>
      <c r="K399" s="82" t="n"/>
      <c r="L399" s="79" t="n"/>
      <c r="M399" s="78" t="n"/>
      <c r="N399" s="78" t="n"/>
      <c r="P399" s="63">
        <f>IF(O399="","",IF(O399="Open",TODAY()-L399,"--"))</f>
        <v/>
      </c>
      <c r="Q399" s="63">
        <f>IF(O399="","",IF(O399="Closed",N399-L399,"--"))</f>
        <v/>
      </c>
    </row>
    <row r="400" ht="15" customHeight="1" s="130">
      <c r="B400" s="64">
        <f>IF(C400="","",B399+1)</f>
        <v/>
      </c>
      <c r="C400" s="77" t="n"/>
      <c r="D400" s="77" t="n"/>
      <c r="E400" s="82" t="n"/>
      <c r="F400" s="77" t="n"/>
      <c r="G400" s="64" t="n"/>
      <c r="H400" s="78" t="n"/>
      <c r="I400" s="78" t="n"/>
      <c r="J400" s="78" t="n"/>
      <c r="K400" s="82" t="n"/>
      <c r="L400" s="79" t="n"/>
      <c r="M400" s="78" t="n"/>
      <c r="N400" s="79" t="n"/>
      <c r="P400" s="63">
        <f>IF(O400="","",IF(O400="Open",TODAY()-L400,"--"))</f>
        <v/>
      </c>
      <c r="Q400" s="63">
        <f>IF(O400="","",IF(O400="Closed",N400-L400,"--"))</f>
        <v/>
      </c>
    </row>
    <row r="401" ht="15" customHeight="1" s="130">
      <c r="B401" s="64">
        <f>IF(C401="","",B400+1)</f>
        <v/>
      </c>
      <c r="C401" s="77" t="n"/>
      <c r="D401" s="77" t="n"/>
      <c r="E401" s="82" t="n"/>
      <c r="F401" s="77" t="n"/>
      <c r="G401" s="64" t="n"/>
      <c r="H401" s="78" t="n"/>
      <c r="I401" s="78" t="n"/>
      <c r="J401" s="78" t="n"/>
      <c r="K401" s="82" t="n"/>
      <c r="L401" s="79" t="n"/>
      <c r="M401" s="78" t="n"/>
      <c r="N401" s="78" t="n"/>
      <c r="P401" s="63">
        <f>IF(O401="","",IF(O401="Open",TODAY()-L401,"--"))</f>
        <v/>
      </c>
      <c r="Q401" s="63">
        <f>IF(O401="","",IF(O401="Closed",N401-L401,"--"))</f>
        <v/>
      </c>
    </row>
    <row r="402" ht="15" customHeight="1" s="130">
      <c r="B402" s="64">
        <f>IF(C402="","",B401+1)</f>
        <v/>
      </c>
      <c r="C402" s="77" t="n"/>
      <c r="D402" s="77" t="n"/>
      <c r="E402" s="82" t="n"/>
      <c r="F402" s="77" t="n"/>
      <c r="G402" s="64" t="n"/>
      <c r="H402" s="78" t="n"/>
      <c r="I402" s="78" t="n"/>
      <c r="J402" s="78" t="n"/>
      <c r="K402" s="82" t="n"/>
      <c r="L402" s="79" t="n"/>
      <c r="M402" s="78" t="n"/>
      <c r="N402" s="78" t="n"/>
      <c r="P402" s="63">
        <f>IF(O402="","",IF(O402="Open",TODAY()-L402,"--"))</f>
        <v/>
      </c>
      <c r="Q402" s="63">
        <f>IF(O402="","",IF(O402="Closed",N402-L402,"--"))</f>
        <v/>
      </c>
    </row>
    <row r="403" ht="15" customHeight="1" s="130">
      <c r="B403" s="64">
        <f>IF(C403="","",B402+1)</f>
        <v/>
      </c>
      <c r="C403" s="77" t="n"/>
      <c r="D403" s="77" t="n"/>
      <c r="E403" s="82" t="n"/>
      <c r="F403" s="77" t="n"/>
      <c r="G403" s="64" t="n"/>
      <c r="H403" s="78" t="n"/>
      <c r="I403" s="78" t="n"/>
      <c r="J403" s="78" t="n"/>
      <c r="K403" s="82" t="n"/>
      <c r="L403" s="79" t="n"/>
      <c r="M403" s="78" t="n"/>
      <c r="N403" s="78" t="n"/>
      <c r="P403" s="63">
        <f>IF(O403="","",IF(O403="Open",TODAY()-L403,"--"))</f>
        <v/>
      </c>
      <c r="Q403" s="63">
        <f>IF(O403="","",IF(O403="Closed",N403-L403,"--"))</f>
        <v/>
      </c>
    </row>
    <row r="404" ht="15" customHeight="1" s="130">
      <c r="B404" s="64">
        <f>IF(C404="","",B403+1)</f>
        <v/>
      </c>
      <c r="C404" s="77" t="n"/>
      <c r="D404" s="77" t="n"/>
      <c r="E404" s="82" t="n"/>
      <c r="F404" s="77" t="n"/>
      <c r="G404" s="64" t="n"/>
      <c r="H404" s="78" t="n"/>
      <c r="I404" s="78" t="n"/>
      <c r="J404" s="78" t="n"/>
      <c r="K404" s="82" t="n"/>
      <c r="L404" s="79" t="n"/>
      <c r="M404" s="78" t="n"/>
      <c r="N404" s="78" t="n"/>
      <c r="P404" s="63">
        <f>IF(O404="","",IF(O404="Open",TODAY()-L404,"--"))</f>
        <v/>
      </c>
      <c r="Q404" s="63">
        <f>IF(O404="","",IF(O404="Closed",N404-L404,"--"))</f>
        <v/>
      </c>
    </row>
    <row r="405" ht="15" customHeight="1" s="130">
      <c r="B405" s="64">
        <f>IF(C405="","",B404+1)</f>
        <v/>
      </c>
      <c r="C405" s="77" t="n"/>
      <c r="D405" s="77" t="n"/>
      <c r="E405" s="82" t="n"/>
      <c r="F405" s="77" t="n"/>
      <c r="G405" s="64" t="n"/>
      <c r="H405" s="78" t="n"/>
      <c r="I405" s="78" t="n"/>
      <c r="J405" s="78" t="n"/>
      <c r="K405" s="82" t="n"/>
      <c r="L405" s="79" t="n"/>
      <c r="M405" s="78" t="n"/>
      <c r="N405" s="78" t="n"/>
      <c r="P405" s="63">
        <f>IF(O405="","",IF(O405="Open",TODAY()-L405,"--"))</f>
        <v/>
      </c>
      <c r="Q405" s="63">
        <f>IF(O405="","",IF(O405="Closed",N405-L405,"--"))</f>
        <v/>
      </c>
    </row>
    <row r="406" ht="15" customHeight="1" s="130">
      <c r="B406" s="64">
        <f>IF(C406="","",B405+1)</f>
        <v/>
      </c>
      <c r="C406" s="77" t="n"/>
      <c r="D406" s="77" t="n"/>
      <c r="E406" s="82" t="n"/>
      <c r="F406" s="77" t="n"/>
      <c r="G406" s="64" t="n"/>
      <c r="H406" s="78" t="n"/>
      <c r="I406" s="78" t="n"/>
      <c r="J406" s="78" t="n"/>
      <c r="K406" s="82" t="n"/>
      <c r="L406" s="79" t="n"/>
      <c r="M406" s="78" t="n"/>
      <c r="N406" s="78" t="n"/>
      <c r="P406" s="63">
        <f>IF(O406="","",IF(O406="Open",TODAY()-L406,"--"))</f>
        <v/>
      </c>
      <c r="Q406" s="63">
        <f>IF(O406="","",IF(O406="Closed",N406-L406,"--"))</f>
        <v/>
      </c>
    </row>
    <row r="407" ht="15" customHeight="1" s="130">
      <c r="B407" s="64">
        <f>IF(C407="","",B406+1)</f>
        <v/>
      </c>
      <c r="C407" s="77" t="n"/>
      <c r="D407" s="77" t="n"/>
      <c r="E407" s="82" t="n"/>
      <c r="F407" s="77" t="n"/>
      <c r="G407" s="64" t="n"/>
      <c r="H407" s="78" t="n"/>
      <c r="I407" s="78" t="n"/>
      <c r="J407" s="78" t="n"/>
      <c r="K407" s="82" t="n"/>
      <c r="L407" s="79" t="n"/>
      <c r="M407" s="78" t="n"/>
      <c r="N407" s="78" t="n"/>
      <c r="P407" s="63">
        <f>IF(O407="","",IF(O407="Open",TODAY()-L407,"--"))</f>
        <v/>
      </c>
      <c r="Q407" s="63">
        <f>IF(O407="","",IF(O407="Closed",N407-L407,"--"))</f>
        <v/>
      </c>
    </row>
    <row r="408" ht="15" customHeight="1" s="130">
      <c r="B408" s="64">
        <f>IF(C408="","",B407+1)</f>
        <v/>
      </c>
      <c r="C408" s="77" t="n"/>
      <c r="D408" s="77" t="n"/>
      <c r="E408" s="82" t="n"/>
      <c r="F408" s="77" t="n"/>
      <c r="G408" s="64" t="n"/>
      <c r="H408" s="78" t="n"/>
      <c r="I408" s="78" t="n"/>
      <c r="J408" s="78" t="n"/>
      <c r="K408" s="82" t="n"/>
      <c r="L408" s="79" t="n"/>
      <c r="M408" s="78" t="n"/>
      <c r="N408" s="78" t="n"/>
      <c r="P408" s="63">
        <f>IF(O408="","",IF(O408="Open",TODAY()-L408,"--"))</f>
        <v/>
      </c>
      <c r="Q408" s="63">
        <f>IF(O408="","",IF(O408="Closed",N408-L408,"--"))</f>
        <v/>
      </c>
    </row>
    <row r="409" ht="15" customHeight="1" s="130">
      <c r="B409" s="64">
        <f>IF(C409="","",B408+1)</f>
        <v/>
      </c>
      <c r="C409" s="77" t="n"/>
      <c r="D409" s="77" t="n"/>
      <c r="E409" s="82" t="n"/>
      <c r="F409" s="77" t="n"/>
      <c r="G409" s="64" t="n"/>
      <c r="H409" s="78" t="n"/>
      <c r="I409" s="78" t="n"/>
      <c r="J409" s="78" t="n"/>
      <c r="K409" s="82" t="n"/>
      <c r="L409" s="79" t="n"/>
      <c r="M409" s="78" t="n"/>
      <c r="N409" s="78" t="n"/>
      <c r="P409" s="63">
        <f>IF(O409="","",IF(O409="Open",TODAY()-L409,"--"))</f>
        <v/>
      </c>
      <c r="Q409" s="63">
        <f>IF(O409="","",IF(O409="Closed",N409-L409,"--"))</f>
        <v/>
      </c>
    </row>
    <row r="410" ht="15" customHeight="1" s="130">
      <c r="B410" s="64">
        <f>IF(C410="","",B409+1)</f>
        <v/>
      </c>
      <c r="C410" s="77" t="n"/>
      <c r="D410" s="77" t="n"/>
      <c r="E410" s="82" t="n"/>
      <c r="F410" s="77" t="n"/>
      <c r="G410" s="64" t="n"/>
      <c r="H410" s="78" t="n"/>
      <c r="I410" s="78" t="n"/>
      <c r="J410" s="78" t="n"/>
      <c r="K410" s="82" t="n"/>
      <c r="L410" s="79" t="n"/>
      <c r="M410" s="78" t="n"/>
      <c r="N410" s="78" t="n"/>
      <c r="P410" s="63">
        <f>IF(O410="","",IF(O410="Open",TODAY()-L410,"--"))</f>
        <v/>
      </c>
      <c r="Q410" s="63">
        <f>IF(O410="","",IF(O410="Closed",N410-L410,"--"))</f>
        <v/>
      </c>
    </row>
    <row r="411" ht="15" customHeight="1" s="130">
      <c r="B411" s="64">
        <f>IF(C411="","",B410+1)</f>
        <v/>
      </c>
      <c r="C411" s="77" t="n"/>
      <c r="D411" s="77" t="n"/>
      <c r="E411" s="82" t="n"/>
      <c r="F411" s="77" t="n"/>
      <c r="G411" s="64" t="n"/>
      <c r="H411" s="78" t="n"/>
      <c r="I411" s="78" t="n"/>
      <c r="J411" s="78" t="n"/>
      <c r="K411" s="82" t="n"/>
      <c r="L411" s="79" t="n"/>
      <c r="M411" s="78" t="n"/>
      <c r="N411" s="78" t="n"/>
      <c r="P411" s="63">
        <f>IF(O411="","",IF(O411="Open",TODAY()-L411,"--"))</f>
        <v/>
      </c>
      <c r="Q411" s="63">
        <f>IF(O411="","",IF(O411="Closed",N411-L411,"--"))</f>
        <v/>
      </c>
    </row>
    <row r="412" ht="15" customHeight="1" s="130">
      <c r="B412" s="64">
        <f>IF(C412="","",B411+1)</f>
        <v/>
      </c>
      <c r="C412" s="77" t="n"/>
      <c r="D412" s="77" t="n"/>
      <c r="E412" s="82" t="n"/>
      <c r="F412" s="77" t="n"/>
      <c r="G412" s="64" t="n"/>
      <c r="H412" s="78" t="n"/>
      <c r="I412" s="78" t="n"/>
      <c r="J412" s="78" t="n"/>
      <c r="K412" s="82" t="n"/>
      <c r="L412" s="79" t="n"/>
      <c r="M412" s="78" t="n"/>
      <c r="N412" s="78" t="n"/>
      <c r="P412" s="63">
        <f>IF(O412="","",IF(O412="Open",TODAY()-L412,"--"))</f>
        <v/>
      </c>
      <c r="Q412" s="63">
        <f>IF(O412="","",IF(O412="Closed",N412-L412,"--"))</f>
        <v/>
      </c>
    </row>
    <row r="413" ht="15" customHeight="1" s="130">
      <c r="B413" s="64">
        <f>IF(C413="","",B412+1)</f>
        <v/>
      </c>
      <c r="C413" s="77" t="n"/>
      <c r="D413" s="77" t="n"/>
      <c r="E413" s="82" t="n"/>
      <c r="F413" s="77" t="n"/>
      <c r="G413" s="64" t="n"/>
      <c r="H413" s="78" t="n"/>
      <c r="I413" s="78" t="n"/>
      <c r="J413" s="78" t="n"/>
      <c r="K413" s="82" t="n"/>
      <c r="L413" s="79" t="n"/>
      <c r="M413" s="78" t="n"/>
      <c r="N413" s="79" t="n"/>
      <c r="P413" s="63">
        <f>IF(O413="","",IF(O413="Open",TODAY()-L413,"--"))</f>
        <v/>
      </c>
      <c r="Q413" s="63">
        <f>IF(O413="","",IF(O413="Closed",N413-L413,"--"))</f>
        <v/>
      </c>
    </row>
    <row r="414" ht="15" customHeight="1" s="130">
      <c r="B414" s="64">
        <f>IF(C414="","",B413+1)</f>
        <v/>
      </c>
      <c r="C414" s="77" t="n"/>
      <c r="D414" s="77" t="n"/>
      <c r="E414" s="82" t="n"/>
      <c r="F414" s="77" t="n"/>
      <c r="G414" s="64" t="n"/>
      <c r="H414" s="78" t="n"/>
      <c r="I414" s="78" t="n"/>
      <c r="J414" s="78" t="n"/>
      <c r="K414" s="82" t="n"/>
      <c r="L414" s="79" t="n"/>
      <c r="M414" s="78" t="n"/>
      <c r="N414" s="79" t="n"/>
      <c r="P414" s="63">
        <f>IF(O414="","",IF(O414="Open",TODAY()-L414,"--"))</f>
        <v/>
      </c>
      <c r="Q414" s="63">
        <f>IF(O414="","",IF(O414="Closed",N414-L414,"--"))</f>
        <v/>
      </c>
    </row>
    <row r="415" ht="15" customHeight="1" s="130">
      <c r="B415" s="64">
        <f>IF(C415="","",B414+1)</f>
        <v/>
      </c>
      <c r="C415" s="77" t="n"/>
      <c r="D415" s="77" t="n"/>
      <c r="E415" s="82" t="n"/>
      <c r="F415" s="77" t="n"/>
      <c r="G415" s="64" t="n"/>
      <c r="H415" s="78" t="n"/>
      <c r="I415" s="78" t="n"/>
      <c r="J415" s="78" t="n"/>
      <c r="K415" s="82" t="n"/>
      <c r="L415" s="79" t="n"/>
      <c r="M415" s="78" t="n"/>
      <c r="N415" s="78" t="n"/>
      <c r="P415" s="63">
        <f>IF(O415="","",IF(O415="Open",TODAY()-L415,"--"))</f>
        <v/>
      </c>
      <c r="Q415" s="63">
        <f>IF(O415="","",IF(O415="Closed",N415-L415,"--"))</f>
        <v/>
      </c>
    </row>
    <row r="416" ht="15" customHeight="1" s="130">
      <c r="B416" s="64">
        <f>IF(C416="","",B415+1)</f>
        <v/>
      </c>
      <c r="C416" s="77" t="n"/>
      <c r="D416" s="77" t="n"/>
      <c r="E416" s="82" t="n"/>
      <c r="F416" s="77" t="n"/>
      <c r="G416" s="64" t="n"/>
      <c r="H416" s="78" t="n"/>
      <c r="I416" s="78" t="n"/>
      <c r="J416" s="78" t="n"/>
      <c r="K416" s="82" t="n"/>
      <c r="L416" s="79" t="n"/>
      <c r="M416" s="78" t="n"/>
      <c r="N416" s="78" t="n"/>
      <c r="P416" s="63">
        <f>IF(O416="","",IF(O416="Open",TODAY()-L416,"--"))</f>
        <v/>
      </c>
      <c r="Q416" s="63">
        <f>IF(O416="","",IF(O416="Closed",N416-L416,"--"))</f>
        <v/>
      </c>
    </row>
    <row r="417" ht="15" customHeight="1" s="130">
      <c r="B417" s="64">
        <f>IF(C417="","",B416+1)</f>
        <v/>
      </c>
      <c r="C417" s="77" t="n"/>
      <c r="D417" s="77" t="n"/>
      <c r="E417" s="82" t="n"/>
      <c r="F417" s="77" t="n"/>
      <c r="G417" s="64" t="n"/>
      <c r="H417" s="78" t="n"/>
      <c r="I417" s="78" t="n"/>
      <c r="J417" s="78" t="n"/>
      <c r="K417" s="82" t="n"/>
      <c r="L417" s="79" t="n"/>
      <c r="M417" s="78" t="n"/>
      <c r="N417" s="78" t="n"/>
      <c r="P417" s="63">
        <f>IF(O417="","",IF(O417="Open",TODAY()-L417,"--"))</f>
        <v/>
      </c>
      <c r="Q417" s="63">
        <f>IF(O417="","",IF(O417="Closed",N417-L417,"--"))</f>
        <v/>
      </c>
    </row>
    <row r="418" ht="15" customHeight="1" s="130">
      <c r="B418" s="64">
        <f>IF(C418="","",B417+1)</f>
        <v/>
      </c>
      <c r="C418" s="77" t="n"/>
      <c r="D418" s="77" t="n"/>
      <c r="E418" s="82" t="n"/>
      <c r="F418" s="77" t="n"/>
      <c r="G418" s="64" t="n"/>
      <c r="H418" s="78" t="n"/>
      <c r="I418" s="78" t="n"/>
      <c r="J418" s="78" t="n"/>
      <c r="K418" s="82" t="n"/>
      <c r="L418" s="79" t="n"/>
      <c r="M418" s="78" t="n"/>
      <c r="N418" s="78" t="n"/>
      <c r="P418" s="63">
        <f>IF(O418="","",IF(O418="Open",TODAY()-L418,"--"))</f>
        <v/>
      </c>
      <c r="Q418" s="63">
        <f>IF(O418="","",IF(O418="Closed",N418-L418,"--"))</f>
        <v/>
      </c>
    </row>
    <row r="419" ht="15" customHeight="1" s="130">
      <c r="B419" s="64">
        <f>IF(C419="","",B418+1)</f>
        <v/>
      </c>
      <c r="C419" s="77" t="n"/>
      <c r="D419" s="77" t="n"/>
      <c r="E419" s="82" t="n"/>
      <c r="F419" s="77" t="n"/>
      <c r="G419" s="64" t="n"/>
      <c r="H419" s="78" t="n"/>
      <c r="I419" s="78" t="n"/>
      <c r="J419" s="78" t="n"/>
      <c r="K419" s="82" t="n"/>
      <c r="L419" s="79" t="n"/>
      <c r="M419" s="78" t="n"/>
      <c r="N419" s="78" t="n"/>
      <c r="P419" s="63">
        <f>IF(O419="","",IF(O419="Open",TODAY()-L419,"--"))</f>
        <v/>
      </c>
      <c r="Q419" s="63">
        <f>IF(O419="","",IF(O419="Closed",N419-L419,"--"))</f>
        <v/>
      </c>
    </row>
    <row r="420" ht="15" customHeight="1" s="130">
      <c r="B420" s="64">
        <f>IF(C420="","",B419+1)</f>
        <v/>
      </c>
      <c r="C420" s="77" t="n"/>
      <c r="D420" s="77" t="n"/>
      <c r="E420" s="82" t="n"/>
      <c r="F420" s="77" t="n"/>
      <c r="G420" s="64" t="n"/>
      <c r="H420" s="78" t="n"/>
      <c r="I420" s="78" t="n"/>
      <c r="J420" s="78" t="n"/>
      <c r="K420" s="82" t="n"/>
      <c r="L420" s="79" t="n"/>
      <c r="M420" s="78" t="n"/>
      <c r="N420" s="78" t="n"/>
      <c r="P420" s="63">
        <f>IF(O420="","",IF(O420="Open",TODAY()-L420,"--"))</f>
        <v/>
      </c>
      <c r="Q420" s="63">
        <f>IF(O420="","",IF(O420="Closed",N420-L420,"--"))</f>
        <v/>
      </c>
    </row>
    <row r="421" ht="15" customHeight="1" s="130">
      <c r="B421" s="64">
        <f>IF(C421="","",B420+1)</f>
        <v/>
      </c>
      <c r="C421" s="77" t="n"/>
      <c r="D421" s="77" t="n"/>
      <c r="E421" s="82" t="n"/>
      <c r="F421" s="77" t="n"/>
      <c r="G421" s="64" t="n"/>
      <c r="H421" s="78" t="n"/>
      <c r="I421" s="78" t="n"/>
      <c r="J421" s="78" t="n"/>
      <c r="K421" s="82" t="n"/>
      <c r="L421" s="79" t="n"/>
      <c r="M421" s="78" t="n"/>
      <c r="N421" s="78" t="n"/>
      <c r="P421" s="63">
        <f>IF(O421="","",IF(O421="Open",TODAY()-L421,"--"))</f>
        <v/>
      </c>
      <c r="Q421" s="63">
        <f>IF(O421="","",IF(O421="Closed",N421-L421,"--"))</f>
        <v/>
      </c>
    </row>
    <row r="422" ht="15" customHeight="1" s="130">
      <c r="B422" s="64">
        <f>IF(C422="","",B421+1)</f>
        <v/>
      </c>
      <c r="C422" s="77" t="n"/>
      <c r="D422" s="77" t="n"/>
      <c r="E422" s="82" t="n"/>
      <c r="F422" s="77" t="n"/>
      <c r="G422" s="64" t="n"/>
      <c r="H422" s="78" t="n"/>
      <c r="I422" s="78" t="n"/>
      <c r="J422" s="78" t="n"/>
      <c r="K422" s="82" t="n"/>
      <c r="L422" s="79" t="n"/>
      <c r="M422" s="78" t="n"/>
      <c r="N422" s="78" t="n"/>
      <c r="P422" s="63">
        <f>IF(O422="","",IF(O422="Open",TODAY()-L422,"--"))</f>
        <v/>
      </c>
      <c r="Q422" s="63">
        <f>IF(O422="","",IF(O422="Closed",N422-L422,"--"))</f>
        <v/>
      </c>
    </row>
    <row r="423" ht="15" customHeight="1" s="130">
      <c r="B423" s="64">
        <f>IF(C423="","",B422+1)</f>
        <v/>
      </c>
      <c r="C423" s="77" t="n"/>
      <c r="D423" s="77" t="n"/>
      <c r="E423" s="82" t="n"/>
      <c r="F423" s="77" t="n"/>
      <c r="G423" s="64" t="n"/>
      <c r="H423" s="78" t="n"/>
      <c r="I423" s="78" t="n"/>
      <c r="J423" s="78" t="n"/>
      <c r="K423" s="82" t="n"/>
      <c r="L423" s="79" t="n"/>
      <c r="M423" s="78" t="n"/>
      <c r="N423" s="78" t="n"/>
      <c r="P423" s="63">
        <f>IF(O423="","",IF(O423="Open",TODAY()-L423,"--"))</f>
        <v/>
      </c>
      <c r="Q423" s="63">
        <f>IF(O423="","",IF(O423="Closed",N423-L423,"--"))</f>
        <v/>
      </c>
    </row>
    <row r="424" ht="15" customHeight="1" s="130">
      <c r="B424" s="64">
        <f>IF(C424="","",B423+1)</f>
        <v/>
      </c>
      <c r="C424" s="77" t="n"/>
      <c r="D424" s="77" t="n"/>
      <c r="E424" s="82" t="n"/>
      <c r="F424" s="77" t="n"/>
      <c r="G424" s="64" t="n"/>
      <c r="H424" s="78" t="n"/>
      <c r="I424" s="78" t="n"/>
      <c r="J424" s="78" t="n"/>
      <c r="K424" s="82" t="n"/>
      <c r="L424" s="79" t="n"/>
      <c r="M424" s="78" t="n"/>
      <c r="N424" s="78" t="n"/>
      <c r="P424" s="63">
        <f>IF(O424="","",IF(O424="Open",TODAY()-L424,"--"))</f>
        <v/>
      </c>
      <c r="Q424" s="63">
        <f>IF(O424="","",IF(O424="Closed",N424-L424,"--"))</f>
        <v/>
      </c>
    </row>
    <row r="425" ht="15" customHeight="1" s="130">
      <c r="B425" s="64">
        <f>IF(C425="","",B424+1)</f>
        <v/>
      </c>
      <c r="C425" s="77" t="n"/>
      <c r="D425" s="77" t="n"/>
      <c r="E425" s="82" t="n"/>
      <c r="F425" s="77" t="n"/>
      <c r="G425" s="64" t="n"/>
      <c r="H425" s="78" t="n"/>
      <c r="I425" s="78" t="n"/>
      <c r="J425" s="78" t="n"/>
      <c r="K425" s="82" t="n"/>
      <c r="L425" s="79" t="n"/>
      <c r="M425" s="78" t="n"/>
      <c r="N425" s="78" t="n"/>
      <c r="P425" s="63">
        <f>IF(O425="","",IF(O425="Open",TODAY()-L425,"--"))</f>
        <v/>
      </c>
      <c r="Q425" s="63">
        <f>IF(O425="","",IF(O425="Closed",N425-L425,"--"))</f>
        <v/>
      </c>
    </row>
    <row r="426" ht="15" customHeight="1" s="130">
      <c r="B426" s="64">
        <f>IF(C426="","",B425+1)</f>
        <v/>
      </c>
      <c r="C426" s="77" t="n"/>
      <c r="D426" s="77" t="n"/>
      <c r="E426" s="82" t="n"/>
      <c r="F426" s="77" t="n"/>
      <c r="G426" s="64" t="n"/>
      <c r="H426" s="78" t="n"/>
      <c r="I426" s="78" t="n"/>
      <c r="J426" s="78" t="n"/>
      <c r="K426" s="82" t="n"/>
      <c r="L426" s="79" t="n"/>
      <c r="M426" s="78" t="n"/>
      <c r="N426" s="79" t="n"/>
      <c r="P426" s="63">
        <f>IF(O426="","",IF(O426="Open",TODAY()-L426,"--"))</f>
        <v/>
      </c>
      <c r="Q426" s="63">
        <f>IF(O426="","",IF(O426="Closed",N426-L426,"--"))</f>
        <v/>
      </c>
    </row>
    <row r="427" ht="15" customHeight="1" s="130">
      <c r="B427" s="64">
        <f>IF(C427="","",B426+1)</f>
        <v/>
      </c>
      <c r="C427" s="77" t="n"/>
      <c r="D427" s="77" t="n"/>
      <c r="E427" s="82" t="n"/>
      <c r="F427" s="77" t="n"/>
      <c r="G427" s="64" t="n"/>
      <c r="H427" s="78" t="n"/>
      <c r="I427" s="78" t="n"/>
      <c r="J427" s="78" t="n"/>
      <c r="K427" s="82" t="n"/>
      <c r="L427" s="79" t="n"/>
      <c r="M427" s="78" t="n"/>
      <c r="N427" s="78" t="n"/>
      <c r="P427" s="63">
        <f>IF(O427="","",IF(O427="Open",TODAY()-L427,"--"))</f>
        <v/>
      </c>
      <c r="Q427" s="63">
        <f>IF(O427="","",IF(O427="Closed",N427-L427,"--"))</f>
        <v/>
      </c>
    </row>
    <row r="428" ht="15" customHeight="1" s="130">
      <c r="B428" s="64">
        <f>IF(C428="","",B427+1)</f>
        <v/>
      </c>
      <c r="C428" s="77" t="n"/>
      <c r="D428" s="77" t="n"/>
      <c r="E428" s="82" t="n"/>
      <c r="F428" s="77" t="n"/>
      <c r="G428" s="64" t="n"/>
      <c r="H428" s="78" t="n"/>
      <c r="I428" s="78" t="n"/>
      <c r="J428" s="78" t="n"/>
      <c r="K428" s="82" t="n"/>
      <c r="L428" s="79" t="n"/>
      <c r="M428" s="78" t="n"/>
      <c r="N428" s="78" t="n"/>
      <c r="P428" s="63">
        <f>IF(O428="","",IF(O428="Open",TODAY()-L428,"--"))</f>
        <v/>
      </c>
      <c r="Q428" s="63">
        <f>IF(O428="","",IF(O428="Closed",N428-L428,"--"))</f>
        <v/>
      </c>
    </row>
    <row r="429" ht="15" customHeight="1" s="130">
      <c r="B429" s="64">
        <f>IF(C429="","",B428+1)</f>
        <v/>
      </c>
      <c r="C429" s="77" t="n"/>
      <c r="D429" s="77" t="n"/>
      <c r="E429" s="82" t="n"/>
      <c r="F429" s="77" t="n"/>
      <c r="G429" s="64" t="n"/>
      <c r="H429" s="78" t="n"/>
      <c r="I429" s="78" t="n"/>
      <c r="J429" s="78" t="n"/>
      <c r="K429" s="82" t="n"/>
      <c r="L429" s="79" t="n"/>
      <c r="M429" s="78" t="n"/>
      <c r="N429" s="78" t="n"/>
      <c r="P429" s="63">
        <f>IF(O429="","",IF(O429="Open",TODAY()-L429,"--"))</f>
        <v/>
      </c>
      <c r="Q429" s="63">
        <f>IF(O429="","",IF(O429="Closed",N429-L429,"--"))</f>
        <v/>
      </c>
    </row>
    <row r="430" ht="15" customHeight="1" s="130">
      <c r="B430" s="64">
        <f>IF(C430="","",B429+1)</f>
        <v/>
      </c>
      <c r="C430" s="77" t="n"/>
      <c r="D430" s="77" t="n"/>
      <c r="E430" s="82" t="n"/>
      <c r="F430" s="77" t="n"/>
      <c r="G430" s="64" t="n"/>
      <c r="H430" s="78" t="n"/>
      <c r="I430" s="78" t="n"/>
      <c r="J430" s="78" t="n"/>
      <c r="K430" s="82" t="n"/>
      <c r="L430" s="79" t="n"/>
      <c r="M430" s="78" t="n"/>
      <c r="N430" s="78" t="n"/>
      <c r="P430" s="63">
        <f>IF(O430="","",IF(O430="Open",TODAY()-L430,"--"))</f>
        <v/>
      </c>
      <c r="Q430" s="63">
        <f>IF(O430="","",IF(O430="Closed",N430-L430,"--"))</f>
        <v/>
      </c>
    </row>
    <row r="431" ht="15" customHeight="1" s="130">
      <c r="B431" s="64">
        <f>IF(C431="","",B430+1)</f>
        <v/>
      </c>
      <c r="C431" s="77" t="n"/>
      <c r="D431" s="77" t="n"/>
      <c r="E431" s="82" t="n"/>
      <c r="F431" s="77" t="n"/>
      <c r="G431" s="64" t="n"/>
      <c r="H431" s="78" t="n"/>
      <c r="I431" s="78" t="n"/>
      <c r="J431" s="78" t="n"/>
      <c r="K431" s="82" t="n"/>
      <c r="L431" s="79" t="n"/>
      <c r="M431" s="78" t="n"/>
      <c r="N431" s="78" t="n"/>
      <c r="P431" s="63">
        <f>IF(O431="","",IF(O431="Open",TODAY()-L431,"--"))</f>
        <v/>
      </c>
      <c r="Q431" s="63">
        <f>IF(O431="","",IF(O431="Closed",N431-L431,"--"))</f>
        <v/>
      </c>
    </row>
    <row r="432" ht="15" customHeight="1" s="130">
      <c r="B432" s="64">
        <f>IF(C432="","",B431+1)</f>
        <v/>
      </c>
      <c r="C432" s="77" t="n"/>
      <c r="D432" s="77" t="n"/>
      <c r="E432" s="82" t="n"/>
      <c r="F432" s="77" t="n"/>
      <c r="G432" s="64" t="n"/>
      <c r="H432" s="78" t="n"/>
      <c r="I432" s="78" t="n"/>
      <c r="J432" s="78" t="n"/>
      <c r="K432" s="82" t="n"/>
      <c r="L432" s="79" t="n"/>
      <c r="M432" s="78" t="n"/>
      <c r="N432" s="78" t="n"/>
      <c r="P432" s="63">
        <f>IF(O432="","",IF(O432="Open",TODAY()-L432,"--"))</f>
        <v/>
      </c>
      <c r="Q432" s="63">
        <f>IF(O432="","",IF(O432="Closed",N432-L432,"--"))</f>
        <v/>
      </c>
    </row>
    <row r="433" ht="15" customHeight="1" s="130">
      <c r="B433" s="64">
        <f>IF(C433="","",B432+1)</f>
        <v/>
      </c>
      <c r="C433" s="77" t="n"/>
      <c r="D433" s="77" t="n"/>
      <c r="E433" s="82" t="n"/>
      <c r="F433" s="77" t="n"/>
      <c r="G433" s="64" t="n"/>
      <c r="H433" s="78" t="n"/>
      <c r="I433" s="78" t="n"/>
      <c r="J433" s="78" t="n"/>
      <c r="K433" s="82" t="n"/>
      <c r="L433" s="79" t="n"/>
      <c r="M433" s="78" t="n"/>
      <c r="N433" s="78" t="n"/>
      <c r="P433" s="63">
        <f>IF(O433="","",IF(O433="Open",TODAY()-L433,"--"))</f>
        <v/>
      </c>
      <c r="Q433" s="63">
        <f>IF(O433="","",IF(O433="Closed",N433-L433,"--"))</f>
        <v/>
      </c>
    </row>
    <row r="434" ht="15" customHeight="1" s="130">
      <c r="B434" s="64">
        <f>IF(C434="","",B433+1)</f>
        <v/>
      </c>
      <c r="C434" s="77" t="n"/>
      <c r="D434" s="77" t="n"/>
      <c r="E434" s="82" t="n"/>
      <c r="F434" s="77" t="n"/>
      <c r="G434" s="64" t="n"/>
      <c r="H434" s="78" t="n"/>
      <c r="I434" s="78" t="n"/>
      <c r="J434" s="78" t="n"/>
      <c r="K434" s="82" t="n"/>
      <c r="L434" s="79" t="n"/>
      <c r="M434" s="78" t="n"/>
      <c r="N434" s="79" t="n"/>
      <c r="P434" s="63">
        <f>IF(O434="","",IF(O434="Open",TODAY()-L434,"--"))</f>
        <v/>
      </c>
      <c r="Q434" s="63">
        <f>IF(O434="","",IF(O434="Closed",N434-L434,"--"))</f>
        <v/>
      </c>
    </row>
    <row r="435" ht="15" customHeight="1" s="130">
      <c r="B435" s="64">
        <f>IF(C435="","",B434+1)</f>
        <v/>
      </c>
      <c r="C435" s="77" t="n"/>
      <c r="D435" s="77" t="n"/>
      <c r="E435" s="82" t="n"/>
      <c r="F435" s="77" t="n"/>
      <c r="G435" s="64" t="n"/>
      <c r="H435" s="78" t="n"/>
      <c r="I435" s="78" t="n"/>
      <c r="J435" s="78" t="n"/>
      <c r="K435" s="82" t="n"/>
      <c r="L435" s="79" t="n"/>
      <c r="M435" s="78" t="n"/>
      <c r="N435" s="79" t="n"/>
      <c r="P435" s="63">
        <f>IF(O435="","",IF(O435="Open",TODAY()-L435,"--"))</f>
        <v/>
      </c>
      <c r="Q435" s="63">
        <f>IF(O435="","",IF(O435="Closed",N435-L435,"--"))</f>
        <v/>
      </c>
    </row>
    <row r="436" ht="15" customHeight="1" s="130">
      <c r="B436" s="64">
        <f>IF(C436="","",B435+1)</f>
        <v/>
      </c>
      <c r="C436" s="77" t="n"/>
      <c r="D436" s="77" t="n"/>
      <c r="E436" s="82" t="n"/>
      <c r="F436" s="77" t="n"/>
      <c r="G436" s="64" t="n"/>
      <c r="H436" s="78" t="n"/>
      <c r="I436" s="78" t="n"/>
      <c r="J436" s="78" t="n"/>
      <c r="K436" s="82" t="n"/>
      <c r="L436" s="79" t="n"/>
      <c r="M436" s="78" t="n"/>
      <c r="N436" s="78" t="n"/>
      <c r="P436" s="63">
        <f>IF(O436="","",IF(O436="Open",TODAY()-L436,"--"))</f>
        <v/>
      </c>
      <c r="Q436" s="63">
        <f>IF(O436="","",IF(O436="Closed",N436-L436,"--"))</f>
        <v/>
      </c>
    </row>
    <row r="437" ht="15" customHeight="1" s="130">
      <c r="B437" s="64">
        <f>IF(C437="","",B436+1)</f>
        <v/>
      </c>
      <c r="C437" s="77" t="n"/>
      <c r="D437" s="77" t="n"/>
      <c r="E437" s="82" t="n"/>
      <c r="F437" s="77" t="n"/>
      <c r="G437" s="64" t="n"/>
      <c r="H437" s="78" t="n"/>
      <c r="I437" s="78" t="n"/>
      <c r="J437" s="78" t="n"/>
      <c r="K437" s="82" t="n"/>
      <c r="L437" s="79" t="n"/>
      <c r="M437" s="78" t="n"/>
      <c r="N437" s="78" t="n"/>
      <c r="P437" s="63">
        <f>IF(O437="","",IF(O437="Open",TODAY()-L437,"--"))</f>
        <v/>
      </c>
      <c r="Q437" s="63">
        <f>IF(O437="","",IF(O437="Closed",N437-L437,"--"))</f>
        <v/>
      </c>
    </row>
    <row r="438" ht="15" customHeight="1" s="130">
      <c r="B438" s="64">
        <f>IF(C438="","",B437+1)</f>
        <v/>
      </c>
      <c r="C438" s="77" t="n"/>
      <c r="D438" s="77" t="n"/>
      <c r="E438" s="82" t="n"/>
      <c r="F438" s="77" t="n"/>
      <c r="G438" s="64" t="n"/>
      <c r="H438" s="78" t="n"/>
      <c r="I438" s="78" t="n"/>
      <c r="J438" s="78" t="n"/>
      <c r="K438" s="82" t="n"/>
      <c r="L438" s="79" t="n"/>
      <c r="M438" s="78" t="n"/>
      <c r="N438" s="78" t="n"/>
      <c r="P438" s="63">
        <f>IF(O438="","",IF(O438="Open",TODAY()-L438,"--"))</f>
        <v/>
      </c>
      <c r="Q438" s="63">
        <f>IF(O438="","",IF(O438="Closed",N438-L438,"--"))</f>
        <v/>
      </c>
    </row>
    <row r="439" ht="15" customHeight="1" s="130">
      <c r="B439" s="64">
        <f>IF(C439="","",B438+1)</f>
        <v/>
      </c>
      <c r="C439" s="77" t="n"/>
      <c r="D439" s="77" t="n"/>
      <c r="E439" s="82" t="n"/>
      <c r="F439" s="77" t="n"/>
      <c r="G439" s="64" t="n"/>
      <c r="H439" s="78" t="n"/>
      <c r="I439" s="78" t="n"/>
      <c r="J439" s="78" t="n"/>
      <c r="K439" s="82" t="n"/>
      <c r="L439" s="79" t="n"/>
      <c r="M439" s="78" t="n"/>
      <c r="N439" s="78" t="n"/>
      <c r="P439" s="63">
        <f>IF(O439="","",IF(O439="Open",TODAY()-L439,"--"))</f>
        <v/>
      </c>
      <c r="Q439" s="63">
        <f>IF(O439="","",IF(O439="Closed",N439-L439,"--"))</f>
        <v/>
      </c>
    </row>
    <row r="440" ht="15" customHeight="1" s="130">
      <c r="B440" s="64">
        <f>IF(C440="","",B439+1)</f>
        <v/>
      </c>
      <c r="C440" s="77" t="n"/>
      <c r="D440" s="77" t="n"/>
      <c r="E440" s="82" t="n"/>
      <c r="F440" s="77" t="n"/>
      <c r="G440" s="64" t="n"/>
      <c r="H440" s="78" t="n"/>
      <c r="I440" s="78" t="n"/>
      <c r="J440" s="78" t="n"/>
      <c r="K440" s="82" t="n"/>
      <c r="L440" s="79" t="n"/>
      <c r="M440" s="78" t="n"/>
      <c r="N440" s="78" t="n"/>
      <c r="P440" s="63">
        <f>IF(O440="","",IF(O440="Open",TODAY()-L440,"--"))</f>
        <v/>
      </c>
      <c r="Q440" s="63">
        <f>IF(O440="","",IF(O440="Closed",N440-L440,"--"))</f>
        <v/>
      </c>
    </row>
    <row r="441" ht="15" customHeight="1" s="130">
      <c r="B441" s="64">
        <f>IF(C441="","",B440+1)</f>
        <v/>
      </c>
      <c r="C441" s="77" t="n"/>
      <c r="D441" s="77" t="n"/>
      <c r="E441" s="82" t="n"/>
      <c r="F441" s="77" t="n"/>
      <c r="G441" s="64" t="n"/>
      <c r="H441" s="78" t="n"/>
      <c r="I441" s="78" t="n"/>
      <c r="J441" s="78" t="n"/>
      <c r="K441" s="82" t="n"/>
      <c r="L441" s="79" t="n"/>
      <c r="M441" s="78" t="n"/>
      <c r="N441" s="78" t="n"/>
      <c r="P441" s="63">
        <f>IF(O441="","",IF(O441="Open",TODAY()-L441,"--"))</f>
        <v/>
      </c>
      <c r="Q441" s="63">
        <f>IF(O441="","",IF(O441="Closed",N441-L441,"--"))</f>
        <v/>
      </c>
    </row>
    <row r="442" ht="15" customHeight="1" s="130">
      <c r="B442" s="64">
        <f>IF(C442="","",B441+1)</f>
        <v/>
      </c>
      <c r="C442" s="77" t="n"/>
      <c r="D442" s="77" t="n"/>
      <c r="E442" s="82" t="n"/>
      <c r="F442" s="77" t="n"/>
      <c r="G442" s="64" t="n"/>
      <c r="H442" s="78" t="n"/>
      <c r="I442" s="78" t="n"/>
      <c r="J442" s="78" t="n"/>
      <c r="K442" s="82" t="n"/>
      <c r="L442" s="79" t="n"/>
      <c r="M442" s="78" t="n"/>
      <c r="N442" s="78" t="n"/>
      <c r="P442" s="63">
        <f>IF(O442="","",IF(O442="Open",TODAY()-L442,"--"))</f>
        <v/>
      </c>
      <c r="Q442" s="63">
        <f>IF(O442="","",IF(O442="Closed",N442-L442,"--"))</f>
        <v/>
      </c>
    </row>
    <row r="443" ht="15" customHeight="1" s="130">
      <c r="B443" s="64">
        <f>IF(C443="","",B442+1)</f>
        <v/>
      </c>
      <c r="C443" s="77" t="n"/>
      <c r="D443" s="77" t="n"/>
      <c r="E443" s="82" t="n"/>
      <c r="F443" s="77" t="n"/>
      <c r="G443" s="64" t="n"/>
      <c r="H443" s="78" t="n"/>
      <c r="I443" s="78" t="n"/>
      <c r="J443" s="78" t="n"/>
      <c r="K443" s="82" t="n"/>
      <c r="L443" s="79" t="n"/>
      <c r="M443" s="78" t="n"/>
      <c r="N443" s="78" t="n"/>
      <c r="P443" s="63">
        <f>IF(O443="","",IF(O443="Open",TODAY()-L443,"--"))</f>
        <v/>
      </c>
      <c r="Q443" s="63">
        <f>IF(O443="","",IF(O443="Closed",N443-L443,"--"))</f>
        <v/>
      </c>
    </row>
    <row r="444" ht="15" customHeight="1" s="130">
      <c r="B444" s="64">
        <f>IF(C444="","",B443+1)</f>
        <v/>
      </c>
      <c r="C444" s="77" t="n"/>
      <c r="D444" s="77" t="n"/>
      <c r="E444" s="82" t="n"/>
      <c r="F444" s="77" t="n"/>
      <c r="G444" s="64" t="n"/>
      <c r="H444" s="78" t="n"/>
      <c r="I444" s="78" t="n"/>
      <c r="J444" s="78" t="n"/>
      <c r="K444" s="82" t="n"/>
      <c r="L444" s="79" t="n"/>
      <c r="M444" s="78" t="n"/>
      <c r="N444" s="78" t="n"/>
      <c r="P444" s="63">
        <f>IF(O444="","",IF(O444="Open",TODAY()-L444,"--"))</f>
        <v/>
      </c>
      <c r="Q444" s="63">
        <f>IF(O444="","",IF(O444="Closed",N444-L444,"--"))</f>
        <v/>
      </c>
    </row>
    <row r="445" ht="15" customHeight="1" s="130">
      <c r="B445" s="64">
        <f>IF(C445="","",B444+1)</f>
        <v/>
      </c>
      <c r="C445" s="77" t="n"/>
      <c r="D445" s="77" t="n"/>
      <c r="E445" s="82" t="n"/>
      <c r="F445" s="77" t="n"/>
      <c r="G445" s="64" t="n"/>
      <c r="H445" s="78" t="n"/>
      <c r="I445" s="78" t="n"/>
      <c r="J445" s="78" t="n"/>
      <c r="K445" s="82" t="n"/>
      <c r="L445" s="79" t="n"/>
      <c r="M445" s="78" t="n"/>
      <c r="N445" s="78" t="n"/>
      <c r="P445" s="63">
        <f>IF(O445="","",IF(O445="Open",TODAY()-L445,"--"))</f>
        <v/>
      </c>
      <c r="Q445" s="63">
        <f>IF(O445="","",IF(O445="Closed",N445-L445,"--"))</f>
        <v/>
      </c>
    </row>
    <row r="446" ht="15" customHeight="1" s="130">
      <c r="B446" s="64">
        <f>IF(C446="","",B445+1)</f>
        <v/>
      </c>
      <c r="C446" s="77" t="n"/>
      <c r="D446" s="77" t="n"/>
      <c r="E446" s="82" t="n"/>
      <c r="F446" s="77" t="n"/>
      <c r="G446" s="64" t="n"/>
      <c r="H446" s="78" t="n"/>
      <c r="I446" s="78" t="n"/>
      <c r="J446" s="78" t="n"/>
      <c r="K446" s="82" t="n"/>
      <c r="L446" s="79" t="n"/>
      <c r="M446" s="78" t="n"/>
      <c r="N446" s="78" t="n"/>
      <c r="P446" s="63">
        <f>IF(O446="","",IF(O446="Open",TODAY()-L446,"--"))</f>
        <v/>
      </c>
      <c r="Q446" s="63">
        <f>IF(O446="","",IF(O446="Closed",N446-L446,"--"))</f>
        <v/>
      </c>
    </row>
    <row r="447" ht="15" customHeight="1" s="130">
      <c r="B447" s="64">
        <f>IF(C447="","",B446+1)</f>
        <v/>
      </c>
      <c r="C447" s="77" t="n"/>
      <c r="D447" s="77" t="n"/>
      <c r="E447" s="82" t="n"/>
      <c r="F447" s="77" t="n"/>
      <c r="G447" s="64" t="n"/>
      <c r="H447" s="78" t="n"/>
      <c r="I447" s="78" t="n"/>
      <c r="J447" s="78" t="n"/>
      <c r="K447" s="82" t="n"/>
      <c r="L447" s="79" t="n"/>
      <c r="M447" s="78" t="n"/>
      <c r="N447" s="78" t="n"/>
      <c r="P447" s="63">
        <f>IF(O447="","",IF(O447="Open",TODAY()-L447,"--"))</f>
        <v/>
      </c>
      <c r="Q447" s="63">
        <f>IF(O447="","",IF(O447="Closed",N447-L447,"--"))</f>
        <v/>
      </c>
    </row>
    <row r="448" ht="15" customHeight="1" s="130">
      <c r="B448" s="64">
        <f>IF(C448="","",B447+1)</f>
        <v/>
      </c>
      <c r="C448" s="77" t="n"/>
      <c r="D448" s="77" t="n"/>
      <c r="E448" s="82" t="n"/>
      <c r="F448" s="77" t="n"/>
      <c r="G448" s="64" t="n"/>
      <c r="H448" s="78" t="n"/>
      <c r="I448" s="78" t="n"/>
      <c r="J448" s="78" t="n"/>
      <c r="K448" s="82" t="n"/>
      <c r="L448" s="79" t="n"/>
      <c r="M448" s="78" t="n"/>
      <c r="N448" s="78" t="n"/>
      <c r="P448" s="63">
        <f>IF(O448="","",IF(O448="Open",TODAY()-L448,"--"))</f>
        <v/>
      </c>
      <c r="Q448" s="63">
        <f>IF(O448="","",IF(O448="Closed",N448-L448,"--"))</f>
        <v/>
      </c>
    </row>
    <row r="449" ht="15" customHeight="1" s="130">
      <c r="B449" s="64">
        <f>IF(C449="","",B448+1)</f>
        <v/>
      </c>
      <c r="C449" s="77" t="n"/>
      <c r="D449" s="77" t="n"/>
      <c r="E449" s="82" t="n"/>
      <c r="F449" s="77" t="n"/>
      <c r="G449" s="64" t="n"/>
      <c r="H449" s="78" t="n"/>
      <c r="I449" s="78" t="n"/>
      <c r="J449" s="78" t="n"/>
      <c r="K449" s="82" t="n"/>
      <c r="L449" s="79" t="n"/>
      <c r="M449" s="78" t="n"/>
      <c r="N449" s="78" t="n"/>
      <c r="P449" s="63">
        <f>IF(O449="","",IF(O449="Open",TODAY()-L449,"--"))</f>
        <v/>
      </c>
      <c r="Q449" s="63">
        <f>IF(O449="","",IF(O449="Closed",N449-L449,"--"))</f>
        <v/>
      </c>
    </row>
    <row r="450" ht="15" customHeight="1" s="130">
      <c r="B450" s="64">
        <f>IF(C450="","",B449+1)</f>
        <v/>
      </c>
      <c r="C450" s="77" t="n"/>
      <c r="D450" s="77" t="n"/>
      <c r="E450" s="82" t="n"/>
      <c r="F450" s="77" t="n"/>
      <c r="G450" s="64" t="n"/>
      <c r="H450" s="78" t="n"/>
      <c r="I450" s="78" t="n"/>
      <c r="J450" s="78" t="n"/>
      <c r="K450" s="82" t="n"/>
      <c r="L450" s="79" t="n"/>
      <c r="M450" s="78" t="n"/>
      <c r="N450" s="78" t="n"/>
      <c r="P450" s="63">
        <f>IF(O450="","",IF(O450="Open",TODAY()-L450,"--"))</f>
        <v/>
      </c>
      <c r="Q450" s="63">
        <f>IF(O450="","",IF(O450="Closed",N450-L450,"--"))</f>
        <v/>
      </c>
    </row>
    <row r="451" ht="15" customHeight="1" s="130">
      <c r="O451" s="61">
        <f>IF(B451="","",IF(AND(M451="",N451=""),"Open","Closed"))</f>
        <v/>
      </c>
      <c r="P451" s="63">
        <f>IF(O451="","",IF(O451="Open",TODAY()-L451,"--"))</f>
        <v/>
      </c>
      <c r="Q451" s="63">
        <f>IF(O451="","",IF(O451="Closed",N451-L451,"--"))</f>
        <v/>
      </c>
    </row>
    <row r="452" ht="15" customHeight="1" s="130">
      <c r="O452" s="61">
        <f>IF(B452="","",IF(AND(M452="",N452=""),"Open","Closed"))</f>
        <v/>
      </c>
      <c r="P452" s="63">
        <f>IF(O452="","",IF(O452="Open",TODAY()-L452,"--"))</f>
        <v/>
      </c>
      <c r="Q452" s="63">
        <f>IF(O452="","",IF(O452="Closed",N452-L452,"--"))</f>
        <v/>
      </c>
    </row>
    <row r="453" ht="15" customHeight="1" s="130">
      <c r="O453" s="61">
        <f>IF(B453="","",IF(AND(M453="",N453=""),"Open","Closed"))</f>
        <v/>
      </c>
      <c r="P453" s="63">
        <f>IF(O453="","",IF(O453="Open",TODAY()-L453,"--"))</f>
        <v/>
      </c>
      <c r="Q453" s="63">
        <f>IF(O453="","",IF(O453="Closed",N453-L453,"--"))</f>
        <v/>
      </c>
    </row>
    <row r="454" ht="15" customHeight="1" s="130">
      <c r="O454" s="61">
        <f>IF(B454="","",IF(AND(M454="",N454=""),"Open","Closed"))</f>
        <v/>
      </c>
      <c r="P454" s="63">
        <f>IF(O454="","",IF(O454="Open",TODAY()-L454,"--"))</f>
        <v/>
      </c>
      <c r="Q454" s="63">
        <f>IF(O454="","",IF(O454="Closed",N454-L454,"--"))</f>
        <v/>
      </c>
    </row>
    <row r="455" ht="15" customHeight="1" s="130">
      <c r="O455" s="61">
        <f>IF(B455="","",IF(AND(M455="",N455=""),"Open","Closed"))</f>
        <v/>
      </c>
      <c r="P455" s="63">
        <f>IF(O455="","",IF(O455="Open",TODAY()-L455,"--"))</f>
        <v/>
      </c>
      <c r="Q455" s="63">
        <f>IF(O455="","",IF(O455="Closed",N455-L455,"--"))</f>
        <v/>
      </c>
    </row>
    <row r="456" ht="15" customHeight="1" s="130">
      <c r="O456" s="61">
        <f>IF(B456="","",IF(AND(M456="",N456=""),"Open","Closed"))</f>
        <v/>
      </c>
      <c r="P456" s="63">
        <f>IF(O456="","",IF(O456="Open",TODAY()-L456,"--"))</f>
        <v/>
      </c>
      <c r="Q456" s="63">
        <f>IF(O456="","",IF(O456="Closed",N456-L456,"--"))</f>
        <v/>
      </c>
    </row>
    <row r="457" ht="15" customHeight="1" s="130">
      <c r="O457" s="61">
        <f>IF(B457="","",IF(AND(M457="",N457=""),"Open","Closed"))</f>
        <v/>
      </c>
      <c r="P457" s="63">
        <f>IF(O457="","",IF(O457="Open",TODAY()-L457,"--"))</f>
        <v/>
      </c>
      <c r="Q457" s="63">
        <f>IF(O457="","",IF(O457="Closed",N457-L457,"--"))</f>
        <v/>
      </c>
    </row>
    <row r="458" ht="15" customHeight="1" s="130">
      <c r="O458" s="61">
        <f>IF(B458="","",IF(AND(M458="",N458=""),"Open","Closed"))</f>
        <v/>
      </c>
      <c r="P458" s="63">
        <f>IF(O458="","",IF(O458="Open",TODAY()-L458,"--"))</f>
        <v/>
      </c>
      <c r="Q458" s="63">
        <f>IF(O458="","",IF(O458="Closed",N458-L458,"--"))</f>
        <v/>
      </c>
    </row>
    <row r="459" ht="15" customHeight="1" s="130">
      <c r="O459" s="61">
        <f>IF(B459="","",IF(AND(M459="",N459=""),"Open","Closed"))</f>
        <v/>
      </c>
      <c r="P459" s="63">
        <f>IF(O459="","",IF(O459="Open",TODAY()-L459,"--"))</f>
        <v/>
      </c>
      <c r="Q459" s="63">
        <f>IF(O459="","",IF(O459="Closed",N459-L459,"--"))</f>
        <v/>
      </c>
    </row>
    <row r="460" ht="15" customHeight="1" s="130">
      <c r="O460" s="61">
        <f>IF(B460="","",IF(AND(M460="",N460=""),"Open","Closed"))</f>
        <v/>
      </c>
      <c r="P460" s="63">
        <f>IF(O460="","",IF(O460="Open",TODAY()-L460,"--"))</f>
        <v/>
      </c>
      <c r="Q460" s="63">
        <f>IF(O460="","",IF(O460="Closed",N460-L460,"--"))</f>
        <v/>
      </c>
    </row>
    <row r="461" ht="15" customHeight="1" s="130">
      <c r="O461" s="61">
        <f>IF(B461="","",IF(AND(M461="",N461=""),"Open","Closed"))</f>
        <v/>
      </c>
      <c r="P461" s="63">
        <f>IF(O461="","",IF(O461="Open",TODAY()-L461,"--"))</f>
        <v/>
      </c>
      <c r="Q461" s="63">
        <f>IF(O461="","",IF(O461="Closed",N461-L461,"--"))</f>
        <v/>
      </c>
    </row>
    <row r="462" ht="15" customHeight="1" s="130">
      <c r="O462" s="61">
        <f>IF(B462="","",IF(AND(M462="",N462=""),"Open","Closed"))</f>
        <v/>
      </c>
      <c r="P462" s="63">
        <f>IF(O462="","",IF(O462="Open",TODAY()-L462,"--"))</f>
        <v/>
      </c>
      <c r="Q462" s="63">
        <f>IF(O462="","",IF(O462="Closed",N462-L462,"--"))</f>
        <v/>
      </c>
    </row>
    <row r="463" ht="15" customHeight="1" s="130">
      <c r="O463" s="61">
        <f>IF(B463="","",IF(AND(M463="",N463=""),"Open","Closed"))</f>
        <v/>
      </c>
      <c r="P463" s="63">
        <f>IF(O463="","",IF(O463="Open",TODAY()-L463,"--"))</f>
        <v/>
      </c>
      <c r="Q463" s="63">
        <f>IF(O463="","",IF(O463="Closed",N463-L463,"--"))</f>
        <v/>
      </c>
    </row>
    <row r="464" ht="15" customHeight="1" s="130">
      <c r="O464" s="61">
        <f>IF(B464="","",IF(AND(M464="",N464=""),"Open","Closed"))</f>
        <v/>
      </c>
      <c r="P464" s="63">
        <f>IF(O464="","",IF(O464="Open",TODAY()-L464,"--"))</f>
        <v/>
      </c>
      <c r="Q464" s="63">
        <f>IF(O464="","",IF(O464="Closed",N464-L464,"--"))</f>
        <v/>
      </c>
    </row>
  </sheetData>
  <autoFilter ref="B2:T464"/>
  <conditionalFormatting sqref="B9 G9 I9:K9 L22:L24 M9:N9">
    <cfRule type="expression" priority="40" dxfId="4">
      <formula>$O10="Deferred"</formula>
    </cfRule>
    <cfRule type="expression" priority="42" dxfId="2">
      <formula>MOD(ROW(),2)=1</formula>
    </cfRule>
    <cfRule type="expression" priority="41" dxfId="3">
      <formula>$O10="Closed"</formula>
    </cfRule>
  </conditionalFormatting>
  <conditionalFormatting sqref="B10:E10 G10:K10 M10:N10">
    <cfRule type="expression" priority="44" dxfId="3">
      <formula>#REF!="Closed"</formula>
    </cfRule>
    <cfRule type="expression" priority="43" dxfId="4">
      <formula>#REF!="Deferred"</formula>
    </cfRule>
    <cfRule type="expression" priority="45" dxfId="2">
      <formula>MOD(ROW(),2)=1</formula>
    </cfRule>
  </conditionalFormatting>
  <conditionalFormatting sqref="B3:N8 B11:B15 B16:E24 B25:L25 B26:F26 B27:D27 B28:L30 B31:N1000 F27 G11 G13 G15 G16:K24 G26:L27 I11:K15 L11:N21 M22:N30">
    <cfRule type="expression" priority="39" dxfId="2">
      <formula>MOD(ROW(),2)=1</formula>
    </cfRule>
    <cfRule type="expression" priority="38" dxfId="3">
      <formula>$O3="Closed"</formula>
    </cfRule>
    <cfRule type="expression" priority="37" dxfId="4">
      <formula>$O3="Deferred"</formula>
    </cfRule>
  </conditionalFormatting>
  <conditionalFormatting sqref="C11:E15">
    <cfRule type="expression" priority="12" dxfId="3">
      <formula>#REF!="Closed"</formula>
    </cfRule>
    <cfRule type="expression" priority="11" dxfId="4">
      <formula>#REF!="Deferred"</formula>
    </cfRule>
    <cfRule type="expression" priority="13" dxfId="2">
      <formula>MOD(ROW(),2)=1</formula>
    </cfRule>
  </conditionalFormatting>
  <conditionalFormatting sqref="C9:F9">
    <cfRule type="expression" priority="3" dxfId="3">
      <formula>$O9="Closed"</formula>
    </cfRule>
    <cfRule type="expression" priority="4" dxfId="2">
      <formula>MOD(ROW(),2)=1</formula>
    </cfRule>
    <cfRule type="expression" priority="2" dxfId="4">
      <formula>$O9="Deferred"</formula>
    </cfRule>
  </conditionalFormatting>
  <conditionalFormatting sqref="E27">
    <cfRule type="expression" priority="5" dxfId="4">
      <formula>#REF!="Deferred"</formula>
    </cfRule>
    <cfRule type="expression" priority="6" dxfId="3">
      <formula>#REF!="Closed"</formula>
    </cfRule>
    <cfRule type="expression" priority="7" dxfId="2">
      <formula>MOD(ROW(),2)=1</formula>
    </cfRule>
  </conditionalFormatting>
  <conditionalFormatting sqref="F10:F24">
    <cfRule type="expression" priority="26" dxfId="4">
      <formula>$O10="Deferred"</formula>
    </cfRule>
    <cfRule type="expression" priority="27" dxfId="3">
      <formula>$O10="Closed"</formula>
    </cfRule>
    <cfRule type="expression" priority="28" dxfId="2">
      <formula>MOD(ROW(),2)=1</formula>
    </cfRule>
  </conditionalFormatting>
  <conditionalFormatting sqref="G12:H12">
    <cfRule type="expression" priority="22" dxfId="2">
      <formula>MOD(ROW(),2)=1</formula>
    </cfRule>
    <cfRule type="expression" priority="21" dxfId="3">
      <formula>#REF!="Closed"</formula>
    </cfRule>
    <cfRule type="expression" priority="20" dxfId="4">
      <formula>#REF!="Deferred"</formula>
    </cfRule>
  </conditionalFormatting>
  <conditionalFormatting sqref="G14:H14">
    <cfRule type="expression" priority="14" dxfId="4">
      <formula>#REF!="Deferred"</formula>
    </cfRule>
    <cfRule type="expression" priority="15" dxfId="3">
      <formula>#REF!="Closed"</formula>
    </cfRule>
    <cfRule type="expression" priority="16" dxfId="2">
      <formula>MOD(ROW(),2)=1</formula>
    </cfRule>
  </conditionalFormatting>
  <conditionalFormatting sqref="H9">
    <cfRule type="expression" priority="30" dxfId="3">
      <formula>$O9="Closed"</formula>
    </cfRule>
    <cfRule type="expression" priority="31" dxfId="2">
      <formula>MOD(ROW(),2)=1</formula>
    </cfRule>
    <cfRule type="expression" priority="29" dxfId="4">
      <formula>$O9="Deferred"</formula>
    </cfRule>
  </conditionalFormatting>
  <conditionalFormatting sqref="H11">
    <cfRule type="expression" priority="25" dxfId="2">
      <formula>MOD(ROW(),2)=1</formula>
    </cfRule>
    <cfRule type="expression" priority="23" dxfId="4">
      <formula>#REF!="Deferred"</formula>
    </cfRule>
    <cfRule type="expression" priority="24" dxfId="3">
      <formula>#REF!="Closed"</formula>
    </cfRule>
  </conditionalFormatting>
  <conditionalFormatting sqref="H13">
    <cfRule type="expression" priority="19" dxfId="2">
      <formula>MOD(ROW(),2)=1</formula>
    </cfRule>
    <cfRule type="expression" priority="18" dxfId="3">
      <formula>#REF!="Closed"</formula>
    </cfRule>
    <cfRule type="expression" priority="17" dxfId="4">
      <formula>#REF!="Deferred"</formula>
    </cfRule>
  </conditionalFormatting>
  <conditionalFormatting sqref="H15">
    <cfRule type="expression" priority="8" dxfId="4">
      <formula>#REF!="Deferred"</formula>
    </cfRule>
    <cfRule type="expression" priority="9" dxfId="3">
      <formula>#REF!="Closed"</formula>
    </cfRule>
    <cfRule type="expression" priority="10" dxfId="2">
      <formula>MOD(ROW(),2)=1</formula>
    </cfRule>
  </conditionalFormatting>
  <conditionalFormatting sqref="L9:L10">
    <cfRule type="expression" priority="32" dxfId="4">
      <formula>$O9="Deferred"</formula>
    </cfRule>
    <cfRule type="expression" priority="33" dxfId="3">
      <formula>$O9="Closed"</formula>
    </cfRule>
    <cfRule type="expression" priority="34" dxfId="2">
      <formula>MOD(ROW(),2)=1</formula>
    </cfRule>
  </conditionalFormatting>
  <conditionalFormatting sqref="N310">
    <cfRule type="timePeriod" priority="35" dxfId="0" timePeriod="lastWeek">
      <formula>AND(TODAY()-ROUNDDOWN(N310,0)&gt;=(WEEKDAY(TODAY())),TODAY()-ROUNDDOWN(N310,0)&lt;(WEEKDAY(TODAY())+7))</formula>
    </cfRule>
  </conditionalFormatting>
  <conditionalFormatting sqref="N316">
    <cfRule type="timePeriod" priority="36" dxfId="0" timePeriod="lastWeek">
      <formula>AND(TODAY()-ROUNDDOWN(N316,0)&gt;=(WEEKDAY(TODAY())),TODAY()-ROUNDDOWN(N316,0)&lt;(WEEKDAY(TODAY())+7))</formula>
    </cfRule>
  </conditionalFormatting>
  <pageMargins left="1" right="0.7" top="1.25" bottom="0.597222222222222" header="0.5" footer="0.511811023622047"/>
  <pageSetup orientation="landscape" paperSize="3" fitToHeight="10" horizontalDpi="300" verticalDpi="300"/>
  <headerFooter>
    <oddHeader>&amp;C&amp;20 BUTTLER MASTER PUNCH LIST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8" defaultColWidth="8.7109375" defaultRowHeight="15"/>
  <cols>
    <col width="20" customWidth="1" style="133" min="1" max="1"/>
    <col width="40.28515625" customWidth="1" style="133" min="2" max="2"/>
    <col width="35" customWidth="1" style="133" min="3" max="3"/>
    <col width="40.85546875" customWidth="1" style="133" min="4" max="4"/>
    <col width="20" customWidth="1" style="133" min="5" max="5"/>
    <col width="27" customWidth="1" style="133" min="6" max="6"/>
    <col width="69.28515625" customWidth="1" style="133" min="7" max="7"/>
    <col width="20" customWidth="1" style="133" min="8" max="8"/>
    <col width="58" customWidth="1" style="133" min="9" max="9"/>
    <col width="8.7109375" customWidth="1" style="133" min="10" max="10"/>
    <col width="8.7109375" customWidth="1" style="133" min="11" max="16384"/>
  </cols>
  <sheetData>
    <row r="1" ht="27.75" customHeight="1" s="130">
      <c r="A1" s="132" t="inlineStr">
        <is>
          <t>SYSTEM MODEL | Functional Systems</t>
        </is>
      </c>
    </row>
    <row r="2" ht="24.75" customHeight="1" s="130">
      <c r="A2" s="134" t="inlineStr">
        <is>
          <t>True functional System of Interest records (not the operational WORK PACKAGES progress grouping).</t>
        </is>
      </c>
    </row>
    <row r="3" ht="18" customHeight="1" s="130">
      <c r="A3" s="122" t="inlineStr">
        <is>
          <t>Blue = editable  •  Green = imported prior work  •  Orange = needs review  •  Formulas = read only</t>
        </is>
      </c>
    </row>
    <row r="4" ht="33.75" customHeight="1" s="130">
      <c r="A4" s="123" t="inlineStr">
        <is>
          <t>System ID</t>
        </is>
      </c>
      <c r="B4" s="123" t="inlineStr">
        <is>
          <t>Source Code</t>
        </is>
      </c>
      <c r="C4" s="123" t="inlineStr">
        <is>
          <t>System Name</t>
        </is>
      </c>
      <c r="D4" s="123" t="inlineStr">
        <is>
          <t>System Type</t>
        </is>
      </c>
      <c r="E4" s="123" t="inlineStr">
        <is>
          <t>Scope Disposition</t>
        </is>
      </c>
      <c r="F4" s="123" t="inlineStr">
        <is>
          <t>Source IDs</t>
        </is>
      </c>
      <c r="G4" s="123" t="inlineStr">
        <is>
          <t>Location / Boundary</t>
        </is>
      </c>
      <c r="H4" s="123" t="inlineStr">
        <is>
          <t>Review State</t>
        </is>
      </c>
      <c r="I4" s="123" t="inlineStr">
        <is>
          <t>Notes</t>
        </is>
      </c>
    </row>
    <row r="5" ht="90" customHeight="1" s="130">
      <c r="A5" s="133" t="n"/>
      <c r="B5" s="133" t="n"/>
      <c r="C5" s="133" t="n"/>
      <c r="D5" s="124" t="n"/>
      <c r="E5" s="133" t="n"/>
      <c r="F5" s="133" t="n"/>
      <c r="G5" s="124" t="n"/>
      <c r="H5" s="133" t="n"/>
      <c r="I5" s="133" t="n"/>
    </row>
    <row r="6" ht="60.75" customHeight="1" s="130">
      <c r="A6" s="133" t="n"/>
      <c r="B6" s="124" t="n"/>
      <c r="C6" s="133" t="n"/>
      <c r="D6" s="133" t="n"/>
      <c r="E6" s="133" t="n"/>
      <c r="F6" s="133" t="n"/>
      <c r="G6" s="133" t="n"/>
      <c r="H6" s="133" t="n"/>
      <c r="I6" s="133" t="n"/>
    </row>
    <row r="7" ht="60.75" customHeight="1" s="130">
      <c r="A7" s="133" t="n"/>
      <c r="B7" s="133" t="n"/>
      <c r="C7" s="133" t="n"/>
      <c r="D7" s="133" t="n"/>
      <c r="E7" s="133" t="n"/>
      <c r="F7" s="133" t="n"/>
      <c r="G7" s="133" t="n"/>
      <c r="H7" s="133" t="n"/>
      <c r="I7" s="133" t="n"/>
    </row>
    <row r="8" ht="60.75" customHeight="1" s="130">
      <c r="A8" s="133" t="n"/>
      <c r="B8" s="133" t="n"/>
      <c r="C8" s="133" t="n"/>
      <c r="D8" s="133" t="n"/>
      <c r="E8" s="133" t="n"/>
      <c r="F8" s="133" t="n"/>
      <c r="G8" s="133" t="n"/>
      <c r="H8" s="133" t="n"/>
      <c r="I8" s="133" t="n"/>
    </row>
    <row r="9" ht="60.75" customHeight="1" s="130">
      <c r="A9" s="133" t="n"/>
      <c r="B9" s="133" t="n"/>
      <c r="C9" s="133" t="n"/>
      <c r="D9" s="133" t="n"/>
      <c r="E9" s="133" t="n"/>
      <c r="F9" s="133" t="n"/>
      <c r="G9" s="133" t="n"/>
      <c r="H9" s="133" t="n"/>
      <c r="I9" s="133" t="n"/>
    </row>
    <row r="10" ht="60.75" customHeight="1" s="130">
      <c r="A10" s="133" t="n"/>
      <c r="B10" s="133" t="n"/>
      <c r="C10" s="133" t="n"/>
      <c r="D10" s="133" t="n"/>
      <c r="E10" s="133" t="n"/>
      <c r="F10" s="133" t="n"/>
      <c r="G10" s="133" t="n"/>
      <c r="H10" s="133" t="n"/>
      <c r="I10" s="133" t="n"/>
    </row>
    <row r="11" ht="60.75" customHeight="1" s="130"/>
    <row r="12" ht="60.75" customHeight="1" s="130"/>
    <row r="13" ht="60.75" customHeight="1" s="130"/>
    <row r="14" ht="60.75" customHeight="1" s="130"/>
    <row r="15" ht="60.75" customHeight="1" s="130"/>
    <row r="16" ht="60.75" customHeight="1" s="130"/>
    <row r="17" ht="60.75" customFormat="1" customHeight="1" s="133"/>
    <row r="18" ht="60.75" customFormat="1" customHeight="1" s="133"/>
    <row r="19" ht="60.75" customFormat="1" customHeight="1" s="133"/>
    <row r="20" ht="60.75" customFormat="1" customHeight="1" s="133"/>
    <row r="21" ht="60.75" customFormat="1" customHeight="1" s="133"/>
    <row r="22" ht="60.75" customFormat="1" customHeight="1" s="133"/>
    <row r="23" ht="60.75" customFormat="1" customHeight="1" s="133"/>
    <row r="24" ht="60.75" customFormat="1" customHeight="1" s="133"/>
    <row r="25" ht="60.75" customFormat="1" customHeight="1" s="133"/>
    <row r="26" ht="60.75" customFormat="1" customHeight="1" s="133"/>
    <row r="27" ht="60.75" customFormat="1" customHeight="1" s="133"/>
    <row r="28" ht="60.75" customFormat="1" customHeight="1" s="133"/>
    <row r="29" ht="60.75" customFormat="1" customHeight="1" s="133"/>
    <row r="30" ht="60.75" customFormat="1" customHeight="1" s="133"/>
    <row r="31" ht="60.75" customFormat="1" customHeight="1" s="133"/>
    <row r="32" ht="60.75" customFormat="1" customHeight="1" s="133"/>
    <row r="33" ht="60.75" customFormat="1" customHeight="1" s="133"/>
    <row r="34" ht="60.75" customFormat="1" customHeight="1" s="133"/>
    <row r="35" ht="60.75" customFormat="1" customHeight="1" s="133"/>
    <row r="36" ht="60.75" customFormat="1" customHeight="1" s="133"/>
    <row r="37" ht="60.75" customFormat="1" customHeight="1" s="133"/>
    <row r="38" ht="60.75" customFormat="1" customHeight="1" s="133"/>
    <row r="39" ht="60.75" customFormat="1" customHeight="1" s="133"/>
    <row r="40" ht="60.75" customFormat="1" customHeight="1" s="133"/>
    <row r="41" ht="60.75" customFormat="1" customHeight="1" s="133"/>
    <row r="42" ht="60.75" customFormat="1" customHeight="1" s="133"/>
    <row r="43" ht="60.75" customFormat="1" customHeight="1" s="133"/>
    <row r="44" ht="60.75" customFormat="1" customHeight="1" s="133"/>
    <row r="45" ht="60.75" customFormat="1" customHeight="1" s="133"/>
    <row r="46" ht="60.75" customFormat="1" customHeight="1" s="133"/>
    <row r="47" ht="60.75" customFormat="1" customHeight="1" s="133"/>
    <row r="48" ht="60.75" customFormat="1" customHeight="1" s="133"/>
    <row r="49" ht="60.75" customFormat="1" customHeight="1" s="133"/>
    <row r="50" ht="60.75" customFormat="1" customHeight="1" s="133"/>
    <row r="51" ht="60.75" customFormat="1" customHeight="1" s="133"/>
    <row r="52" ht="60.75" customFormat="1" customHeight="1" s="133"/>
    <row r="53" ht="60.75" customFormat="1" customHeight="1" s="133"/>
    <row r="54" ht="60.75" customFormat="1" customHeight="1" s="133"/>
    <row r="55" ht="60.75" customFormat="1" customHeight="1" s="133"/>
    <row r="56" ht="60.75" customFormat="1" customHeight="1" s="133"/>
    <row r="57" ht="60.75" customFormat="1" customHeight="1" s="133"/>
    <row r="58" ht="60.75" customFormat="1" customHeight="1" s="133"/>
    <row r="59" ht="60.75" customFormat="1" customHeight="1" s="133"/>
    <row r="60" ht="60.75" customFormat="1" customHeight="1" s="133"/>
    <row r="61" ht="60.75" customFormat="1" customHeight="1" s="133"/>
    <row r="62" ht="60.75" customFormat="1" customHeight="1" s="133"/>
    <row r="63" ht="60.75" customFormat="1" customHeight="1" s="133"/>
    <row r="64" ht="60.75" customFormat="1" customHeight="1" s="133"/>
    <row r="65" ht="60.75" customFormat="1" customHeight="1" s="133"/>
    <row r="66" ht="60.75" customFormat="1" customHeight="1" s="133"/>
    <row r="67" ht="60.75" customFormat="1" customHeight="1" s="133"/>
    <row r="68" ht="60.75" customFormat="1" customHeight="1" s="133"/>
    <row r="69" ht="60.75" customFormat="1" customHeight="1" s="133"/>
    <row r="70" ht="60.75" customFormat="1" customHeight="1" s="133"/>
    <row r="71" ht="60.75" customFormat="1" customHeight="1" s="133"/>
    <row r="72" ht="60.75" customFormat="1" customHeight="1" s="133"/>
    <row r="73" ht="60.75" customFormat="1" customHeight="1" s="133"/>
    <row r="74" ht="60.75" customFormat="1" customHeight="1" s="133"/>
    <row r="75" ht="60.75" customFormat="1" customHeight="1" s="133"/>
    <row r="76" ht="60.75" customFormat="1" customHeight="1" s="133"/>
    <row r="77" ht="60.75" customFormat="1" customHeight="1" s="133"/>
    <row r="78" ht="60.75" customFormat="1" customHeight="1" s="133"/>
    <row r="79" ht="60.75" customFormat="1" customHeight="1" s="133"/>
    <row r="80" ht="60.75" customFormat="1" customHeight="1" s="133"/>
    <row r="81" ht="60.75" customFormat="1" customHeight="1" s="133"/>
    <row r="82" ht="60.75" customFormat="1" customHeight="1" s="133"/>
    <row r="83" ht="60.75" customFormat="1" customHeight="1" s="133"/>
    <row r="84" ht="60.75" customFormat="1" customHeight="1" s="133"/>
    <row r="85" ht="60.75" customFormat="1" customHeight="1" s="133"/>
    <row r="86" ht="60.75" customFormat="1" customHeight="1" s="133"/>
    <row r="87" ht="60.75" customFormat="1" customHeight="1" s="133"/>
    <row r="88" ht="60.75" customFormat="1" customHeight="1" s="133"/>
    <row r="89" ht="60.75" customFormat="1" customHeight="1" s="133"/>
    <row r="90" ht="60.75" customFormat="1" customHeight="1" s="133"/>
    <row r="91" ht="60.75" customFormat="1" customHeight="1" s="133"/>
    <row r="92" ht="60.75" customFormat="1" customHeight="1" s="133"/>
    <row r="93" ht="60.75" customFormat="1" customHeight="1" s="133"/>
    <row r="94" ht="60.75" customFormat="1" customHeight="1" s="133"/>
    <row r="95" ht="60.75" customFormat="1" customHeight="1" s="133"/>
    <row r="96" ht="60.75" customFormat="1" customHeight="1" s="133"/>
    <row r="97" ht="60.75" customFormat="1" customHeight="1" s="133"/>
    <row r="98" ht="60.75" customFormat="1" customHeight="1" s="133"/>
    <row r="99" ht="60.75" customFormat="1" customHeight="1" s="133"/>
    <row r="100" ht="60.75" customFormat="1" customHeight="1" s="133"/>
    <row r="101" ht="18.75" customFormat="1" customHeight="1" s="133"/>
    <row r="102" ht="18.75" customFormat="1" customHeight="1" s="133"/>
    <row r="103" ht="18.75" customFormat="1" customHeight="1" s="133"/>
    <row r="104" ht="18.75" customFormat="1" customHeight="1" s="133"/>
    <row r="105" ht="18.75" customFormat="1" customHeight="1" s="133"/>
    <row r="106" ht="18.75" customFormat="1" customHeight="1" s="133"/>
    <row r="107" ht="18.75" customFormat="1" customHeight="1" s="133"/>
    <row r="108" ht="18.75" customFormat="1" customHeight="1" s="133"/>
    <row r="109" ht="18.75" customFormat="1" customHeight="1" s="133"/>
    <row r="110" ht="18.75" customFormat="1" customHeight="1" s="133"/>
    <row r="111" ht="18.75" customFormat="1" customHeight="1" s="133"/>
    <row r="112" ht="18.75" customFormat="1" customHeight="1" s="133"/>
    <row r="113" ht="18.75" customFormat="1" customHeight="1" s="133"/>
    <row r="114" ht="18.75" customFormat="1" customHeight="1" s="133"/>
    <row r="115" ht="18.75" customFormat="1" customHeight="1" s="133"/>
    <row r="116" ht="18.75" customFormat="1" customHeight="1" s="133"/>
    <row r="117" ht="18.75" customFormat="1" customHeight="1" s="133"/>
    <row r="118" ht="18.75" customFormat="1" customHeight="1" s="133"/>
    <row r="119" ht="18.75" customFormat="1" customHeight="1" s="133"/>
    <row r="120" ht="18.75" customFormat="1" customHeight="1" s="133"/>
    <row r="121" ht="18.75" customFormat="1" customHeight="1" s="133"/>
    <row r="122" ht="18.75" customFormat="1" customHeight="1" s="133"/>
    <row r="123" ht="18.75" customFormat="1" customHeight="1" s="133"/>
    <row r="124" ht="18.75" customFormat="1" customHeight="1" s="133"/>
    <row r="125" ht="18.75" customFormat="1" customHeight="1" s="133"/>
    <row r="126" ht="18.75" customFormat="1" customHeight="1" s="133"/>
    <row r="127" ht="18.75" customFormat="1" customHeight="1" s="133"/>
    <row r="128" ht="18.75" customFormat="1" customHeight="1" s="133"/>
    <row r="129" ht="18.75" customFormat="1" customHeight="1" s="133"/>
    <row r="130" ht="18.75" customFormat="1" customHeight="1" s="133"/>
    <row r="131" ht="18.75" customFormat="1" customHeight="1" s="133"/>
    <row r="132" ht="18.75" customFormat="1" customHeight="1" s="133"/>
    <row r="133" ht="18.75" customFormat="1" customHeight="1" s="133"/>
    <row r="134" ht="18.75" customFormat="1" customHeight="1" s="133"/>
    <row r="135" ht="18.75" customFormat="1" customHeight="1" s="133"/>
    <row r="136" ht="18.75" customFormat="1" customHeight="1" s="133"/>
    <row r="137" ht="18.75" customFormat="1" customHeight="1" s="133"/>
    <row r="138" ht="18.75" customFormat="1" customHeight="1" s="133"/>
    <row r="139" ht="18.75" customFormat="1" customHeight="1" s="133"/>
    <row r="140" ht="18.75" customFormat="1" customHeight="1" s="133"/>
    <row r="141" ht="18.75" customFormat="1" customHeight="1" s="133"/>
    <row r="142" ht="18.75" customFormat="1" customHeight="1" s="133"/>
    <row r="143" ht="18.75" customFormat="1" customHeight="1" s="133"/>
    <row r="144" ht="18.75" customFormat="1" customHeight="1" s="133"/>
    <row r="145" ht="18.75" customFormat="1" customHeight="1" s="133"/>
    <row r="146" ht="18.75" customFormat="1" customHeight="1" s="133"/>
    <row r="147" ht="18.75" customFormat="1" customHeight="1" s="133"/>
    <row r="148" ht="18.75" customFormat="1" customHeight="1" s="133"/>
    <row r="149" ht="18.75" customFormat="1" customHeight="1" s="133"/>
    <row r="150" ht="18.75" customFormat="1" customHeight="1" s="133"/>
    <row r="151" ht="18.75" customFormat="1" customHeight="1" s="133"/>
    <row r="152" ht="18.75" customFormat="1" customHeight="1" s="133"/>
    <row r="153" ht="18.75" customFormat="1" customHeight="1" s="133"/>
    <row r="154" ht="18.75" customFormat="1" customHeight="1" s="133"/>
    <row r="155" ht="18.75" customFormat="1" customHeight="1" s="133"/>
    <row r="156" ht="18.75" customFormat="1" customHeight="1" s="133"/>
    <row r="157" ht="18.75" customFormat="1" customHeight="1" s="133"/>
    <row r="158" ht="18.75" customFormat="1" customHeight="1" s="133"/>
    <row r="159" ht="18.75" customFormat="1" customHeight="1" s="133"/>
    <row r="160" ht="18.75" customFormat="1" customHeight="1" s="133"/>
    <row r="161" ht="18.75" customFormat="1" customHeight="1" s="133"/>
    <row r="162" ht="18.75" customFormat="1" customHeight="1" s="133"/>
    <row r="163" ht="18.75" customFormat="1" customHeight="1" s="133"/>
    <row r="164" ht="18.75" customFormat="1" customHeight="1" s="133"/>
    <row r="165" ht="18.75" customFormat="1" customHeight="1" s="133"/>
    <row r="166" ht="18.75" customFormat="1" customHeight="1" s="133"/>
    <row r="167" ht="18.75" customFormat="1" customHeight="1" s="133"/>
    <row r="168" ht="18.75" customFormat="1" customHeight="1" s="133"/>
    <row r="169" ht="18.75" customFormat="1" customHeight="1" s="133"/>
    <row r="170" ht="18.75" customFormat="1" customHeight="1" s="133"/>
    <row r="171" ht="18.75" customFormat="1" customHeight="1" s="133"/>
    <row r="172" ht="18.75" customFormat="1" customHeight="1" s="133"/>
    <row r="173" ht="18.75" customFormat="1" customHeight="1" s="133"/>
    <row r="174" ht="18.75" customFormat="1" customHeight="1" s="133"/>
    <row r="175" ht="18.75" customFormat="1" customHeight="1" s="133"/>
    <row r="176" ht="18.75" customFormat="1" customHeight="1" s="133"/>
    <row r="177" ht="18.75" customFormat="1" customHeight="1" s="133"/>
    <row r="178" ht="18.75" customFormat="1" customHeight="1" s="133"/>
    <row r="179" ht="18.75" customFormat="1" customHeight="1" s="133"/>
    <row r="180" ht="18.75" customFormat="1" customHeight="1" s="133"/>
    <row r="181" ht="18.75" customFormat="1" customHeight="1" s="133"/>
    <row r="182" ht="18.75" customFormat="1" customHeight="1" s="133"/>
    <row r="183" ht="18.75" customFormat="1" customHeight="1" s="133"/>
    <row r="184" ht="18.75" customFormat="1" customHeight="1" s="133"/>
    <row r="185" ht="18.75" customFormat="1" customHeight="1" s="133"/>
    <row r="186" ht="18.75" customFormat="1" customHeight="1" s="133"/>
    <row r="187" ht="18.75" customFormat="1" customHeight="1" s="133"/>
    <row r="188" ht="18.75" customFormat="1" customHeight="1" s="133"/>
    <row r="189" ht="18.75" customFormat="1" customHeight="1" s="133"/>
    <row r="190" ht="18.75" customFormat="1" customHeight="1" s="133"/>
    <row r="191" ht="18.75" customFormat="1" customHeight="1" s="133"/>
    <row r="192" ht="18.75" customFormat="1" customHeight="1" s="133"/>
    <row r="193" ht="18.75" customFormat="1" customHeight="1" s="133"/>
    <row r="194" ht="18.75" customFormat="1" customHeight="1" s="133"/>
    <row r="195" ht="18.75" customFormat="1" customHeight="1" s="133"/>
    <row r="196" ht="18.75" customFormat="1" customHeight="1" s="133"/>
    <row r="197" ht="18.75" customFormat="1" customHeight="1" s="133"/>
    <row r="198" ht="18.75" customFormat="1" customHeight="1" s="133"/>
    <row r="199" ht="18.75" customFormat="1" customHeight="1" s="133"/>
    <row r="200" ht="18.75" customFormat="1" customHeight="1" s="133"/>
    <row r="201" ht="18.75" customFormat="1" customHeight="1" s="133"/>
    <row r="202" ht="18.75" customFormat="1" customHeight="1" s="133"/>
    <row r="203" ht="18.75" customFormat="1" customHeight="1" s="133"/>
    <row r="204" ht="18.75" customFormat="1" customHeight="1" s="133"/>
    <row r="205" ht="18.75" customFormat="1" customHeight="1" s="133"/>
    <row r="206" ht="18.75" customFormat="1" customHeight="1" s="133"/>
    <row r="207" ht="18.75" customFormat="1" customHeight="1" s="133"/>
    <row r="208" ht="18.75" customFormat="1" customHeight="1" s="133"/>
    <row r="209" ht="18.75" customFormat="1" customHeight="1" s="133"/>
    <row r="210" ht="18.75" customFormat="1" customHeight="1" s="133"/>
    <row r="211" ht="18.75" customFormat="1" customHeight="1" s="133"/>
    <row r="212" ht="18.75" customFormat="1" customHeight="1" s="133"/>
    <row r="213" ht="18.75" customFormat="1" customHeight="1" s="133"/>
    <row r="214" ht="18.75" customFormat="1" customHeight="1" s="133"/>
    <row r="215" ht="18.75" customFormat="1" customHeight="1" s="133"/>
    <row r="216" ht="18.75" customFormat="1" customHeight="1" s="133"/>
    <row r="217" ht="18.75" customFormat="1" customHeight="1" s="133"/>
    <row r="218" ht="18.75" customFormat="1" customHeight="1" s="133"/>
    <row r="219" ht="18.75" customFormat="1" customHeight="1" s="133"/>
    <row r="220" ht="18.75" customFormat="1" customHeight="1" s="133"/>
    <row r="221" ht="18.75" customFormat="1" customHeight="1" s="133"/>
    <row r="222" ht="18.75" customFormat="1" customHeight="1" s="133"/>
    <row r="223" ht="18.75" customFormat="1" customHeight="1" s="133"/>
    <row r="224" ht="18.75" customFormat="1" customHeight="1" s="133"/>
    <row r="225" ht="18.75" customFormat="1" customHeight="1" s="133"/>
    <row r="226" ht="18.75" customFormat="1" customHeight="1" s="133"/>
    <row r="227" ht="18.75" customFormat="1" customHeight="1" s="133"/>
    <row r="228" ht="18.75" customFormat="1" customHeight="1" s="133"/>
    <row r="229" ht="18.75" customFormat="1" customHeight="1" s="133"/>
    <row r="230" ht="18.75" customFormat="1" customHeight="1" s="133"/>
    <row r="231" ht="18.75" customFormat="1" customHeight="1" s="133"/>
    <row r="232" ht="18.75" customFormat="1" customHeight="1" s="133"/>
    <row r="233" ht="18.75" customFormat="1" customHeight="1" s="133"/>
    <row r="234" ht="18.75" customFormat="1" customHeight="1" s="133"/>
    <row r="235" ht="18.75" customFormat="1" customHeight="1" s="133"/>
    <row r="236" ht="18.75" customFormat="1" customHeight="1" s="133"/>
    <row r="237" ht="18.75" customFormat="1" customHeight="1" s="133"/>
    <row r="238" ht="18.75" customFormat="1" customHeight="1" s="133"/>
    <row r="239" ht="18.75" customFormat="1" customHeight="1" s="133"/>
    <row r="240" ht="18.75" customFormat="1" customHeight="1" s="133"/>
    <row r="241" ht="18.75" customFormat="1" customHeight="1" s="133"/>
    <row r="242" ht="18.75" customFormat="1" customHeight="1" s="133"/>
    <row r="243" ht="18.75" customFormat="1" customHeight="1" s="133"/>
    <row r="244" ht="18.75" customFormat="1" customHeight="1" s="133"/>
    <row r="245" ht="18.75" customFormat="1" customHeight="1" s="133"/>
    <row r="246" ht="18.75" customFormat="1" customHeight="1" s="133"/>
    <row r="247" ht="18.75" customFormat="1" customHeight="1" s="133"/>
    <row r="248" ht="18.75" customFormat="1" customHeight="1" s="133"/>
    <row r="249" ht="18.75" customFormat="1" customHeight="1" s="133"/>
    <row r="250" ht="18.75" customFormat="1" customHeight="1" s="133"/>
    <row r="251" ht="18.75" customFormat="1" customHeight="1" s="133"/>
    <row r="252" ht="18.75" customFormat="1" customHeight="1" s="133"/>
    <row r="253" ht="18.75" customFormat="1" customHeight="1" s="133"/>
    <row r="254" ht="18.75" customFormat="1" customHeight="1" s="133"/>
    <row r="255" ht="18.75" customFormat="1" customHeight="1" s="133"/>
    <row r="256" ht="18.75" customFormat="1" customHeight="1" s="133"/>
    <row r="257" ht="18.75" customFormat="1" customHeight="1" s="133"/>
    <row r="258" ht="18.75" customFormat="1" customHeight="1" s="133"/>
    <row r="259" ht="18.75" customFormat="1" customHeight="1" s="133"/>
    <row r="260" ht="18.75" customFormat="1" customHeight="1" s="133"/>
    <row r="261" ht="18.75" customFormat="1" customHeight="1" s="133"/>
    <row r="262" ht="18.75" customFormat="1" customHeight="1" s="133"/>
    <row r="263" ht="18.75" customFormat="1" customHeight="1" s="133"/>
    <row r="264" ht="18.75" customFormat="1" customHeight="1" s="133"/>
    <row r="265" ht="18.75" customFormat="1" customHeight="1" s="133"/>
    <row r="266" ht="18.75" customFormat="1" customHeight="1" s="133"/>
    <row r="267" ht="18.75" customFormat="1" customHeight="1" s="133"/>
    <row r="268" ht="18.75" customFormat="1" customHeight="1" s="133"/>
    <row r="269" ht="18.75" customFormat="1" customHeight="1" s="133"/>
    <row r="270" ht="18.75" customFormat="1" customHeight="1" s="133"/>
    <row r="271" ht="18.75" customFormat="1" customHeight="1" s="133"/>
    <row r="272" ht="18.75" customFormat="1" customHeight="1" s="133"/>
    <row r="273" ht="18.75" customFormat="1" customHeight="1" s="133"/>
    <row r="274" ht="18.75" customFormat="1" customHeight="1" s="133"/>
    <row r="275" ht="18.75" customFormat="1" customHeight="1" s="133"/>
    <row r="276" ht="18.75" customFormat="1" customHeight="1" s="133"/>
    <row r="277" ht="18.75" customFormat="1" customHeight="1" s="133"/>
    <row r="278" ht="18.75" customFormat="1" customHeight="1" s="133"/>
    <row r="279" ht="18.75" customFormat="1" customHeight="1" s="133"/>
    <row r="280" ht="18.75" customFormat="1" customHeight="1" s="133"/>
    <row r="281" ht="18.75" customFormat="1" customHeight="1" s="133"/>
    <row r="282" ht="18.75" customFormat="1" customHeight="1" s="133"/>
    <row r="283" ht="18.75" customFormat="1" customHeight="1" s="133"/>
    <row r="284" ht="18.75" customFormat="1" customHeight="1" s="133"/>
    <row r="285" ht="18.75" customFormat="1" customHeight="1" s="133"/>
    <row r="286" ht="18.75" customFormat="1" customHeight="1" s="133"/>
    <row r="287" ht="18.75" customFormat="1" customHeight="1" s="133"/>
    <row r="288" ht="18.75" customFormat="1" customHeight="1" s="133"/>
    <row r="289" ht="18.75" customFormat="1" customHeight="1" s="133"/>
    <row r="290" ht="18.75" customFormat="1" customHeight="1" s="133"/>
    <row r="291" ht="18.75" customFormat="1" customHeight="1" s="133"/>
    <row r="292" ht="18.75" customFormat="1" customHeight="1" s="133"/>
    <row r="293" ht="18.75" customFormat="1" customHeight="1" s="133"/>
    <row r="294" ht="18.75" customFormat="1" customHeight="1" s="133"/>
    <row r="295" ht="18.75" customFormat="1" customHeight="1" s="133"/>
    <row r="296" ht="18.75" customFormat="1" customHeight="1" s="133"/>
    <row r="297" ht="18.75" customFormat="1" customHeight="1" s="133"/>
    <row r="298" ht="18.75" customFormat="1" customHeight="1" s="133"/>
    <row r="299" ht="18.75" customFormat="1" customHeight="1" s="133"/>
    <row r="300" ht="18.75" customFormat="1" customHeight="1" s="133"/>
    <row r="301" ht="18.75" customFormat="1" customHeight="1" s="133"/>
    <row r="302" ht="18.75" customFormat="1" customHeight="1" s="133"/>
    <row r="303" ht="18.75" customFormat="1" customHeight="1" s="133"/>
    <row r="304" ht="18.75" customFormat="1" customHeight="1" s="133"/>
    <row r="305" ht="18.75" customFormat="1" customHeight="1" s="133"/>
    <row r="306" ht="18.75" customFormat="1" customHeight="1" s="133"/>
    <row r="307" ht="18.75" customFormat="1" customHeight="1" s="133"/>
    <row r="308" ht="18.75" customFormat="1" customHeight="1" s="133"/>
    <row r="309" ht="18.75" customFormat="1" customHeight="1" s="133"/>
    <row r="310" ht="18.75" customFormat="1" customHeight="1" s="133"/>
    <row r="311" ht="18.75" customFormat="1" customHeight="1" s="133"/>
    <row r="312" ht="18.75" customFormat="1" customHeight="1" s="133"/>
    <row r="313" ht="18.75" customFormat="1" customHeight="1" s="133"/>
    <row r="314" ht="18.75" customFormat="1" customHeight="1" s="133"/>
    <row r="315" ht="18.75" customFormat="1" customHeight="1" s="133"/>
    <row r="316" ht="18.75" customFormat="1" customHeight="1" s="133"/>
    <row r="317" ht="18.75" customFormat="1" customHeight="1" s="133"/>
    <row r="318" ht="18.75" customFormat="1" customHeight="1" s="133"/>
    <row r="319" ht="18.75" customFormat="1" customHeight="1" s="133"/>
    <row r="320" ht="18.75" customFormat="1" customHeight="1" s="133"/>
    <row r="321" ht="18.75" customFormat="1" customHeight="1" s="133"/>
    <row r="322" ht="18.75" customFormat="1" customHeight="1" s="133"/>
    <row r="323" ht="18.75" customFormat="1" customHeight="1" s="133"/>
    <row r="324" ht="18.75" customFormat="1" customHeight="1" s="133"/>
    <row r="325" ht="18.75" customFormat="1" customHeight="1" s="133"/>
    <row r="326" ht="18.75" customFormat="1" customHeight="1" s="133"/>
    <row r="327" ht="18.75" customFormat="1" customHeight="1" s="133"/>
    <row r="328" ht="18.75" customFormat="1" customHeight="1" s="133"/>
    <row r="329" ht="18.75" customFormat="1" customHeight="1" s="133"/>
    <row r="330" ht="18.75" customFormat="1" customHeight="1" s="133"/>
    <row r="331" ht="18.75" customFormat="1" customHeight="1" s="133"/>
    <row r="332" ht="18.75" customFormat="1" customHeight="1" s="133"/>
    <row r="333" ht="18.75" customFormat="1" customHeight="1" s="133"/>
    <row r="334" ht="18.75" customFormat="1" customHeight="1" s="133"/>
    <row r="335" ht="18.75" customFormat="1" customHeight="1" s="133"/>
    <row r="336" ht="18.75" customFormat="1" customHeight="1" s="133"/>
    <row r="337" ht="18.75" customFormat="1" customHeight="1" s="133"/>
    <row r="338" ht="18.75" customFormat="1" customHeight="1" s="133"/>
    <row r="339" ht="18.75" customFormat="1" customHeight="1" s="133"/>
    <row r="340" ht="18.75" customFormat="1" customHeight="1" s="133"/>
    <row r="341" ht="18.75" customFormat="1" customHeight="1" s="133"/>
    <row r="342" ht="18.75" customFormat="1" customHeight="1" s="133"/>
    <row r="343" ht="18.75" customFormat="1" customHeight="1" s="133"/>
    <row r="344" ht="18.75" customFormat="1" customHeight="1" s="133"/>
    <row r="345" ht="18.75" customFormat="1" customHeight="1" s="133"/>
    <row r="346" ht="18.75" customFormat="1" customHeight="1" s="133"/>
    <row r="347" ht="18.75" customFormat="1" customHeight="1" s="133"/>
    <row r="348" ht="18.75" customFormat="1" customHeight="1" s="133"/>
    <row r="349" ht="18.75" customFormat="1" customHeight="1" s="133"/>
    <row r="350" ht="18.75" customFormat="1" customHeight="1" s="133"/>
    <row r="351" ht="18.75" customFormat="1" customHeight="1" s="133"/>
    <row r="352" ht="18.75" customFormat="1" customHeight="1" s="133"/>
    <row r="353" ht="18.75" customFormat="1" customHeight="1" s="133"/>
    <row r="354" ht="18.75" customFormat="1" customHeight="1" s="133"/>
    <row r="355" ht="18.75" customFormat="1" customHeight="1" s="133"/>
    <row r="356" ht="18.75" customFormat="1" customHeight="1" s="133"/>
    <row r="357" ht="18.75" customFormat="1" customHeight="1" s="133"/>
    <row r="358" ht="18.75" customFormat="1" customHeight="1" s="133"/>
    <row r="359" ht="18.75" customFormat="1" customHeight="1" s="133"/>
    <row r="360" ht="18.75" customFormat="1" customHeight="1" s="133"/>
    <row r="361" ht="18.75" customFormat="1" customHeight="1" s="133"/>
    <row r="362" ht="18.75" customFormat="1" customHeight="1" s="133"/>
    <row r="363" ht="18.75" customFormat="1" customHeight="1" s="133"/>
    <row r="364" ht="18.75" customFormat="1" customHeight="1" s="133"/>
    <row r="365" ht="18.75" customFormat="1" customHeight="1" s="133"/>
    <row r="366" ht="18.75" customFormat="1" customHeight="1" s="133"/>
    <row r="367" ht="18.75" customFormat="1" customHeight="1" s="133"/>
    <row r="368" ht="18.75" customFormat="1" customHeight="1" s="133"/>
    <row r="369" ht="18.75" customFormat="1" customHeight="1" s="133"/>
    <row r="370" ht="18.75" customFormat="1" customHeight="1" s="133"/>
    <row r="371" ht="18.75" customFormat="1" customHeight="1" s="133"/>
    <row r="372" ht="18.75" customFormat="1" customHeight="1" s="133"/>
    <row r="373" ht="18.75" customFormat="1" customHeight="1" s="133"/>
    <row r="374" ht="18.75" customFormat="1" customHeight="1" s="133"/>
    <row r="375" ht="18.75" customFormat="1" customHeight="1" s="133"/>
    <row r="376" ht="18.75" customFormat="1" customHeight="1" s="133"/>
    <row r="377" ht="18.75" customFormat="1" customHeight="1" s="133"/>
    <row r="378" ht="18.75" customFormat="1" customHeight="1" s="133"/>
    <row r="379" ht="18.75" customFormat="1" customHeight="1" s="133"/>
    <row r="380" ht="18.75" customFormat="1" customHeight="1" s="133"/>
    <row r="381" ht="18.75" customFormat="1" customHeight="1" s="133"/>
    <row r="382" ht="18.75" customFormat="1" customHeight="1" s="133"/>
    <row r="383" ht="18.75" customFormat="1" customHeight="1" s="133"/>
    <row r="384" ht="18.75" customFormat="1" customHeight="1" s="133"/>
    <row r="385" ht="18.75" customFormat="1" customHeight="1" s="133"/>
    <row r="386" ht="18.75" customFormat="1" customHeight="1" s="133"/>
    <row r="387" ht="18.75" customFormat="1" customHeight="1" s="133"/>
    <row r="388" ht="18.75" customFormat="1" customHeight="1" s="133"/>
    <row r="389" ht="18.75" customFormat="1" customHeight="1" s="133"/>
    <row r="390" ht="18.75" customFormat="1" customHeight="1" s="133"/>
    <row r="391" ht="18.75" customFormat="1" customHeight="1" s="133"/>
    <row r="392" ht="18.75" customFormat="1" customHeight="1" s="133"/>
    <row r="393" ht="18.75" customFormat="1" customHeight="1" s="133"/>
    <row r="394" ht="18.75" customFormat="1" customHeight="1" s="133"/>
    <row r="395" ht="18.75" customFormat="1" customHeight="1" s="133"/>
    <row r="396" ht="18.75" customFormat="1" customHeight="1" s="133"/>
    <row r="397" ht="18.75" customFormat="1" customHeight="1" s="133"/>
    <row r="398" ht="18.75" customFormat="1" customHeight="1" s="133"/>
    <row r="399" ht="18.75" customFormat="1" customHeight="1" s="133"/>
    <row r="400" ht="18.75" customFormat="1" customHeight="1" s="133"/>
    <row r="401" ht="18.75" customFormat="1" customHeight="1" s="133"/>
    <row r="402" ht="18.75" customFormat="1" customHeight="1" s="133"/>
    <row r="403" ht="18.75" customFormat="1" customHeight="1" s="133"/>
    <row r="404" ht="18.75" customFormat="1" customHeight="1" s="133"/>
    <row r="405" ht="18.75" customFormat="1" customHeight="1" s="133"/>
    <row r="406" ht="18.75" customFormat="1" customHeight="1" s="133"/>
    <row r="407" ht="18.75" customFormat="1" customHeight="1" s="133"/>
    <row r="408" ht="18.75" customFormat="1" customHeight="1" s="133"/>
    <row r="409" ht="18.75" customFormat="1" customHeight="1" s="133"/>
    <row r="410" ht="18.75" customFormat="1" customHeight="1" s="133"/>
    <row r="411" ht="18.75" customFormat="1" customHeight="1" s="133"/>
    <row r="412" ht="18.75" customFormat="1" customHeight="1" s="133"/>
    <row r="413" ht="18.75" customFormat="1" customHeight="1" s="133"/>
    <row r="414" ht="18.75" customFormat="1" customHeight="1" s="133"/>
    <row r="415" ht="18.75" customFormat="1" customHeight="1" s="133"/>
    <row r="416" ht="18.75" customFormat="1" customHeight="1" s="133"/>
    <row r="417" ht="18.75" customFormat="1" customHeight="1" s="133"/>
    <row r="418" ht="18.75" customFormat="1" customHeight="1" s="133"/>
    <row r="419" ht="18.75" customFormat="1" customHeight="1" s="133"/>
    <row r="420" ht="18.75" customFormat="1" customHeight="1" s="133"/>
    <row r="421" ht="18.75" customFormat="1" customHeight="1" s="133"/>
    <row r="422" ht="18.75" customFormat="1" customHeight="1" s="133"/>
    <row r="423" ht="18.75" customFormat="1" customHeight="1" s="133"/>
    <row r="424" ht="18.75" customFormat="1" customHeight="1" s="133"/>
    <row r="425" ht="18.75" customFormat="1" customHeight="1" s="133"/>
    <row r="426" ht="18.75" customFormat="1" customHeight="1" s="133"/>
    <row r="427" ht="18.75" customFormat="1" customHeight="1" s="133"/>
    <row r="428" ht="18.75" customFormat="1" customHeight="1" s="133"/>
    <row r="429" ht="18.75" customFormat="1" customHeight="1" s="133"/>
    <row r="430" ht="18.75" customFormat="1" customHeight="1" s="133"/>
    <row r="431" ht="18.75" customFormat="1" customHeight="1" s="133"/>
    <row r="432" ht="18.75" customFormat="1" customHeight="1" s="133"/>
    <row r="433" ht="18.75" customFormat="1" customHeight="1" s="133"/>
    <row r="434" ht="18.75" customFormat="1" customHeight="1" s="133"/>
    <row r="435" ht="18.75" customFormat="1" customHeight="1" s="133"/>
    <row r="436" ht="18.75" customFormat="1" customHeight="1" s="133"/>
    <row r="437" ht="18.75" customFormat="1" customHeight="1" s="133"/>
    <row r="438" ht="18.75" customFormat="1" customHeight="1" s="133"/>
    <row r="439" ht="18.75" customFormat="1" customHeight="1" s="133"/>
    <row r="440" ht="18.75" customFormat="1" customHeight="1" s="133"/>
    <row r="441" ht="18.75" customFormat="1" customHeight="1" s="133"/>
    <row r="442" ht="18.75" customFormat="1" customHeight="1" s="133"/>
    <row r="443" ht="18.75" customFormat="1" customHeight="1" s="133"/>
    <row r="444" ht="18.75" customFormat="1" customHeight="1" s="133"/>
    <row r="445" ht="18.75" customFormat="1" customHeight="1" s="133"/>
    <row r="446" ht="18.75" customFormat="1" customHeight="1" s="133"/>
    <row r="447" ht="18.75" customFormat="1" customHeight="1" s="133"/>
    <row r="448" ht="18.75" customFormat="1" customHeight="1" s="133"/>
    <row r="449" ht="18.75" customFormat="1" customHeight="1" s="133"/>
    <row r="450" ht="18.75" customFormat="1" customHeight="1" s="133"/>
    <row r="451" ht="18.75" customFormat="1" customHeight="1" s="133"/>
    <row r="452" ht="18.75" customFormat="1" customHeight="1" s="133"/>
    <row r="453" ht="18.75" customFormat="1" customHeight="1" s="133"/>
    <row r="454" ht="18.75" customFormat="1" customHeight="1" s="133"/>
    <row r="455" ht="18.75" customFormat="1" customHeight="1" s="133"/>
    <row r="456" ht="18.75" customFormat="1" customHeight="1" s="133"/>
    <row r="457" ht="18.75" customFormat="1" customHeight="1" s="133"/>
    <row r="458" ht="18.75" customFormat="1" customHeight="1" s="133"/>
    <row r="459" ht="18.75" customFormat="1" customHeight="1" s="133"/>
    <row r="460" ht="18.75" customFormat="1" customHeight="1" s="133"/>
    <row r="461" ht="18.75" customFormat="1" customHeight="1" s="133"/>
    <row r="462" ht="18.75" customFormat="1" customHeight="1" s="133"/>
    <row r="463" ht="18.75" customFormat="1" customHeight="1" s="133"/>
    <row r="464" ht="18.75" customFormat="1" customHeight="1" s="133"/>
    <row r="465" ht="18.75" customFormat="1" customHeight="1" s="133"/>
    <row r="466" ht="18.75" customFormat="1" customHeight="1" s="133"/>
    <row r="467" ht="18.75" customFormat="1" customHeight="1" s="133"/>
    <row r="468" ht="18.75" customFormat="1" customHeight="1" s="133"/>
    <row r="469" ht="18.75" customFormat="1" customHeight="1" s="133"/>
    <row r="470" ht="18.75" customFormat="1" customHeight="1" s="133"/>
    <row r="471" ht="18.75" customFormat="1" customHeight="1" s="133"/>
    <row r="472" ht="18.75" customFormat="1" customHeight="1" s="133"/>
    <row r="473" ht="18.75" customFormat="1" customHeight="1" s="133"/>
    <row r="474" ht="18.75" customFormat="1" customHeight="1" s="133"/>
    <row r="475" ht="18.75" customFormat="1" customHeight="1" s="133"/>
    <row r="476" ht="18.75" customFormat="1" customHeight="1" s="133"/>
    <row r="477" ht="18.75" customFormat="1" customHeight="1" s="133"/>
    <row r="478" ht="18.75" customFormat="1" customHeight="1" s="133"/>
    <row r="479" ht="18.75" customFormat="1" customHeight="1" s="133"/>
    <row r="480" ht="18.75" customFormat="1" customHeight="1" s="133"/>
    <row r="481" ht="18.75" customFormat="1" customHeight="1" s="133"/>
    <row r="482" ht="18.75" customFormat="1" customHeight="1" s="133"/>
    <row r="483" ht="18.75" customFormat="1" customHeight="1" s="133"/>
    <row r="484" ht="18.75" customFormat="1" customHeight="1" s="133"/>
    <row r="485" ht="18.75" customFormat="1" customHeight="1" s="133"/>
    <row r="486" ht="18.75" customFormat="1" customHeight="1" s="133"/>
    <row r="487" ht="18.75" customFormat="1" customHeight="1" s="133"/>
    <row r="488" ht="18.75" customFormat="1" customHeight="1" s="133"/>
    <row r="489" ht="18.75" customFormat="1" customHeight="1" s="133"/>
    <row r="490" ht="18.75" customFormat="1" customHeight="1" s="133"/>
    <row r="491" ht="18.75" customFormat="1" customHeight="1" s="133"/>
    <row r="492" ht="18.75" customFormat="1" customHeight="1" s="133"/>
    <row r="493" ht="18.75" customFormat="1" customHeight="1" s="133"/>
    <row r="494" ht="18.75" customFormat="1" customHeight="1" s="133"/>
    <row r="495" ht="18.75" customFormat="1" customHeight="1" s="133"/>
    <row r="496" ht="18.75" customFormat="1" customHeight="1" s="133"/>
    <row r="497" ht="18.75" customFormat="1" customHeight="1" s="133"/>
    <row r="498" ht="18.75" customFormat="1" customHeight="1" s="133"/>
    <row r="499" ht="18.75" customFormat="1" customHeight="1" s="133"/>
    <row r="500" ht="18.75" customFormat="1" customHeight="1" s="133"/>
    <row r="501" ht="18.75" customFormat="1" customHeight="1" s="133"/>
    <row r="502" ht="18.75" customFormat="1" customHeight="1" s="133"/>
    <row r="503" ht="18.75" customFormat="1" customHeight="1" s="133"/>
    <row r="504" ht="18.75" customFormat="1" customHeight="1" s="133"/>
    <row r="505" ht="18.75" customFormat="1" customHeight="1" s="133"/>
    <row r="506" ht="18.75" customFormat="1" customHeight="1" s="133"/>
    <row r="507" ht="18.75" customFormat="1" customHeight="1" s="133"/>
    <row r="508" ht="18.75" customFormat="1" customHeight="1" s="133"/>
    <row r="509" ht="18.75" customFormat="1" customHeight="1" s="133"/>
    <row r="510" ht="18.75" customFormat="1" customHeight="1" s="133"/>
    <row r="511" ht="18.75" customFormat="1" customHeight="1" s="133"/>
    <row r="512" ht="18.75" customFormat="1" customHeight="1" s="133"/>
    <row r="513" ht="18.75" customFormat="1" customHeight="1" s="133"/>
    <row r="514" ht="18.75" customFormat="1" customHeight="1" s="133"/>
    <row r="515" ht="18.75" customFormat="1" customHeight="1" s="133"/>
    <row r="516" ht="18.75" customFormat="1" customHeight="1" s="133"/>
    <row r="517" ht="18.75" customFormat="1" customHeight="1" s="133"/>
    <row r="518" ht="18.75" customFormat="1" customHeight="1" s="133"/>
    <row r="519" ht="18.75" customFormat="1" customHeight="1" s="133"/>
    <row r="520" ht="18.75" customFormat="1" customHeight="1" s="133"/>
    <row r="521" ht="18.75" customFormat="1" customHeight="1" s="133"/>
    <row r="522" ht="18.75" customFormat="1" customHeight="1" s="133"/>
    <row r="523" ht="18.75" customFormat="1" customHeight="1" s="133"/>
    <row r="524" ht="18.75" customFormat="1" customHeight="1" s="133"/>
    <row r="525" ht="18.75" customFormat="1" customHeight="1" s="133"/>
    <row r="526" ht="18.75" customFormat="1" customHeight="1" s="133"/>
    <row r="527" ht="18.75" customFormat="1" customHeight="1" s="133"/>
    <row r="528" ht="18.75" customFormat="1" customHeight="1" s="133"/>
    <row r="529" ht="18.75" customFormat="1" customHeight="1" s="133"/>
    <row r="530" ht="18.75" customFormat="1" customHeight="1" s="133"/>
    <row r="531" ht="18.75" customFormat="1" customHeight="1" s="133"/>
    <row r="532" ht="18.75" customFormat="1" customHeight="1" s="133"/>
    <row r="533" ht="18.75" customFormat="1" customHeight="1" s="133"/>
    <row r="534" ht="18.75" customFormat="1" customHeight="1" s="133"/>
    <row r="535" ht="18.75" customFormat="1" customHeight="1" s="133"/>
    <row r="536" ht="18.75" customFormat="1" customHeight="1" s="133"/>
    <row r="537" ht="18.75" customFormat="1" customHeight="1" s="133"/>
    <row r="538" ht="18.75" customFormat="1" customHeight="1" s="133"/>
    <row r="539" ht="18.75" customFormat="1" customHeight="1" s="133"/>
    <row r="540" ht="18.75" customFormat="1" customHeight="1" s="133"/>
    <row r="541" ht="18.75" customFormat="1" customHeight="1" s="133"/>
    <row r="542" ht="18.75" customFormat="1" customHeight="1" s="133"/>
    <row r="543" ht="18.75" customFormat="1" customHeight="1" s="133"/>
    <row r="544" ht="18.75" customFormat="1" customHeight="1" s="133"/>
    <row r="545" ht="18.75" customFormat="1" customHeight="1" s="133"/>
    <row r="546" ht="18.75" customFormat="1" customHeight="1" s="133"/>
    <row r="547" ht="18.75" customFormat="1" customHeight="1" s="133"/>
    <row r="548" ht="18.75" customFormat="1" customHeight="1" s="133"/>
    <row r="549" ht="18.75" customFormat="1" customHeight="1" s="133"/>
    <row r="550" ht="18.75" customFormat="1" customHeight="1" s="133"/>
    <row r="551" ht="18.75" customFormat="1" customHeight="1" s="133"/>
    <row r="552" ht="18.75" customFormat="1" customHeight="1" s="133"/>
    <row r="553" ht="18.75" customFormat="1" customHeight="1" s="133"/>
    <row r="554" ht="18.75" customFormat="1" customHeight="1" s="133"/>
    <row r="555" ht="18.75" customFormat="1" customHeight="1" s="133"/>
    <row r="556" ht="18.75" customFormat="1" customHeight="1" s="133"/>
    <row r="557" ht="18.75" customFormat="1" customHeight="1" s="133"/>
    <row r="558" ht="18.75" customFormat="1" customHeight="1" s="133"/>
    <row r="559" ht="18.75" customFormat="1" customHeight="1" s="133"/>
    <row r="560" ht="18.75" customFormat="1" customHeight="1" s="133"/>
    <row r="561" ht="18.75" customFormat="1" customHeight="1" s="133"/>
    <row r="562" ht="18.75" customFormat="1" customHeight="1" s="133"/>
    <row r="563" ht="18.75" customFormat="1" customHeight="1" s="133"/>
    <row r="564" ht="18.75" customFormat="1" customHeight="1" s="133"/>
    <row r="565" ht="18.75" customFormat="1" customHeight="1" s="133"/>
    <row r="566" ht="18.75" customFormat="1" customHeight="1" s="133"/>
    <row r="567" ht="18.75" customFormat="1" customHeight="1" s="133"/>
    <row r="568" ht="18.75" customFormat="1" customHeight="1" s="133"/>
    <row r="569" ht="18.75" customFormat="1" customHeight="1" s="133"/>
    <row r="570" ht="18.75" customFormat="1" customHeight="1" s="133"/>
    <row r="571" ht="18.75" customFormat="1" customHeight="1" s="133"/>
    <row r="572" ht="18.75" customFormat="1" customHeight="1" s="133"/>
    <row r="573" ht="18.75" customFormat="1" customHeight="1" s="133"/>
    <row r="574" ht="18.75" customFormat="1" customHeight="1" s="133"/>
    <row r="575" ht="18.75" customFormat="1" customHeight="1" s="133"/>
    <row r="576" ht="18.75" customFormat="1" customHeight="1" s="133"/>
    <row r="577" ht="18.75" customFormat="1" customHeight="1" s="133"/>
    <row r="578" ht="18.75" customFormat="1" customHeight="1" s="133"/>
    <row r="579" ht="18.75" customFormat="1" customHeight="1" s="133"/>
    <row r="580" ht="18.75" customFormat="1" customHeight="1" s="133"/>
    <row r="581" ht="18.75" customFormat="1" customHeight="1" s="133"/>
    <row r="582" ht="18.75" customFormat="1" customHeight="1" s="133"/>
    <row r="583" ht="18.75" customFormat="1" customHeight="1" s="133"/>
    <row r="584" ht="18.75" customFormat="1" customHeight="1" s="133"/>
    <row r="585" ht="18.75" customFormat="1" customHeight="1" s="133"/>
    <row r="586" ht="18.75" customFormat="1" customHeight="1" s="133"/>
    <row r="587" ht="18.75" customFormat="1" customHeight="1" s="133"/>
    <row r="588" ht="18.75" customFormat="1" customHeight="1" s="133"/>
    <row r="589" ht="18.75" customFormat="1" customHeight="1" s="133"/>
    <row r="590" ht="18.75" customFormat="1" customHeight="1" s="133"/>
    <row r="591" ht="18.75" customFormat="1" customHeight="1" s="133"/>
    <row r="592" ht="18.75" customFormat="1" customHeight="1" s="133"/>
    <row r="593" ht="18.75" customFormat="1" customHeight="1" s="133"/>
    <row r="594" ht="18.75" customFormat="1" customHeight="1" s="133"/>
    <row r="595" ht="18.75" customFormat="1" customHeight="1" s="133"/>
    <row r="596" ht="18.75" customFormat="1" customHeight="1" s="133"/>
    <row r="597" ht="18.75" customFormat="1" customHeight="1" s="133"/>
    <row r="598" ht="18.75" customFormat="1" customHeight="1" s="133"/>
    <row r="599" ht="18.75" customFormat="1" customHeight="1" s="133"/>
    <row r="600" ht="18.75" customFormat="1" customHeight="1" s="133"/>
    <row r="601" ht="18.75" customFormat="1" customHeight="1" s="133"/>
    <row r="602" ht="18.75" customFormat="1" customHeight="1" s="133"/>
    <row r="603" ht="18.75" customFormat="1" customHeight="1" s="133"/>
    <row r="604" ht="18.75" customFormat="1" customHeight="1" s="133"/>
    <row r="605" ht="18.75" customFormat="1" customHeight="1" s="133"/>
    <row r="606" ht="18.75" customFormat="1" customHeight="1" s="133"/>
    <row r="607" ht="18.75" customFormat="1" customHeight="1" s="133"/>
    <row r="608" ht="18.75" customFormat="1" customHeight="1" s="133"/>
    <row r="609" ht="18.75" customFormat="1" customHeight="1" s="133"/>
    <row r="610" ht="18.75" customFormat="1" customHeight="1" s="133"/>
    <row r="611" ht="18.75" customFormat="1" customHeight="1" s="133"/>
    <row r="612" ht="18.75" customFormat="1" customHeight="1" s="133"/>
    <row r="613" ht="18.75" customFormat="1" customHeight="1" s="133"/>
    <row r="614" ht="18.75" customFormat="1" customHeight="1" s="133"/>
    <row r="615" ht="18.75" customFormat="1" customHeight="1" s="133"/>
    <row r="616" ht="18.75" customFormat="1" customHeight="1" s="133"/>
    <row r="617" ht="18.75" customFormat="1" customHeight="1" s="133"/>
    <row r="618" ht="18.75" customFormat="1" customHeight="1" s="133"/>
    <row r="619" ht="18.75" customFormat="1" customHeight="1" s="133"/>
    <row r="620" ht="18.75" customFormat="1" customHeight="1" s="133"/>
    <row r="621" ht="18.75" customFormat="1" customHeight="1" s="133"/>
    <row r="622" ht="18.75" customFormat="1" customHeight="1" s="133"/>
    <row r="623" ht="18.75" customFormat="1" customHeight="1" s="133"/>
    <row r="624" ht="18.75" customFormat="1" customHeight="1" s="133"/>
    <row r="625" ht="18.75" customFormat="1" customHeight="1" s="133"/>
    <row r="626" ht="18.75" customFormat="1" customHeight="1" s="133"/>
    <row r="627" ht="18.75" customFormat="1" customHeight="1" s="133"/>
    <row r="628" ht="18.75" customFormat="1" customHeight="1" s="133"/>
    <row r="629" ht="18.75" customFormat="1" customHeight="1" s="133"/>
    <row r="630" ht="18.75" customFormat="1" customHeight="1" s="133"/>
    <row r="631" ht="18.75" customFormat="1" customHeight="1" s="133"/>
    <row r="632" ht="18.75" customFormat="1" customHeight="1" s="133"/>
    <row r="633" ht="18.75" customFormat="1" customHeight="1" s="133"/>
    <row r="634" ht="18.75" customFormat="1" customHeight="1" s="133"/>
    <row r="635" ht="18.75" customFormat="1" customHeight="1" s="133"/>
    <row r="636" ht="18.75" customFormat="1" customHeight="1" s="133"/>
    <row r="637" ht="18.75" customFormat="1" customHeight="1" s="133"/>
    <row r="638" ht="18.75" customFormat="1" customHeight="1" s="133"/>
    <row r="639" ht="18.75" customFormat="1" customHeight="1" s="133"/>
    <row r="640" ht="18.75" customFormat="1" customHeight="1" s="133"/>
    <row r="641" ht="18.75" customFormat="1" customHeight="1" s="133"/>
    <row r="642" ht="18.75" customFormat="1" customHeight="1" s="133"/>
    <row r="643" ht="18.75" customFormat="1" customHeight="1" s="133"/>
    <row r="644" ht="18.75" customFormat="1" customHeight="1" s="133"/>
    <row r="645" ht="18.75" customFormat="1" customHeight="1" s="133"/>
    <row r="646" ht="18.75" customFormat="1" customHeight="1" s="133"/>
    <row r="647" ht="18.75" customFormat="1" customHeight="1" s="133"/>
    <row r="648" ht="18.75" customFormat="1" customHeight="1" s="133"/>
    <row r="649" ht="18.75" customFormat="1" customHeight="1" s="133"/>
    <row r="650" ht="18.75" customFormat="1" customHeight="1" s="133"/>
    <row r="651" ht="18.75" customFormat="1" customHeight="1" s="133"/>
    <row r="652" ht="18.75" customFormat="1" customHeight="1" s="133"/>
    <row r="653" ht="18.75" customFormat="1" customHeight="1" s="133"/>
    <row r="654" ht="18.75" customFormat="1" customHeight="1" s="133"/>
    <row r="655" ht="18.75" customFormat="1" customHeight="1" s="133"/>
    <row r="656" ht="18.75" customFormat="1" customHeight="1" s="133"/>
    <row r="657" ht="18.75" customFormat="1" customHeight="1" s="133"/>
    <row r="658" ht="18.75" customFormat="1" customHeight="1" s="133"/>
    <row r="659" ht="18.75" customFormat="1" customHeight="1" s="133"/>
    <row r="660" ht="18.75" customFormat="1" customHeight="1" s="133"/>
    <row r="661" ht="18.75" customFormat="1" customHeight="1" s="133"/>
    <row r="662" ht="18.75" customFormat="1" customHeight="1" s="133"/>
    <row r="663" ht="18.75" customFormat="1" customHeight="1" s="133"/>
    <row r="664" ht="18.75" customFormat="1" customHeight="1" s="133"/>
    <row r="665" ht="18.75" customFormat="1" customHeight="1" s="133"/>
    <row r="666" ht="18.75" customFormat="1" customHeight="1" s="133"/>
    <row r="667" ht="18.75" customFormat="1" customHeight="1" s="133"/>
    <row r="668" ht="18.75" customFormat="1" customHeight="1" s="133"/>
    <row r="669" ht="18.75" customFormat="1" customHeight="1" s="133"/>
    <row r="670" ht="18.75" customFormat="1" customHeight="1" s="133"/>
    <row r="671" ht="18.75" customFormat="1" customHeight="1" s="133"/>
    <row r="672" ht="18.75" customFormat="1" customHeight="1" s="133"/>
    <row r="673" ht="18.75" customFormat="1" customHeight="1" s="133"/>
    <row r="674" ht="18.75" customFormat="1" customHeight="1" s="133"/>
    <row r="675" ht="18.75" customFormat="1" customHeight="1" s="133"/>
    <row r="676" ht="18.75" customFormat="1" customHeight="1" s="133"/>
    <row r="677" ht="18.75" customFormat="1" customHeight="1" s="133"/>
    <row r="678" ht="18.75" customFormat="1" customHeight="1" s="133"/>
    <row r="679" ht="18.75" customFormat="1" customHeight="1" s="133"/>
    <row r="680" ht="18.75" customFormat="1" customHeight="1" s="133"/>
    <row r="681" ht="18.75" customFormat="1" customHeight="1" s="133"/>
    <row r="682" ht="18.75" customFormat="1" customHeight="1" s="133"/>
    <row r="683" ht="18.75" customFormat="1" customHeight="1" s="133"/>
    <row r="684" ht="18.75" customFormat="1" customHeight="1" s="133"/>
    <row r="685" ht="18.75" customFormat="1" customHeight="1" s="133"/>
    <row r="686" ht="18.75" customFormat="1" customHeight="1" s="133"/>
    <row r="687" ht="18.75" customFormat="1" customHeight="1" s="133"/>
    <row r="688" ht="18.75" customFormat="1" customHeight="1" s="133"/>
    <row r="689" ht="18.75" customFormat="1" customHeight="1" s="133"/>
    <row r="690" ht="18.75" customFormat="1" customHeight="1" s="133"/>
    <row r="691" ht="18.75" customFormat="1" customHeight="1" s="133"/>
    <row r="692" ht="18.75" customFormat="1" customHeight="1" s="133"/>
    <row r="693" ht="18.75" customFormat="1" customHeight="1" s="133"/>
    <row r="694" ht="18.75" customFormat="1" customHeight="1" s="133"/>
    <row r="695" ht="18.75" customFormat="1" customHeight="1" s="133"/>
    <row r="696" ht="18.75" customFormat="1" customHeight="1" s="133"/>
    <row r="697" ht="18.75" customFormat="1" customHeight="1" s="133"/>
    <row r="698" ht="18.75" customFormat="1" customHeight="1" s="133"/>
    <row r="699" ht="18.75" customFormat="1" customHeight="1" s="133"/>
    <row r="700" ht="18.75" customFormat="1" customHeight="1" s="133"/>
    <row r="701" ht="18.75" customFormat="1" customHeight="1" s="133"/>
    <row r="702" ht="18.75" customFormat="1" customHeight="1" s="133"/>
    <row r="703" ht="18.75" customFormat="1" customHeight="1" s="133"/>
    <row r="704" ht="18.75" customFormat="1" customHeight="1" s="133"/>
    <row r="705" ht="18.75" customFormat="1" customHeight="1" s="133"/>
    <row r="706" ht="18.75" customFormat="1" customHeight="1" s="133"/>
    <row r="707" ht="18.75" customFormat="1" customHeight="1" s="133"/>
    <row r="708" ht="18.75" customFormat="1" customHeight="1" s="133"/>
    <row r="709" ht="18.75" customFormat="1" customHeight="1" s="133"/>
    <row r="710" ht="18.75" customFormat="1" customHeight="1" s="133"/>
    <row r="711" ht="18.75" customFormat="1" customHeight="1" s="133"/>
    <row r="712" ht="18.75" customFormat="1" customHeight="1" s="133"/>
    <row r="713" ht="18.75" customFormat="1" customHeight="1" s="133"/>
    <row r="714" ht="18.75" customFormat="1" customHeight="1" s="133"/>
    <row r="715" ht="18.75" customFormat="1" customHeight="1" s="133"/>
    <row r="716" ht="18.75" customFormat="1" customHeight="1" s="133"/>
    <row r="717" ht="18.75" customFormat="1" customHeight="1" s="133"/>
    <row r="718" ht="18.75" customFormat="1" customHeight="1" s="133"/>
    <row r="719" ht="18.75" customFormat="1" customHeight="1" s="133"/>
    <row r="720" ht="18.75" customFormat="1" customHeight="1" s="133"/>
    <row r="721" ht="18.75" customFormat="1" customHeight="1" s="133"/>
    <row r="722" ht="18.75" customFormat="1" customHeight="1" s="133"/>
    <row r="723" ht="18.75" customFormat="1" customHeight="1" s="133"/>
    <row r="724" ht="18.75" customFormat="1" customHeight="1" s="133"/>
    <row r="725" ht="18.75" customFormat="1" customHeight="1" s="133"/>
    <row r="726" ht="18.75" customFormat="1" customHeight="1" s="133"/>
    <row r="727" ht="18.75" customFormat="1" customHeight="1" s="133"/>
    <row r="728" ht="18.75" customFormat="1" customHeight="1" s="133"/>
    <row r="729" ht="18.75" customFormat="1" customHeight="1" s="133"/>
    <row r="730" ht="18.75" customFormat="1" customHeight="1" s="133"/>
    <row r="731" ht="18.75" customFormat="1" customHeight="1" s="133"/>
    <row r="732" ht="18.75" customFormat="1" customHeight="1" s="133"/>
    <row r="733" ht="18.75" customFormat="1" customHeight="1" s="133"/>
    <row r="734" ht="18.75" customFormat="1" customHeight="1" s="133"/>
    <row r="735" ht="18.75" customFormat="1" customHeight="1" s="133"/>
    <row r="736" ht="18.75" customFormat="1" customHeight="1" s="133"/>
    <row r="737" ht="18.75" customFormat="1" customHeight="1" s="133"/>
    <row r="738" ht="18.75" customFormat="1" customHeight="1" s="133"/>
    <row r="739" ht="18.75" customFormat="1" customHeight="1" s="133"/>
    <row r="740" ht="18.75" customFormat="1" customHeight="1" s="133"/>
    <row r="741" ht="18.75" customFormat="1" customHeight="1" s="133"/>
    <row r="742" ht="18.75" customFormat="1" customHeight="1" s="133"/>
    <row r="743" ht="18.75" customFormat="1" customHeight="1" s="133"/>
    <row r="744" ht="18.75" customFormat="1" customHeight="1" s="133"/>
    <row r="745" ht="18.75" customFormat="1" customHeight="1" s="133"/>
    <row r="746" ht="18.75" customFormat="1" customHeight="1" s="133"/>
    <row r="747" ht="18.75" customFormat="1" customHeight="1" s="133"/>
    <row r="748" ht="18.75" customFormat="1" customHeight="1" s="133"/>
    <row r="749" ht="18.75" customFormat="1" customHeight="1" s="133"/>
    <row r="750" ht="18.75" customFormat="1" customHeight="1" s="133"/>
    <row r="751" ht="18.75" customFormat="1" customHeight="1" s="133"/>
    <row r="752" ht="18.75" customFormat="1" customHeight="1" s="133"/>
    <row r="753" ht="18.75" customFormat="1" customHeight="1" s="133"/>
    <row r="754" ht="18.75" customFormat="1" customHeight="1" s="133"/>
    <row r="755" ht="18.75" customFormat="1" customHeight="1" s="133"/>
    <row r="756" ht="18.75" customFormat="1" customHeight="1" s="133"/>
    <row r="757" ht="18.75" customFormat="1" customHeight="1" s="133"/>
    <row r="758" ht="18.75" customFormat="1" customHeight="1" s="133"/>
    <row r="759" ht="18.75" customFormat="1" customHeight="1" s="133"/>
    <row r="760" ht="18.75" customFormat="1" customHeight="1" s="133"/>
    <row r="761" ht="18.75" customFormat="1" customHeight="1" s="133"/>
    <row r="762" ht="18.75" customFormat="1" customHeight="1" s="133"/>
    <row r="763" ht="18.75" customFormat="1" customHeight="1" s="133"/>
    <row r="764" ht="18.75" customFormat="1" customHeight="1" s="133"/>
    <row r="765" ht="18.75" customFormat="1" customHeight="1" s="133"/>
    <row r="766" ht="18.75" customFormat="1" customHeight="1" s="133"/>
    <row r="767" ht="18.75" customFormat="1" customHeight="1" s="133"/>
    <row r="768" ht="18.75" customFormat="1" customHeight="1" s="133"/>
    <row r="769" ht="18.75" customFormat="1" customHeight="1" s="133"/>
    <row r="770" ht="18.75" customFormat="1" customHeight="1" s="133"/>
    <row r="771" ht="18.75" customFormat="1" customHeight="1" s="133"/>
    <row r="772" ht="18.75" customFormat="1" customHeight="1" s="133"/>
    <row r="773" ht="18.75" customFormat="1" customHeight="1" s="133"/>
    <row r="774" ht="18.75" customFormat="1" customHeight="1" s="133"/>
    <row r="775" ht="18.75" customFormat="1" customHeight="1" s="133"/>
    <row r="776" ht="18.75" customFormat="1" customHeight="1" s="133"/>
    <row r="777" ht="18.75" customFormat="1" customHeight="1" s="133"/>
    <row r="778" ht="18.75" customFormat="1" customHeight="1" s="133"/>
    <row r="779" ht="18.75" customFormat="1" customHeight="1" s="133"/>
    <row r="780" ht="18.75" customFormat="1" customHeight="1" s="133"/>
    <row r="781" ht="18.75" customFormat="1" customHeight="1" s="133"/>
    <row r="782" ht="18.75" customFormat="1" customHeight="1" s="133"/>
    <row r="783" ht="18.75" customFormat="1" customHeight="1" s="133"/>
    <row r="784" ht="18.75" customFormat="1" customHeight="1" s="133"/>
    <row r="785" ht="18.75" customFormat="1" customHeight="1" s="133"/>
    <row r="786" ht="18.75" customFormat="1" customHeight="1" s="133"/>
    <row r="787" ht="18.75" customFormat="1" customHeight="1" s="133"/>
    <row r="788" ht="18.75" customFormat="1" customHeight="1" s="133"/>
    <row r="789" ht="18.75" customFormat="1" customHeight="1" s="133"/>
    <row r="790" ht="18.75" customFormat="1" customHeight="1" s="133"/>
    <row r="791" ht="18.75" customFormat="1" customHeight="1" s="133"/>
    <row r="792" ht="18.75" customFormat="1" customHeight="1" s="133"/>
    <row r="793" ht="18.75" customFormat="1" customHeight="1" s="133"/>
    <row r="794" ht="18.75" customFormat="1" customHeight="1" s="133"/>
    <row r="795" ht="18.75" customFormat="1" customHeight="1" s="133"/>
    <row r="796" ht="18.75" customFormat="1" customHeight="1" s="133"/>
    <row r="797" ht="18.75" customFormat="1" customHeight="1" s="133"/>
    <row r="798" ht="18.75" customFormat="1" customHeight="1" s="133"/>
    <row r="799" ht="18.75" customFormat="1" customHeight="1" s="133"/>
    <row r="800" ht="18.75" customFormat="1" customHeight="1" s="133"/>
    <row r="801" ht="18.75" customFormat="1" customHeight="1" s="133"/>
    <row r="802" ht="18.75" customFormat="1" customHeight="1" s="133"/>
    <row r="803" ht="18.75" customFormat="1" customHeight="1" s="133"/>
    <row r="804" ht="18.75" customFormat="1" customHeight="1" s="133"/>
    <row r="805" ht="18.75" customFormat="1" customHeight="1" s="133"/>
    <row r="806" ht="18.75" customFormat="1" customHeight="1" s="133"/>
    <row r="807" ht="18.75" customFormat="1" customHeight="1" s="133"/>
    <row r="808" ht="18.75" customFormat="1" customHeight="1" s="133"/>
    <row r="809" ht="18.75" customFormat="1" customHeight="1" s="133"/>
    <row r="810" ht="18.75" customFormat="1" customHeight="1" s="133"/>
    <row r="811" ht="18.75" customFormat="1" customHeight="1" s="133"/>
    <row r="812" ht="18.75" customFormat="1" customHeight="1" s="133"/>
    <row r="813" ht="18.75" customFormat="1" customHeight="1" s="133"/>
    <row r="814" ht="18.75" customFormat="1" customHeight="1" s="133"/>
    <row r="815" ht="18.75" customFormat="1" customHeight="1" s="133"/>
    <row r="816" ht="18.75" customFormat="1" customHeight="1" s="133"/>
    <row r="817" ht="18.75" customFormat="1" customHeight="1" s="133"/>
    <row r="818" ht="18.75" customFormat="1" customHeight="1" s="133"/>
    <row r="819" ht="18.75" customFormat="1" customHeight="1" s="133"/>
    <row r="820" ht="18.75" customFormat="1" customHeight="1" s="133"/>
    <row r="821" ht="18.75" customFormat="1" customHeight="1" s="133"/>
    <row r="822" ht="18.75" customFormat="1" customHeight="1" s="133"/>
    <row r="823" ht="18.75" customFormat="1" customHeight="1" s="133"/>
    <row r="824" ht="18.75" customFormat="1" customHeight="1" s="133"/>
    <row r="825" ht="18.75" customFormat="1" customHeight="1" s="133"/>
    <row r="826" ht="18.75" customFormat="1" customHeight="1" s="133"/>
    <row r="827" ht="18.75" customFormat="1" customHeight="1" s="133"/>
    <row r="828" ht="18.75" customFormat="1" customHeight="1" s="133"/>
    <row r="829" ht="18.75" customFormat="1" customHeight="1" s="133"/>
    <row r="830" ht="18.75" customFormat="1" customHeight="1" s="133"/>
    <row r="831" ht="18.75" customFormat="1" customHeight="1" s="133"/>
    <row r="832" ht="18.75" customFormat="1" customHeight="1" s="133"/>
    <row r="833" ht="18.75" customFormat="1" customHeight="1" s="133"/>
    <row r="834" ht="18.75" customFormat="1" customHeight="1" s="133"/>
    <row r="835" ht="18.75" customFormat="1" customHeight="1" s="133"/>
    <row r="836" ht="18.75" customFormat="1" customHeight="1" s="133"/>
    <row r="837" ht="18.75" customFormat="1" customHeight="1" s="133"/>
    <row r="838" ht="18.75" customFormat="1" customHeight="1" s="133"/>
    <row r="839" ht="18.75" customFormat="1" customHeight="1" s="133"/>
    <row r="840" ht="18.75" customFormat="1" customHeight="1" s="133"/>
    <row r="841" ht="18.75" customFormat="1" customHeight="1" s="133"/>
    <row r="842" ht="18.75" customFormat="1" customHeight="1" s="133"/>
    <row r="843" ht="18.75" customFormat="1" customHeight="1" s="133"/>
    <row r="844" ht="18.75" customFormat="1" customHeight="1" s="133"/>
    <row r="845" ht="18.75" customFormat="1" customHeight="1" s="133"/>
    <row r="846" ht="18.75" customFormat="1" customHeight="1" s="133"/>
    <row r="847" ht="18.75" customFormat="1" customHeight="1" s="133"/>
    <row r="848" ht="18.75" customFormat="1" customHeight="1" s="133"/>
    <row r="849" ht="18.75" customFormat="1" customHeight="1" s="133"/>
    <row r="850" ht="18.75" customFormat="1" customHeight="1" s="133"/>
    <row r="851" ht="18.75" customFormat="1" customHeight="1" s="133"/>
    <row r="852" ht="18.75" customFormat="1" customHeight="1" s="133"/>
    <row r="853" ht="18.75" customFormat="1" customHeight="1" s="133"/>
    <row r="854" ht="18.75" customFormat="1" customHeight="1" s="133"/>
    <row r="855" ht="18.75" customFormat="1" customHeight="1" s="133"/>
    <row r="856" ht="18.75" customFormat="1" customHeight="1" s="133"/>
    <row r="857" ht="18.75" customFormat="1" customHeight="1" s="133"/>
    <row r="858" ht="18.75" customFormat="1" customHeight="1" s="133"/>
    <row r="859" ht="18.75" customFormat="1" customHeight="1" s="133"/>
    <row r="860" ht="18.75" customFormat="1" customHeight="1" s="133"/>
    <row r="861" ht="18.75" customFormat="1" customHeight="1" s="133"/>
    <row r="862" ht="18.75" customFormat="1" customHeight="1" s="133"/>
    <row r="863" ht="18.75" customFormat="1" customHeight="1" s="133"/>
    <row r="864" ht="18.75" customFormat="1" customHeight="1" s="133"/>
    <row r="865" ht="18.75" customFormat="1" customHeight="1" s="133"/>
    <row r="866" ht="18.75" customFormat="1" customHeight="1" s="133"/>
    <row r="867" ht="18.75" customFormat="1" customHeight="1" s="133"/>
    <row r="868" ht="18.75" customFormat="1" customHeight="1" s="133"/>
    <row r="869" ht="18.75" customFormat="1" customHeight="1" s="133"/>
    <row r="870" ht="18.75" customFormat="1" customHeight="1" s="133"/>
    <row r="871" ht="18.75" customFormat="1" customHeight="1" s="133"/>
    <row r="872" ht="18.75" customFormat="1" customHeight="1" s="133"/>
    <row r="873" ht="18.75" customFormat="1" customHeight="1" s="133"/>
    <row r="874" ht="18.75" customFormat="1" customHeight="1" s="133"/>
    <row r="875" ht="18.75" customFormat="1" customHeight="1" s="133"/>
    <row r="876" ht="18.75" customFormat="1" customHeight="1" s="133"/>
    <row r="877" ht="18.75" customFormat="1" customHeight="1" s="133"/>
    <row r="878" ht="18.75" customFormat="1" customHeight="1" s="133"/>
    <row r="879" ht="18.75" customFormat="1" customHeight="1" s="133"/>
    <row r="880" ht="18.75" customFormat="1" customHeight="1" s="133"/>
    <row r="881" ht="18.75" customFormat="1" customHeight="1" s="133"/>
    <row r="882" ht="18.75" customFormat="1" customHeight="1" s="133"/>
    <row r="883" ht="18.75" customFormat="1" customHeight="1" s="133"/>
    <row r="884" ht="18.75" customFormat="1" customHeight="1" s="133"/>
    <row r="885" ht="18.75" customFormat="1" customHeight="1" s="133"/>
    <row r="886" ht="18.75" customFormat="1" customHeight="1" s="133"/>
    <row r="887" ht="18.75" customFormat="1" customHeight="1" s="133"/>
    <row r="888" ht="18.75" customFormat="1" customHeight="1" s="133"/>
    <row r="889" ht="18.75" customFormat="1" customHeight="1" s="133"/>
    <row r="890" ht="18.75" customFormat="1" customHeight="1" s="133"/>
    <row r="891" ht="18.75" customFormat="1" customHeight="1" s="133"/>
    <row r="892" ht="18.75" customFormat="1" customHeight="1" s="133"/>
    <row r="893" ht="18.75" customFormat="1" customHeight="1" s="133"/>
    <row r="894" ht="18.75" customFormat="1" customHeight="1" s="133"/>
    <row r="895" ht="18.75" customFormat="1" customHeight="1" s="133"/>
    <row r="896" ht="18.75" customFormat="1" customHeight="1" s="133"/>
    <row r="897" ht="18.75" customFormat="1" customHeight="1" s="133"/>
    <row r="898" ht="18.75" customFormat="1" customHeight="1" s="133"/>
    <row r="899" ht="18.75" customFormat="1" customHeight="1" s="133"/>
    <row r="900" ht="18.75" customFormat="1" customHeight="1" s="133"/>
    <row r="901" ht="18.75" customFormat="1" customHeight="1" s="133"/>
    <row r="902" ht="18.75" customFormat="1" customHeight="1" s="133"/>
    <row r="903" ht="18.75" customFormat="1" customHeight="1" s="133"/>
    <row r="904" ht="18.75" customFormat="1" customHeight="1" s="133"/>
    <row r="905" ht="18.75" customFormat="1" customHeight="1" s="133"/>
    <row r="906" ht="18.75" customFormat="1" customHeight="1" s="133"/>
    <row r="907" ht="18.75" customFormat="1" customHeight="1" s="133"/>
    <row r="908" ht="18.75" customFormat="1" customHeight="1" s="133"/>
    <row r="909" ht="18.75" customFormat="1" customHeight="1" s="133"/>
    <row r="910" ht="18.75" customFormat="1" customHeight="1" s="133"/>
    <row r="911" ht="18.75" customFormat="1" customHeight="1" s="133"/>
    <row r="912" ht="18.75" customFormat="1" customHeight="1" s="133"/>
    <row r="913" ht="18.75" customFormat="1" customHeight="1" s="133"/>
    <row r="914" ht="18.75" customFormat="1" customHeight="1" s="133"/>
    <row r="915" ht="18.75" customFormat="1" customHeight="1" s="133"/>
    <row r="916" ht="18.75" customFormat="1" customHeight="1" s="133"/>
    <row r="917" ht="18.75" customFormat="1" customHeight="1" s="133"/>
    <row r="918" ht="18.75" customFormat="1" customHeight="1" s="133"/>
    <row r="919" ht="18.75" customFormat="1" customHeight="1" s="133"/>
    <row r="920" ht="18.75" customFormat="1" customHeight="1" s="133"/>
    <row r="921" ht="18.75" customFormat="1" customHeight="1" s="133"/>
    <row r="922" ht="18.75" customFormat="1" customHeight="1" s="133"/>
    <row r="923" ht="18.75" customFormat="1" customHeight="1" s="133"/>
    <row r="924" ht="18.75" customFormat="1" customHeight="1" s="133"/>
    <row r="925" ht="18.75" customFormat="1" customHeight="1" s="133"/>
    <row r="926" ht="18.75" customFormat="1" customHeight="1" s="133"/>
    <row r="927" ht="18.75" customFormat="1" customHeight="1" s="133"/>
    <row r="928" ht="18.75" customFormat="1" customHeight="1" s="133"/>
    <row r="929" ht="18.75" customFormat="1" customHeight="1" s="133"/>
    <row r="930" ht="18.75" customFormat="1" customHeight="1" s="133"/>
    <row r="931" ht="18.75" customFormat="1" customHeight="1" s="133"/>
    <row r="932" ht="18.75" customFormat="1" customHeight="1" s="133"/>
    <row r="933" ht="18.75" customFormat="1" customHeight="1" s="133"/>
    <row r="934" ht="18.75" customFormat="1" customHeight="1" s="133"/>
    <row r="935" ht="18.75" customFormat="1" customHeight="1" s="133"/>
    <row r="936" ht="18.75" customFormat="1" customHeight="1" s="133"/>
    <row r="937" ht="18.75" customFormat="1" customHeight="1" s="133"/>
    <row r="938" ht="18.75" customFormat="1" customHeight="1" s="133"/>
    <row r="939" ht="18.75" customFormat="1" customHeight="1" s="133"/>
    <row r="940" ht="18.75" customFormat="1" customHeight="1" s="133"/>
    <row r="941" ht="18.75" customFormat="1" customHeight="1" s="133"/>
    <row r="942" ht="18.75" customFormat="1" customHeight="1" s="133"/>
    <row r="943" ht="18.75" customFormat="1" customHeight="1" s="133"/>
    <row r="944" ht="18.75" customFormat="1" customHeight="1" s="133"/>
    <row r="945" ht="18.75" customFormat="1" customHeight="1" s="133"/>
    <row r="946" ht="18.75" customFormat="1" customHeight="1" s="133"/>
    <row r="947" ht="18.75" customFormat="1" customHeight="1" s="133"/>
    <row r="948" ht="18.75" customFormat="1" customHeight="1" s="133"/>
    <row r="949" ht="18.75" customFormat="1" customHeight="1" s="133"/>
    <row r="950" ht="18.75" customFormat="1" customHeight="1" s="133"/>
    <row r="951" ht="18.75" customFormat="1" customHeight="1" s="133"/>
    <row r="952" ht="18.75" customFormat="1" customHeight="1" s="133"/>
    <row r="953" ht="18.75" customFormat="1" customHeight="1" s="133"/>
    <row r="954" ht="18.75" customFormat="1" customHeight="1" s="133"/>
    <row r="955" ht="18.75" customFormat="1" customHeight="1" s="133"/>
    <row r="956" ht="18.75" customFormat="1" customHeight="1" s="133"/>
    <row r="957" ht="18.75" customFormat="1" customHeight="1" s="133"/>
    <row r="958" ht="18.75" customFormat="1" customHeight="1" s="133"/>
    <row r="959" ht="18.75" customFormat="1" customHeight="1" s="133"/>
    <row r="960" ht="18.75" customFormat="1" customHeight="1" s="133"/>
    <row r="961" ht="18.75" customFormat="1" customHeight="1" s="133"/>
    <row r="962" ht="18.75" customFormat="1" customHeight="1" s="133"/>
    <row r="963" ht="18.75" customFormat="1" customHeight="1" s="133"/>
    <row r="964" ht="18.75" customFormat="1" customHeight="1" s="133"/>
    <row r="965" ht="18.75" customFormat="1" customHeight="1" s="133"/>
    <row r="966" ht="18.75" customFormat="1" customHeight="1" s="133"/>
    <row r="967" ht="18.75" customFormat="1" customHeight="1" s="133"/>
    <row r="968" ht="18.75" customFormat="1" customHeight="1" s="133"/>
    <row r="969" ht="18.75" customFormat="1" customHeight="1" s="133"/>
    <row r="970" ht="18.75" customFormat="1" customHeight="1" s="133"/>
    <row r="971" ht="18.75" customFormat="1" customHeight="1" s="133"/>
    <row r="972" ht="18.75" customFormat="1" customHeight="1" s="133"/>
    <row r="973" ht="18.75" customFormat="1" customHeight="1" s="133"/>
    <row r="974" ht="18.75" customFormat="1" customHeight="1" s="133"/>
    <row r="975" ht="18.75" customFormat="1" customHeight="1" s="133"/>
    <row r="976" ht="18.75" customFormat="1" customHeight="1" s="133"/>
    <row r="977" ht="18.75" customFormat="1" customHeight="1" s="133"/>
    <row r="978" ht="18.75" customFormat="1" customHeight="1" s="133"/>
    <row r="979" ht="18.75" customFormat="1" customHeight="1" s="133"/>
    <row r="980" ht="18.75" customFormat="1" customHeight="1" s="133"/>
    <row r="981" ht="18.75" customFormat="1" customHeight="1" s="133"/>
    <row r="982" ht="18.75" customFormat="1" customHeight="1" s="133"/>
    <row r="983" ht="18.75" customFormat="1" customHeight="1" s="133"/>
    <row r="984" ht="18.75" customFormat="1" customHeight="1" s="133"/>
    <row r="985" ht="18.75" customFormat="1" customHeight="1" s="133"/>
    <row r="986" ht="18.75" customFormat="1" customHeight="1" s="133"/>
    <row r="987" ht="18.75" customFormat="1" customHeight="1" s="133"/>
    <row r="988" ht="18.75" customFormat="1" customHeight="1" s="133"/>
    <row r="989" ht="18.75" customFormat="1" customHeight="1" s="133"/>
    <row r="990" ht="18.75" customFormat="1" customHeight="1" s="133"/>
    <row r="991" ht="18.75" customFormat="1" customHeight="1" s="133"/>
    <row r="992" ht="18.75" customFormat="1" customHeight="1" s="133"/>
    <row r="993" ht="18.75" customFormat="1" customHeight="1" s="133"/>
    <row r="994" ht="18.75" customFormat="1" customHeight="1" s="133"/>
    <row r="995" ht="18.75" customFormat="1" customHeight="1" s="133"/>
    <row r="996" ht="18.75" customFormat="1" customHeight="1" s="133"/>
    <row r="997" ht="18.75" customFormat="1" customHeight="1" s="133"/>
    <row r="998" ht="18.75" customFormat="1" customHeight="1" s="133"/>
    <row r="999" ht="18.75" customFormat="1" customHeight="1" s="133"/>
    <row r="1000" ht="18.75" customFormat="1" customHeight="1" s="133"/>
    <row r="1001" ht="18.75" customFormat="1" customHeight="1" s="133"/>
    <row r="1002" ht="18.75" customFormat="1" customHeight="1" s="133"/>
    <row r="1003" ht="18.75" customFormat="1" customHeight="1" s="133"/>
    <row r="1004" ht="18.75" customFormat="1" customHeight="1" s="133"/>
    <row r="1005" ht="18.75" customFormat="1" customHeight="1" s="133"/>
  </sheetData>
  <autoFilter ref="A4:I60"/>
  <mergeCells count="2">
    <mergeCell ref="A1:I1"/>
    <mergeCell ref="A2:I2"/>
  </mergeCells>
  <dataValidations count="2">
    <dataValidation sqref="E5:E1005" showDropDown="0" showInputMessage="0" showErrorMessage="1" allowBlank="1" type="list" errorStyle="warning">
      <formula1>"in_scope,interface_only,adjacent_context,excluded,unresolved"</formula1>
      <formula2>0</formula2>
    </dataValidation>
    <dataValidation sqref="H5:H1005" showDropDown="0" showInputMessage="0" showErrorMessage="1" allowBlank="1" type="list" errorStyle="warning">
      <formula1>"unreviewed,candidate,reviewed,approved"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5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" sqref="A1:Q1"/>
    </sheetView>
  </sheetViews>
  <sheetFormatPr baseColWidth="8" defaultColWidth="8.7109375" defaultRowHeight="15"/>
  <cols>
    <col width="15" customWidth="1" style="130" min="1" max="1"/>
    <col width="76" customWidth="1" style="130" min="2" max="2"/>
    <col width="17" customWidth="1" style="130" min="3" max="3"/>
    <col width="18" customWidth="1" style="130" min="4" max="4"/>
    <col width="23" customWidth="1" style="130" min="5" max="6"/>
    <col width="35" customWidth="1" style="130" min="7" max="7"/>
    <col width="22" customWidth="1" style="130" min="8" max="9"/>
    <col width="16" customWidth="1" style="130" min="10" max="11"/>
    <col width="65" customWidth="1" style="130" min="12" max="12"/>
    <col width="30" customWidth="1" style="130" min="13" max="13"/>
    <col width="16" customWidth="1" style="130" min="14" max="14"/>
    <col width="28" customWidth="1" style="130" min="15" max="15"/>
    <col width="24" customWidth="1" style="130" min="16" max="16"/>
    <col width="30" customWidth="1" style="130" min="17" max="17"/>
    <col width="16" customWidth="1" style="130" min="18" max="18"/>
  </cols>
  <sheetData>
    <row r="1" ht="15" customHeight="1" s="130">
      <c r="A1" t="inlineStr">
        <is>
          <t>RFI REGISTER | Authoritative Working RFI Records</t>
        </is>
      </c>
    </row>
    <row r="2" ht="15" customHeight="1" s="130">
      <c r="A2" t="inlineStr">
        <is>
          <t>Persistent RFI IDs; one row per question. Counts use Primary WP ID to avoid double counting. Historical data requires owner review.</t>
        </is>
      </c>
    </row>
    <row r="3" ht="15" customHeight="1" s="130">
      <c r="A3" t="inlineStr">
        <is>
          <t>Statuses: Open / Submitted / Answered / Closed / Cancelled; all except Closed and Cancelled count as open. Blank WP remains Unassigned; do not infer.</t>
        </is>
      </c>
    </row>
    <row r="4" ht="33.75" customHeight="1" s="130">
      <c r="A4" s="52" t="inlineStr">
        <is>
          <t>RFI ID</t>
        </is>
      </c>
      <c r="B4" s="52" t="inlineStr">
        <is>
          <t>Question / Clarification Requested</t>
        </is>
      </c>
      <c r="C4" s="52" t="inlineStr">
        <is>
          <t>Status</t>
        </is>
      </c>
      <c r="D4" s="52" t="inlineStr">
        <is>
          <t>Primary WP ID</t>
        </is>
      </c>
      <c r="E4" s="52" t="inlineStr">
        <is>
          <t>Related WP IDs</t>
        </is>
      </c>
      <c r="F4" s="52" t="inlineStr">
        <is>
          <t>Related Scope IDs</t>
        </is>
      </c>
      <c r="G4" s="52" t="inlineStr">
        <is>
          <t>Source / Document Reference</t>
        </is>
      </c>
      <c r="H4" s="52" t="inlineStr">
        <is>
          <t>Responsible Party</t>
        </is>
      </c>
      <c r="I4" s="52" t="inlineStr">
        <is>
          <t>Requested By</t>
        </is>
      </c>
      <c r="J4" s="52" t="inlineStr">
        <is>
          <t>Date Raised</t>
        </is>
      </c>
      <c r="K4" s="52" t="inlineStr">
        <is>
          <t>Required By</t>
        </is>
      </c>
      <c r="L4" s="52" t="inlineStr">
        <is>
          <t>Response / Decision</t>
        </is>
      </c>
      <c r="M4" s="52" t="inlineStr">
        <is>
          <t>Response Source</t>
        </is>
      </c>
      <c r="N4" s="52" t="inlineStr">
        <is>
          <t>Closed Date</t>
        </is>
      </c>
      <c r="O4" s="52" t="inlineStr">
        <is>
          <t>Review State</t>
        </is>
      </c>
      <c r="P4" s="52" t="inlineStr">
        <is>
          <t>Legacy Reference</t>
        </is>
      </c>
      <c r="Q4" s="52" t="inlineStr">
        <is>
          <t>Remarks</t>
        </is>
      </c>
      <c r="R4" s="19" t="inlineStr">
        <is>
          <t>Blocked? (X)</t>
        </is>
      </c>
    </row>
    <row r="5" ht="45" customHeight="1" s="130">
      <c r="A5" s="53" t="n"/>
      <c r="B5" s="54" t="n"/>
      <c r="C5" s="53" t="n"/>
      <c r="D5" s="53" t="n"/>
      <c r="E5" s="53" t="n"/>
      <c r="F5" s="53" t="n"/>
      <c r="G5" s="53" t="n"/>
      <c r="H5" s="53" t="n"/>
      <c r="I5" s="53" t="n"/>
      <c r="J5" s="55" t="n"/>
      <c r="K5" s="53" t="n"/>
      <c r="L5" s="54" t="n"/>
      <c r="M5" s="53" t="n"/>
      <c r="N5" s="55" t="n"/>
      <c r="O5" s="53" t="n"/>
      <c r="P5" s="53" t="n"/>
      <c r="Q5" s="54" t="n"/>
      <c r="R5" s="50" t="n"/>
    </row>
    <row r="6" ht="45" customHeight="1" s="130">
      <c r="A6" s="53" t="n"/>
      <c r="B6" s="54" t="n"/>
      <c r="C6" s="53" t="n"/>
      <c r="D6" s="53" t="n"/>
      <c r="E6" s="53" t="n"/>
      <c r="F6" s="53" t="n"/>
      <c r="G6" s="53" t="n"/>
      <c r="H6" s="53" t="n"/>
      <c r="I6" s="53" t="n"/>
      <c r="J6" s="55" t="n"/>
      <c r="K6" s="53" t="n"/>
      <c r="L6" s="54" t="n"/>
      <c r="M6" s="53" t="n"/>
      <c r="N6" s="53" t="n"/>
      <c r="O6" s="53" t="n"/>
      <c r="P6" s="53" t="n"/>
      <c r="Q6" s="54" t="n"/>
      <c r="R6" s="50" t="n"/>
    </row>
    <row r="7" ht="45" customHeight="1" s="130">
      <c r="A7" s="53" t="n"/>
      <c r="B7" s="54" t="n"/>
      <c r="C7" s="53" t="n"/>
      <c r="D7" s="53" t="n"/>
      <c r="E7" s="53" t="n"/>
      <c r="F7" s="53" t="n"/>
      <c r="G7" s="53" t="n"/>
      <c r="H7" s="53" t="n"/>
      <c r="I7" s="53" t="n"/>
      <c r="J7" s="55" t="n"/>
      <c r="K7" s="53" t="n"/>
      <c r="L7" s="54" t="n"/>
      <c r="M7" s="53" t="n"/>
      <c r="N7" s="53" t="n"/>
      <c r="O7" s="53" t="n"/>
      <c r="P7" s="53" t="n"/>
      <c r="Q7" s="54" t="n"/>
      <c r="R7" s="50" t="n"/>
    </row>
    <row r="8" ht="45" customHeight="1" s="130">
      <c r="A8" s="53" t="n"/>
      <c r="B8" s="54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4" t="n"/>
      <c r="M8" s="53" t="n"/>
      <c r="N8" s="53" t="n"/>
      <c r="O8" s="53" t="n"/>
      <c r="P8" s="53" t="n"/>
      <c r="Q8" s="54" t="n"/>
      <c r="R8" s="50" t="n"/>
    </row>
    <row r="9" ht="45" customHeight="1" s="130">
      <c r="A9" s="53" t="n"/>
      <c r="B9" s="54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4" t="n"/>
      <c r="M9" s="53" t="n"/>
      <c r="N9" s="53" t="n"/>
      <c r="O9" s="53" t="n"/>
      <c r="P9" s="53" t="n"/>
      <c r="Q9" s="54" t="n"/>
      <c r="R9" s="50" t="n"/>
    </row>
    <row r="10" ht="45" customHeight="1" s="130">
      <c r="A10" s="53" t="n"/>
      <c r="B10" s="54" t="n"/>
      <c r="C10" s="53" t="n"/>
      <c r="D10" s="53" t="n"/>
      <c r="E10" s="53" t="n"/>
      <c r="F10" s="53" t="n"/>
      <c r="G10" s="53" t="n"/>
      <c r="H10" s="53" t="n"/>
      <c r="I10" s="53" t="n"/>
      <c r="J10" s="53" t="n"/>
      <c r="K10" s="53" t="n"/>
      <c r="L10" s="54" t="n"/>
      <c r="M10" s="53" t="n"/>
      <c r="N10" s="53" t="n"/>
      <c r="O10" s="53" t="n"/>
      <c r="P10" s="53" t="n"/>
      <c r="Q10" s="54" t="n"/>
      <c r="R10" s="50" t="n"/>
    </row>
    <row r="11" ht="45" customHeight="1" s="130">
      <c r="A11" s="53" t="n"/>
      <c r="B11" s="54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4" t="n"/>
      <c r="M11" s="53" t="n"/>
      <c r="N11" s="53" t="n"/>
      <c r="O11" s="53" t="n"/>
      <c r="P11" s="53" t="n"/>
      <c r="Q11" s="54" t="n"/>
      <c r="R11" s="50" t="n"/>
    </row>
    <row r="12" ht="15" customHeight="1" s="130">
      <c r="R12" s="50" t="n"/>
    </row>
    <row r="13" ht="15" customHeight="1" s="130">
      <c r="R13" s="50" t="n"/>
    </row>
    <row r="14" ht="15" customHeight="1" s="130">
      <c r="R14" s="50" t="n"/>
    </row>
    <row r="15" ht="15" customHeight="1" s="130">
      <c r="R15" s="50" t="n"/>
    </row>
    <row r="16" ht="15" customHeight="1" s="130">
      <c r="R16" s="50" t="n"/>
    </row>
    <row r="17" ht="15" customHeight="1" s="130">
      <c r="R17" s="50" t="n"/>
    </row>
    <row r="18" ht="15" customHeight="1" s="130">
      <c r="R18" s="50" t="n"/>
    </row>
    <row r="19" ht="15" customHeight="1" s="130">
      <c r="R19" s="50" t="n"/>
    </row>
    <row r="20" ht="15" customHeight="1" s="130">
      <c r="R20" s="50" t="n"/>
    </row>
    <row r="21" ht="15" customHeight="1" s="130">
      <c r="R21" s="50" t="n"/>
    </row>
    <row r="22" ht="15" customHeight="1" s="130">
      <c r="R22" s="50" t="n"/>
    </row>
    <row r="23" ht="15" customHeight="1" s="130">
      <c r="R23" s="50" t="n"/>
    </row>
    <row r="24" ht="15" customHeight="1" s="130">
      <c r="R24" s="50" t="n"/>
    </row>
    <row r="25" ht="15" customHeight="1" s="130">
      <c r="R25" s="50" t="n"/>
    </row>
    <row r="26" ht="15" customHeight="1" s="130">
      <c r="R26" s="50" t="n"/>
    </row>
    <row r="27" ht="15" customHeight="1" s="130">
      <c r="R27" s="50" t="n"/>
    </row>
    <row r="28" ht="15" customHeight="1" s="130">
      <c r="R28" s="50" t="n"/>
    </row>
    <row r="29" ht="15" customHeight="1" s="130">
      <c r="R29" s="50" t="n"/>
    </row>
    <row r="30" ht="15" customHeight="1" s="130">
      <c r="R30" s="50" t="n"/>
    </row>
    <row r="31" ht="15" customHeight="1" s="130">
      <c r="R31" s="50" t="n"/>
    </row>
    <row r="32" ht="15" customHeight="1" s="130">
      <c r="R32" s="50" t="n"/>
    </row>
    <row r="33" ht="15" customHeight="1" s="130">
      <c r="R33" s="50" t="n"/>
    </row>
    <row r="34" ht="15" customHeight="1" s="130">
      <c r="R34" s="50" t="n"/>
    </row>
    <row r="35" ht="15" customHeight="1" s="130">
      <c r="R35" s="50" t="n"/>
    </row>
    <row r="36" ht="15" customHeight="1" s="130">
      <c r="R36" s="50" t="n"/>
    </row>
    <row r="37" ht="15" customHeight="1" s="130">
      <c r="R37" s="50" t="n"/>
    </row>
    <row r="38" ht="15" customHeight="1" s="130">
      <c r="R38" s="50" t="n"/>
    </row>
    <row r="39" ht="15" customHeight="1" s="130">
      <c r="R39" s="50" t="n"/>
    </row>
    <row r="40" ht="15" customHeight="1" s="130">
      <c r="R40" s="50" t="n"/>
    </row>
    <row r="41" ht="15" customHeight="1" s="130">
      <c r="R41" s="50" t="n"/>
    </row>
    <row r="42" ht="15" customHeight="1" s="130">
      <c r="R42" s="50" t="n"/>
    </row>
    <row r="43" ht="15" customHeight="1" s="130">
      <c r="R43" s="50" t="n"/>
    </row>
    <row r="44" ht="15" customHeight="1" s="130">
      <c r="R44" s="50" t="n"/>
    </row>
    <row r="45" ht="15" customHeight="1" s="130">
      <c r="R45" s="50" t="n"/>
    </row>
    <row r="46" ht="15" customHeight="1" s="130">
      <c r="R46" s="50" t="n"/>
    </row>
    <row r="47" ht="15" customHeight="1" s="130">
      <c r="R47" s="50" t="n"/>
    </row>
    <row r="48" ht="15" customHeight="1" s="130">
      <c r="R48" s="50" t="n"/>
    </row>
    <row r="49" ht="15" customHeight="1" s="130">
      <c r="R49" s="50" t="n"/>
    </row>
    <row r="50" ht="15" customHeight="1" s="130">
      <c r="R50" s="50" t="n"/>
    </row>
    <row r="51" ht="15" customHeight="1" s="130">
      <c r="R51" s="50" t="n"/>
    </row>
    <row r="52" ht="15" customHeight="1" s="130">
      <c r="R52" s="50" t="n"/>
    </row>
    <row r="53" ht="15" customHeight="1" s="130">
      <c r="R53" s="50" t="n"/>
    </row>
    <row r="54" ht="15" customHeight="1" s="130">
      <c r="R54" s="50" t="n"/>
    </row>
    <row r="55" ht="15" customHeight="1" s="130">
      <c r="R55" s="50" t="n"/>
    </row>
    <row r="56" ht="15" customHeight="1" s="130">
      <c r="R56" s="50" t="n"/>
    </row>
    <row r="57" ht="15" customHeight="1" s="130">
      <c r="R57" s="50" t="n"/>
    </row>
    <row r="58" ht="15" customHeight="1" s="130">
      <c r="R58" s="50" t="n"/>
    </row>
    <row r="59" ht="15" customHeight="1" s="130">
      <c r="R59" s="50" t="n"/>
    </row>
    <row r="60" ht="15" customHeight="1" s="130">
      <c r="R60" s="50" t="n"/>
    </row>
    <row r="61" ht="15" customHeight="1" s="130">
      <c r="R61" s="50" t="n"/>
    </row>
    <row r="62" ht="15" customHeight="1" s="130">
      <c r="R62" s="50" t="n"/>
    </row>
    <row r="63" ht="15" customHeight="1" s="130">
      <c r="R63" s="50" t="n"/>
    </row>
    <row r="64" ht="15" customHeight="1" s="130">
      <c r="R64" s="50" t="n"/>
    </row>
    <row r="65" ht="15" customHeight="1" s="130">
      <c r="R65" s="50" t="n"/>
    </row>
    <row r="66" ht="15" customHeight="1" s="130">
      <c r="R66" s="50" t="n"/>
    </row>
    <row r="67" ht="15" customHeight="1" s="130">
      <c r="R67" s="50" t="n"/>
    </row>
    <row r="68" ht="15" customHeight="1" s="130">
      <c r="R68" s="50" t="n"/>
    </row>
    <row r="69" ht="15" customHeight="1" s="130">
      <c r="R69" s="50" t="n"/>
    </row>
    <row r="70" ht="15" customHeight="1" s="130">
      <c r="R70" s="50" t="n"/>
    </row>
    <row r="71" ht="15" customHeight="1" s="130">
      <c r="R71" s="50" t="n"/>
    </row>
    <row r="72" ht="15" customHeight="1" s="130">
      <c r="R72" s="50" t="n"/>
    </row>
    <row r="73" ht="15" customHeight="1" s="130">
      <c r="R73" s="50" t="n"/>
    </row>
    <row r="74" ht="15" customHeight="1" s="130">
      <c r="R74" s="50" t="n"/>
    </row>
    <row r="75" ht="15" customHeight="1" s="130">
      <c r="R75" s="50" t="n"/>
    </row>
    <row r="76" ht="15" customHeight="1" s="130">
      <c r="R76" s="50" t="n"/>
    </row>
    <row r="77" ht="15" customHeight="1" s="130">
      <c r="R77" s="50" t="n"/>
    </row>
    <row r="78" ht="15" customHeight="1" s="130">
      <c r="R78" s="50" t="n"/>
    </row>
    <row r="79" ht="15" customHeight="1" s="130">
      <c r="R79" s="50" t="n"/>
    </row>
    <row r="80" ht="15" customHeight="1" s="130">
      <c r="R80" s="50" t="n"/>
    </row>
    <row r="81" ht="15" customHeight="1" s="130">
      <c r="R81" s="50" t="n"/>
    </row>
    <row r="82" ht="15" customHeight="1" s="130">
      <c r="R82" s="50" t="n"/>
    </row>
    <row r="83" ht="15" customHeight="1" s="130">
      <c r="R83" s="50" t="n"/>
    </row>
    <row r="84" ht="15" customHeight="1" s="130">
      <c r="R84" s="50" t="n"/>
    </row>
    <row r="85" ht="15" customHeight="1" s="130">
      <c r="R85" s="50" t="n"/>
    </row>
    <row r="86" ht="15" customHeight="1" s="130">
      <c r="R86" s="50" t="n"/>
    </row>
    <row r="87" ht="15" customHeight="1" s="130">
      <c r="R87" s="50" t="n"/>
    </row>
    <row r="88" ht="15" customHeight="1" s="130">
      <c r="R88" s="50" t="n"/>
    </row>
    <row r="89" ht="15" customHeight="1" s="130">
      <c r="R89" s="50" t="n"/>
    </row>
    <row r="90" ht="15" customHeight="1" s="130">
      <c r="R90" s="50" t="n"/>
    </row>
    <row r="91" ht="15" customHeight="1" s="130">
      <c r="R91" s="50" t="n"/>
    </row>
    <row r="92" ht="15" customHeight="1" s="130">
      <c r="R92" s="50" t="n"/>
    </row>
    <row r="93" ht="15" customHeight="1" s="130">
      <c r="R93" s="50" t="n"/>
    </row>
    <row r="94" ht="15" customHeight="1" s="130">
      <c r="R94" s="50" t="n"/>
    </row>
    <row r="95" ht="15" customHeight="1" s="130">
      <c r="R95" s="50" t="n"/>
    </row>
    <row r="96" ht="15" customHeight="1" s="130">
      <c r="R96" s="50" t="n"/>
    </row>
    <row r="97" ht="15" customHeight="1" s="130">
      <c r="R97" s="50" t="n"/>
    </row>
    <row r="98" ht="15" customHeight="1" s="130">
      <c r="R98" s="50" t="n"/>
    </row>
    <row r="99" ht="15" customHeight="1" s="130">
      <c r="R99" s="50" t="n"/>
    </row>
    <row r="100" ht="15" customHeight="1" s="130">
      <c r="R100" s="50" t="n"/>
    </row>
    <row r="101" ht="15" customHeight="1" s="130">
      <c r="R101" s="50" t="n"/>
    </row>
    <row r="102" ht="15" customHeight="1" s="130">
      <c r="R102" s="50" t="n"/>
    </row>
    <row r="103" ht="15" customHeight="1" s="130">
      <c r="R103" s="50" t="n"/>
    </row>
    <row r="104" ht="15" customHeight="1" s="130">
      <c r="R104" s="50" t="n"/>
    </row>
    <row r="105" ht="15" customHeight="1" s="130">
      <c r="R105" s="50" t="n"/>
    </row>
    <row r="106" ht="15" customHeight="1" s="130">
      <c r="R106" s="50" t="n"/>
    </row>
    <row r="107" ht="15" customHeight="1" s="130">
      <c r="R107" s="50" t="n"/>
    </row>
    <row r="108" ht="15" customHeight="1" s="130">
      <c r="R108" s="50" t="n"/>
    </row>
    <row r="109" ht="15" customHeight="1" s="130">
      <c r="R109" s="50" t="n"/>
    </row>
    <row r="110" ht="15" customHeight="1" s="130">
      <c r="R110" s="50" t="n"/>
    </row>
    <row r="111" ht="15" customHeight="1" s="130">
      <c r="R111" s="50" t="n"/>
    </row>
    <row r="112" ht="15" customHeight="1" s="130">
      <c r="R112" s="50" t="n"/>
    </row>
    <row r="113" ht="15" customHeight="1" s="130">
      <c r="R113" s="50" t="n"/>
    </row>
    <row r="114" ht="15" customHeight="1" s="130">
      <c r="R114" s="50" t="n"/>
    </row>
    <row r="115" ht="15" customHeight="1" s="130">
      <c r="R115" s="50" t="n"/>
    </row>
    <row r="116" ht="15" customHeight="1" s="130">
      <c r="R116" s="50" t="n"/>
    </row>
    <row r="117" ht="15" customHeight="1" s="130">
      <c r="R117" s="50" t="n"/>
    </row>
    <row r="118" ht="15" customHeight="1" s="130">
      <c r="R118" s="50" t="n"/>
    </row>
    <row r="119" ht="15" customHeight="1" s="130">
      <c r="R119" s="50" t="n"/>
    </row>
    <row r="120" ht="15" customHeight="1" s="130">
      <c r="R120" s="50" t="n"/>
    </row>
    <row r="121" ht="15" customHeight="1" s="130">
      <c r="R121" s="50" t="n"/>
    </row>
    <row r="122" ht="15" customHeight="1" s="130">
      <c r="R122" s="50" t="n"/>
    </row>
    <row r="123" ht="15" customHeight="1" s="130">
      <c r="R123" s="50" t="n"/>
    </row>
    <row r="124" ht="15" customHeight="1" s="130">
      <c r="R124" s="50" t="n"/>
    </row>
    <row r="125" ht="15" customHeight="1" s="130">
      <c r="R125" s="50" t="n"/>
    </row>
    <row r="126" ht="15" customHeight="1" s="130">
      <c r="R126" s="50" t="n"/>
    </row>
    <row r="127" ht="15" customHeight="1" s="130">
      <c r="R127" s="50" t="n"/>
    </row>
    <row r="128" ht="15" customHeight="1" s="130">
      <c r="R128" s="50" t="n"/>
    </row>
    <row r="129" ht="15" customHeight="1" s="130">
      <c r="R129" s="50" t="n"/>
    </row>
    <row r="130" ht="15" customHeight="1" s="130">
      <c r="R130" s="50" t="n"/>
    </row>
    <row r="131" ht="15" customHeight="1" s="130">
      <c r="R131" s="50" t="n"/>
    </row>
    <row r="132" ht="15" customHeight="1" s="130">
      <c r="R132" s="50" t="n"/>
    </row>
    <row r="133" ht="15" customHeight="1" s="130">
      <c r="R133" s="50" t="n"/>
    </row>
    <row r="134" ht="15" customHeight="1" s="130">
      <c r="R134" s="50" t="n"/>
    </row>
    <row r="135" ht="15" customHeight="1" s="130">
      <c r="R135" s="50" t="n"/>
    </row>
    <row r="136" ht="15" customHeight="1" s="130">
      <c r="R136" s="50" t="n"/>
    </row>
    <row r="137" ht="15" customHeight="1" s="130">
      <c r="R137" s="50" t="n"/>
    </row>
    <row r="138" ht="15" customHeight="1" s="130">
      <c r="R138" s="50" t="n"/>
    </row>
    <row r="139" ht="15" customHeight="1" s="130">
      <c r="R139" s="50" t="n"/>
    </row>
    <row r="140" ht="15" customHeight="1" s="130">
      <c r="R140" s="50" t="n"/>
    </row>
    <row r="141" ht="15" customHeight="1" s="130">
      <c r="R141" s="50" t="n"/>
    </row>
    <row r="142" ht="15" customHeight="1" s="130">
      <c r="R142" s="50" t="n"/>
    </row>
    <row r="143" ht="15" customHeight="1" s="130">
      <c r="R143" s="50" t="n"/>
    </row>
    <row r="144" ht="15" customHeight="1" s="130">
      <c r="R144" s="50" t="n"/>
    </row>
    <row r="145" ht="15" customHeight="1" s="130">
      <c r="R145" s="50" t="n"/>
    </row>
    <row r="146" ht="15" customHeight="1" s="130">
      <c r="R146" s="50" t="n"/>
    </row>
    <row r="147" ht="15" customHeight="1" s="130">
      <c r="R147" s="50" t="n"/>
    </row>
    <row r="148" ht="15" customHeight="1" s="130">
      <c r="R148" s="50" t="n"/>
    </row>
    <row r="149" ht="15" customHeight="1" s="130">
      <c r="R149" s="50" t="n"/>
    </row>
    <row r="150" ht="15" customHeight="1" s="130">
      <c r="R150" s="50" t="n"/>
    </row>
    <row r="151" ht="15" customHeight="1" s="130">
      <c r="R151" s="50" t="n"/>
    </row>
    <row r="152" ht="15" customHeight="1" s="130">
      <c r="R152" s="50" t="n"/>
    </row>
    <row r="153" ht="15" customHeight="1" s="130">
      <c r="R153" s="50" t="n"/>
    </row>
    <row r="154" ht="15" customHeight="1" s="130">
      <c r="R154" s="50" t="n"/>
    </row>
    <row r="155" ht="15" customHeight="1" s="130">
      <c r="R155" s="50" t="n"/>
    </row>
    <row r="156" ht="15" customHeight="1" s="130">
      <c r="R156" s="50" t="n"/>
    </row>
    <row r="157" ht="15" customHeight="1" s="130">
      <c r="R157" s="50" t="n"/>
    </row>
    <row r="158" ht="15" customHeight="1" s="130">
      <c r="R158" s="50" t="n"/>
    </row>
    <row r="159" ht="15" customHeight="1" s="130">
      <c r="R159" s="50" t="n"/>
    </row>
    <row r="160" ht="15" customHeight="1" s="130">
      <c r="R160" s="50" t="n"/>
    </row>
    <row r="161" ht="15" customHeight="1" s="130">
      <c r="R161" s="50" t="n"/>
    </row>
    <row r="162" ht="15" customHeight="1" s="130">
      <c r="R162" s="50" t="n"/>
    </row>
    <row r="163" ht="15" customHeight="1" s="130">
      <c r="R163" s="50" t="n"/>
    </row>
    <row r="164" ht="15" customHeight="1" s="130">
      <c r="R164" s="50" t="n"/>
    </row>
    <row r="165" ht="15" customHeight="1" s="130">
      <c r="R165" s="50" t="n"/>
    </row>
    <row r="166" ht="15" customHeight="1" s="130">
      <c r="R166" s="50" t="n"/>
    </row>
    <row r="167" ht="15" customHeight="1" s="130">
      <c r="R167" s="50" t="n"/>
    </row>
    <row r="168" ht="15" customHeight="1" s="130">
      <c r="R168" s="50" t="n"/>
    </row>
    <row r="169" ht="15" customHeight="1" s="130">
      <c r="R169" s="50" t="n"/>
    </row>
    <row r="170" ht="15" customHeight="1" s="130">
      <c r="R170" s="50" t="n"/>
    </row>
    <row r="171" ht="15" customHeight="1" s="130">
      <c r="R171" s="50" t="n"/>
    </row>
    <row r="172" ht="15" customHeight="1" s="130">
      <c r="R172" s="50" t="n"/>
    </row>
    <row r="173" ht="15" customHeight="1" s="130">
      <c r="R173" s="50" t="n"/>
    </row>
    <row r="174" ht="15" customHeight="1" s="130">
      <c r="R174" s="50" t="n"/>
    </row>
    <row r="175" ht="15" customHeight="1" s="130">
      <c r="R175" s="50" t="n"/>
    </row>
    <row r="176" ht="15" customHeight="1" s="130">
      <c r="R176" s="50" t="n"/>
    </row>
    <row r="177" ht="15" customHeight="1" s="130">
      <c r="R177" s="50" t="n"/>
    </row>
    <row r="178" ht="15" customHeight="1" s="130">
      <c r="R178" s="50" t="n"/>
    </row>
    <row r="179" ht="15" customHeight="1" s="130">
      <c r="R179" s="50" t="n"/>
    </row>
    <row r="180" ht="15" customHeight="1" s="130">
      <c r="R180" s="50" t="n"/>
    </row>
    <row r="181" ht="15" customHeight="1" s="130">
      <c r="R181" s="50" t="n"/>
    </row>
    <row r="182" ht="15" customHeight="1" s="130">
      <c r="R182" s="50" t="n"/>
    </row>
    <row r="183" ht="15" customHeight="1" s="130">
      <c r="R183" s="50" t="n"/>
    </row>
    <row r="184" ht="15" customHeight="1" s="130">
      <c r="R184" s="50" t="n"/>
    </row>
    <row r="185" ht="15" customHeight="1" s="130">
      <c r="R185" s="50" t="n"/>
    </row>
    <row r="186" ht="15" customHeight="1" s="130">
      <c r="R186" s="50" t="n"/>
    </row>
    <row r="187" ht="15" customHeight="1" s="130">
      <c r="R187" s="50" t="n"/>
    </row>
    <row r="188" ht="15" customHeight="1" s="130">
      <c r="R188" s="50" t="n"/>
    </row>
    <row r="189" ht="15" customHeight="1" s="130">
      <c r="R189" s="50" t="n"/>
    </row>
    <row r="190" ht="15" customHeight="1" s="130">
      <c r="R190" s="50" t="n"/>
    </row>
    <row r="191" ht="15" customHeight="1" s="130">
      <c r="R191" s="50" t="n"/>
    </row>
    <row r="192" ht="15" customHeight="1" s="130">
      <c r="R192" s="50" t="n"/>
    </row>
    <row r="193" ht="15" customHeight="1" s="130">
      <c r="R193" s="50" t="n"/>
    </row>
    <row r="194" ht="15" customHeight="1" s="130">
      <c r="R194" s="50" t="n"/>
    </row>
    <row r="195" ht="15" customHeight="1" s="130">
      <c r="R195" s="50" t="n"/>
    </row>
    <row r="196" ht="15" customHeight="1" s="130">
      <c r="R196" s="50" t="n"/>
    </row>
    <row r="197" ht="15" customHeight="1" s="130">
      <c r="R197" s="50" t="n"/>
    </row>
    <row r="198" ht="15" customHeight="1" s="130">
      <c r="R198" s="50" t="n"/>
    </row>
    <row r="199" ht="15" customHeight="1" s="130">
      <c r="R199" s="50" t="n"/>
    </row>
    <row r="200" ht="15" customHeight="1" s="130">
      <c r="R200" s="50" t="n"/>
    </row>
    <row r="201" ht="15" customHeight="1" s="130">
      <c r="R201" s="50" t="n"/>
    </row>
    <row r="202" ht="15" customHeight="1" s="130">
      <c r="R202" s="50" t="n"/>
    </row>
    <row r="203" ht="15" customHeight="1" s="130">
      <c r="R203" s="50" t="n"/>
    </row>
    <row r="204" ht="15" customHeight="1" s="130">
      <c r="R204" s="50" t="n"/>
    </row>
    <row r="205" ht="15" customHeight="1" s="130">
      <c r="R205" s="50" t="n"/>
    </row>
    <row r="206" ht="15" customHeight="1" s="130">
      <c r="R206" s="50" t="n"/>
    </row>
    <row r="207" ht="15" customHeight="1" s="130">
      <c r="R207" s="50" t="n"/>
    </row>
    <row r="208" ht="15" customHeight="1" s="130">
      <c r="R208" s="50" t="n"/>
    </row>
    <row r="209" ht="15" customHeight="1" s="130">
      <c r="R209" s="50" t="n"/>
    </row>
    <row r="210" ht="15" customHeight="1" s="130">
      <c r="R210" s="50" t="n"/>
    </row>
    <row r="211" ht="15" customHeight="1" s="130">
      <c r="R211" s="50" t="n"/>
    </row>
    <row r="212" ht="15" customHeight="1" s="130">
      <c r="R212" s="50" t="n"/>
    </row>
    <row r="213" ht="15" customHeight="1" s="130">
      <c r="R213" s="50" t="n"/>
    </row>
    <row r="214" ht="15" customHeight="1" s="130">
      <c r="R214" s="50" t="n"/>
    </row>
    <row r="215" ht="15" customHeight="1" s="130">
      <c r="R215" s="50" t="n"/>
    </row>
    <row r="216" ht="15" customHeight="1" s="130">
      <c r="R216" s="50" t="n"/>
    </row>
    <row r="217" ht="15" customHeight="1" s="130">
      <c r="R217" s="50" t="n"/>
    </row>
    <row r="218" ht="15" customHeight="1" s="130">
      <c r="R218" s="50" t="n"/>
    </row>
    <row r="219" ht="15" customHeight="1" s="130">
      <c r="R219" s="50" t="n"/>
    </row>
    <row r="220" ht="15" customHeight="1" s="130">
      <c r="R220" s="50" t="n"/>
    </row>
    <row r="221" ht="15" customHeight="1" s="130">
      <c r="R221" s="50" t="n"/>
    </row>
    <row r="222" ht="15" customHeight="1" s="130">
      <c r="R222" s="50" t="n"/>
    </row>
    <row r="223" ht="15" customHeight="1" s="130">
      <c r="R223" s="50" t="n"/>
    </row>
    <row r="224" ht="15" customHeight="1" s="130">
      <c r="R224" s="50" t="n"/>
    </row>
    <row r="225" ht="15" customHeight="1" s="130">
      <c r="R225" s="50" t="n"/>
    </row>
    <row r="226" ht="15" customHeight="1" s="130">
      <c r="R226" s="50" t="n"/>
    </row>
    <row r="227" ht="15" customHeight="1" s="130">
      <c r="R227" s="50" t="n"/>
    </row>
    <row r="228" ht="15" customHeight="1" s="130">
      <c r="R228" s="50" t="n"/>
    </row>
    <row r="229" ht="15" customHeight="1" s="130">
      <c r="R229" s="50" t="n"/>
    </row>
    <row r="230" ht="15" customHeight="1" s="130">
      <c r="R230" s="50" t="n"/>
    </row>
    <row r="231" ht="15" customHeight="1" s="130">
      <c r="R231" s="50" t="n"/>
    </row>
    <row r="232" ht="15" customHeight="1" s="130">
      <c r="R232" s="50" t="n"/>
    </row>
    <row r="233" ht="15" customHeight="1" s="130">
      <c r="R233" s="50" t="n"/>
    </row>
    <row r="234" ht="15" customHeight="1" s="130">
      <c r="R234" s="50" t="n"/>
    </row>
    <row r="235" ht="15" customHeight="1" s="130">
      <c r="R235" s="50" t="n"/>
    </row>
    <row r="236" ht="15" customHeight="1" s="130">
      <c r="R236" s="50" t="n"/>
    </row>
    <row r="237" ht="15" customHeight="1" s="130">
      <c r="R237" s="50" t="n"/>
    </row>
    <row r="238" ht="15" customHeight="1" s="130">
      <c r="R238" s="50" t="n"/>
    </row>
    <row r="239" ht="15" customHeight="1" s="130">
      <c r="R239" s="50" t="n"/>
    </row>
    <row r="240" ht="15" customHeight="1" s="130">
      <c r="R240" s="50" t="n"/>
    </row>
    <row r="241" ht="15" customHeight="1" s="130">
      <c r="R241" s="50" t="n"/>
    </row>
    <row r="242" ht="15" customHeight="1" s="130">
      <c r="R242" s="50" t="n"/>
    </row>
    <row r="243" ht="15" customHeight="1" s="130">
      <c r="R243" s="50" t="n"/>
    </row>
    <row r="244" ht="15" customHeight="1" s="130">
      <c r="R244" s="50" t="n"/>
    </row>
    <row r="245" ht="15" customHeight="1" s="130">
      <c r="R245" s="50" t="n"/>
    </row>
    <row r="246" ht="15" customHeight="1" s="130">
      <c r="R246" s="50" t="n"/>
    </row>
    <row r="247" ht="15" customHeight="1" s="130">
      <c r="R247" s="50" t="n"/>
    </row>
    <row r="248" ht="15" customHeight="1" s="130">
      <c r="R248" s="50" t="n"/>
    </row>
    <row r="249" ht="15" customHeight="1" s="130">
      <c r="R249" s="50" t="n"/>
    </row>
    <row r="250" ht="15" customHeight="1" s="130">
      <c r="R250" s="50" t="n"/>
    </row>
  </sheetData>
  <autoFilter ref="A4:R250"/>
  <mergeCells count="3">
    <mergeCell ref="A3:Q3"/>
    <mergeCell ref="A2:Q2"/>
    <mergeCell ref="A1:Q1"/>
  </mergeCells>
  <dataValidations count="3">
    <dataValidation sqref="R5:R250" showDropDown="0" showInputMessage="0" showErrorMessage="1" allowBlank="1" errorTitle="Use X or blank" error="Enter X or clear the cell." type="list">
      <formula1>"X"</formula1>
      <formula2>0</formula2>
    </dataValidation>
    <dataValidation sqref="C5:C250" showDropDown="0" showInputMessage="0" showErrorMessage="0" allowBlank="1" type="list">
      <formula1>"Open,Submitted,Answered,Closed,Cancelled"</formula1>
      <formula2>0</formula2>
    </dataValidation>
    <dataValidation sqref="D5:D250" showDropDown="0" showInputMessage="0" showErrorMessage="1" allowBlank="1" error="Work Package IDs are owned by the WORK PACKAGES tab." type="list">
      <formula1>ValidWorkPackageIDs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Q200"/>
  <sheetViews>
    <sheetView tabSelected="1" zoomScaleNormal="100" workbookViewId="0">
      <pane xSplit="2" ySplit="4" topLeftCell="C24" activePane="bottomRight" state="frozen"/>
      <selection pane="topRight" activeCell="C1" sqref="C1"/>
      <selection pane="bottomLeft" activeCell="A5" sqref="A5"/>
      <selection pane="bottomRight" activeCell="C38" sqref="C38"/>
    </sheetView>
  </sheetViews>
  <sheetFormatPr baseColWidth="8" defaultColWidth="8.7109375" defaultRowHeight="15"/>
  <cols>
    <col width="18" customWidth="1" style="130" min="1" max="1"/>
    <col width="22" customWidth="1" style="130" min="2" max="2"/>
    <col width="75" customWidth="1" style="133" min="3" max="3"/>
    <col width="39" customWidth="1" style="130" min="4" max="4"/>
    <col width="24" customWidth="1" style="130" min="5" max="6"/>
    <col width="20" customWidth="1" style="130" min="7" max="7"/>
    <col width="17" customWidth="1" style="130" min="8" max="8"/>
    <col width="16" customWidth="1" style="130" min="9" max="9"/>
    <col width="18" customWidth="1" style="130" min="10" max="11"/>
    <col width="68" customWidth="1" style="133" min="12" max="12"/>
    <col width="22" customWidth="1" style="130" min="13" max="13"/>
    <col width="54" customWidth="1" style="130" min="14" max="14"/>
    <col width="20" customWidth="1" style="130" min="15" max="15"/>
    <col width="27" customWidth="1" style="130" min="16" max="16"/>
    <col width="16" customWidth="1" style="130" min="17" max="17"/>
  </cols>
  <sheetData>
    <row r="1" ht="27.75" customHeight="1" s="130">
      <c r="A1" s="131" t="inlineStr">
        <is>
          <t>ISSUES | Open Items and Findings</t>
        </is>
      </c>
    </row>
    <row r="2" ht="24.75" customHeight="1" s="130">
      <c r="A2" s="129" t="inlineStr">
        <is>
          <t>Technical findings / gaps needing engineering disposition; operational unfinished-work tasks stay in PUNCH LIST; formal client questions stay in RFI REGISTER.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Item ID</t>
        </is>
      </c>
      <c r="B4" s="135" t="inlineStr">
        <is>
          <t>Kind</t>
        </is>
      </c>
      <c r="C4" s="123" t="inlineStr">
        <is>
          <t>Statement</t>
        </is>
      </c>
      <c r="D4" s="135" t="inlineStr">
        <is>
          <t>Affected IDs</t>
        </is>
      </c>
      <c r="E4" s="135" t="inlineStr">
        <is>
          <t>Source IDs</t>
        </is>
      </c>
      <c r="F4" s="135" t="inlineStr">
        <is>
          <t>Owner</t>
        </is>
      </c>
      <c r="G4" s="135" t="inlineStr">
        <is>
          <t>Resolve By</t>
        </is>
      </c>
      <c r="H4" s="135" t="inlineStr">
        <is>
          <t>Status</t>
        </is>
      </c>
      <c r="I4" s="135" t="inlineStr">
        <is>
          <t>Priority</t>
        </is>
      </c>
      <c r="J4" s="135" t="inlineStr">
        <is>
          <t>Opened Date</t>
        </is>
      </c>
      <c r="K4" s="135" t="inlineStr">
        <is>
          <t>Closed Date</t>
        </is>
      </c>
      <c r="L4" s="123" t="inlineStr">
        <is>
          <t>Resolution + Source</t>
        </is>
      </c>
      <c r="M4" s="135" t="inlineStr">
        <is>
          <t>Legacy Reference</t>
        </is>
      </c>
      <c r="N4" s="135" t="inlineStr">
        <is>
          <t>Notes</t>
        </is>
      </c>
      <c r="O4" s="19" t="inlineStr">
        <is>
          <t>Primary Scope ID</t>
        </is>
      </c>
      <c r="P4" s="19" t="inlineStr">
        <is>
          <t>Affected WP IDs</t>
        </is>
      </c>
      <c r="Q4" s="19" t="inlineStr">
        <is>
          <t>Blocked? (X)</t>
        </is>
      </c>
    </row>
    <row r="5" ht="43.5" customHeight="1" s="130">
      <c r="C5" s="133" t="n"/>
      <c r="J5" s="109" t="n"/>
      <c r="L5" s="133" t="n"/>
      <c r="Q5" s="50" t="n"/>
    </row>
    <row r="6" ht="43.5" customHeight="1" s="130">
      <c r="C6" s="133" t="n"/>
      <c r="J6" s="109" t="n"/>
      <c r="Q6" s="50" t="n"/>
    </row>
    <row r="7" ht="43.5" customHeight="1" s="130">
      <c r="C7" s="133" t="n"/>
      <c r="J7" s="109" t="n"/>
      <c r="K7" s="111" t="n"/>
      <c r="L7" s="133" t="n"/>
      <c r="Q7" s="50" t="n"/>
    </row>
    <row r="8" ht="43.5" customHeight="1" s="130">
      <c r="C8" s="133" t="n"/>
      <c r="J8" s="109" t="n"/>
      <c r="Q8" s="50" t="n"/>
    </row>
    <row r="9" ht="43.5" customHeight="1" s="130">
      <c r="C9" s="133" t="n"/>
      <c r="J9" s="109" t="n"/>
      <c r="Q9" s="50" t="n"/>
    </row>
    <row r="10" ht="43.5" customHeight="1" s="130">
      <c r="C10" s="133" t="n"/>
      <c r="J10" s="109" t="n"/>
      <c r="L10" s="133" t="n"/>
      <c r="Q10" s="50" t="n"/>
    </row>
    <row r="11" ht="43.5" customHeight="1" s="130">
      <c r="C11" s="133" t="n"/>
      <c r="J11" s="109" t="n"/>
      <c r="L11" s="133" t="n"/>
      <c r="Q11" s="50" t="n"/>
    </row>
    <row r="12" ht="43.5" customHeight="1" s="130">
      <c r="C12" s="133" t="n"/>
      <c r="J12" s="109" t="n"/>
      <c r="Q12" s="50" t="n"/>
    </row>
    <row r="13" ht="43.5" customHeight="1" s="130">
      <c r="C13" s="133" t="n"/>
      <c r="J13" s="109" t="n"/>
      <c r="L13" s="133" t="n"/>
      <c r="Q13" s="50" t="n"/>
    </row>
    <row r="14" ht="43.5" customHeight="1" s="130">
      <c r="C14" s="133" t="n"/>
      <c r="J14" s="109" t="n"/>
      <c r="L14" s="133" t="n"/>
      <c r="Q14" s="50" t="n"/>
    </row>
    <row r="15" ht="43.5" customHeight="1" s="130">
      <c r="C15" s="133" t="n"/>
      <c r="J15" s="109" t="n"/>
      <c r="K15" s="109" t="n"/>
      <c r="L15" s="133" t="n"/>
      <c r="Q15" s="50" t="n"/>
    </row>
    <row r="16" ht="43.5" customHeight="1" s="130">
      <c r="C16" s="133" t="n"/>
      <c r="J16" s="109" t="n"/>
      <c r="Q16" s="50" t="n"/>
    </row>
    <row r="17" ht="43.5" customHeight="1" s="130">
      <c r="C17" s="133" t="n"/>
      <c r="J17" s="109" t="n"/>
      <c r="Q17" s="50" t="n"/>
    </row>
    <row r="18" ht="43.5" customHeight="1" s="130">
      <c r="C18" s="133" t="n"/>
      <c r="J18" s="109" t="n"/>
      <c r="L18" s="133" t="n"/>
      <c r="Q18" s="50" t="n"/>
    </row>
    <row r="19" ht="43.5" customHeight="1" s="130">
      <c r="C19" s="133" t="n"/>
      <c r="J19" s="109" t="n"/>
      <c r="K19" s="109" t="n"/>
      <c r="L19" s="133" t="n"/>
      <c r="Q19" s="50" t="n"/>
    </row>
    <row r="20" ht="43.5" customHeight="1" s="130">
      <c r="C20" s="133" t="n"/>
      <c r="J20" s="109" t="n"/>
      <c r="Q20" s="50" t="n"/>
    </row>
    <row r="21" ht="43.5" customHeight="1" s="130">
      <c r="C21" s="133" t="n"/>
      <c r="J21" s="109" t="n"/>
      <c r="Q21" s="50" t="n"/>
    </row>
    <row r="22" ht="43.5" customHeight="1" s="130">
      <c r="C22" s="133" t="n"/>
      <c r="J22" s="109" t="n"/>
      <c r="K22" s="111" t="n"/>
      <c r="L22" s="133" t="n"/>
      <c r="Q22" s="50" t="n"/>
    </row>
    <row r="23" ht="43.5" customHeight="1" s="130">
      <c r="C23" s="133" t="n"/>
      <c r="J23" s="109" t="n"/>
      <c r="K23" s="109" t="n"/>
      <c r="L23" s="133" t="n"/>
      <c r="Q23" s="50" t="n"/>
    </row>
    <row r="24" ht="43.5" customHeight="1" s="130">
      <c r="C24" s="133" t="n"/>
      <c r="J24" s="109" t="n"/>
      <c r="L24" s="133" t="n"/>
      <c r="Q24" s="50" t="n"/>
    </row>
    <row r="25" ht="43.5" customHeight="1" s="130">
      <c r="C25" s="133" t="n"/>
      <c r="J25" s="109" t="n"/>
      <c r="K25" s="111" t="n"/>
      <c r="L25" s="133" t="n"/>
      <c r="Q25" s="50" t="n"/>
    </row>
    <row r="26" ht="43.5" customHeight="1" s="130">
      <c r="C26" s="133" t="n"/>
      <c r="J26" s="109" t="n"/>
      <c r="L26" s="133" t="n"/>
      <c r="Q26" s="50" t="n"/>
    </row>
    <row r="27" ht="43.5" customHeight="1" s="130">
      <c r="C27" s="133" t="n"/>
      <c r="J27" s="109" t="n"/>
      <c r="K27" s="111" t="n"/>
      <c r="L27" s="133" t="n"/>
      <c r="Q27" s="50" t="n"/>
    </row>
    <row r="28" ht="43.5" customHeight="1" s="130">
      <c r="C28" s="133" t="n"/>
      <c r="J28" s="109" t="n"/>
      <c r="K28" s="111" t="n"/>
      <c r="L28" s="133" t="n"/>
      <c r="Q28" s="50" t="n"/>
    </row>
    <row r="29" ht="43.5" customHeight="1" s="130">
      <c r="C29" s="133" t="n"/>
      <c r="J29" s="109" t="n"/>
      <c r="K29" s="111" t="n"/>
      <c r="L29" s="133" t="n"/>
      <c r="Q29" s="50" t="n"/>
    </row>
    <row r="30" ht="43.5" customHeight="1" s="130">
      <c r="C30" s="133" t="n"/>
      <c r="J30" s="109" t="n"/>
      <c r="K30" s="111" t="n"/>
      <c r="L30" s="133" t="n"/>
      <c r="Q30" s="50" t="n"/>
    </row>
    <row r="31" ht="43.5" customHeight="1" s="130">
      <c r="C31" s="133" t="n"/>
      <c r="J31" s="109" t="n"/>
      <c r="L31" s="133" t="n"/>
      <c r="Q31" s="50" t="n"/>
    </row>
    <row r="32" ht="43.5" customHeight="1" s="130">
      <c r="C32" s="133" t="n"/>
      <c r="J32" s="109" t="n"/>
      <c r="Q32" s="50" t="n"/>
    </row>
    <row r="33" ht="43.5" customHeight="1" s="130">
      <c r="C33" s="133" t="n"/>
      <c r="J33" s="109" t="n"/>
      <c r="K33" s="111" t="n"/>
      <c r="L33" s="133" t="n"/>
      <c r="Q33" s="50" t="n"/>
    </row>
    <row r="34" ht="43.5" customHeight="1" s="130">
      <c r="C34" s="133" t="n"/>
      <c r="J34" s="109" t="n"/>
      <c r="Q34" s="50" t="n"/>
    </row>
    <row r="35" ht="43.5" customHeight="1" s="130">
      <c r="C35" s="133" t="n"/>
      <c r="J35" s="109" t="n"/>
      <c r="K35" s="109" t="n"/>
      <c r="L35" s="133" t="n"/>
      <c r="Q35" s="50" t="n"/>
    </row>
    <row r="36" ht="43.5" customHeight="1" s="130">
      <c r="C36" s="133" t="n"/>
      <c r="J36" s="109" t="n"/>
      <c r="Q36" s="50" t="n"/>
    </row>
    <row r="37" ht="43.5" customHeight="1" s="130">
      <c r="C37" s="133" t="n"/>
      <c r="J37" s="109" t="n"/>
      <c r="K37" s="111" t="n"/>
      <c r="L37" s="133" t="n"/>
      <c r="Q37" s="50" t="n"/>
    </row>
    <row r="38" ht="43.5" customHeight="1" s="130">
      <c r="C38" s="133" t="n"/>
      <c r="J38" s="109" t="n"/>
      <c r="Q38" s="50" t="n"/>
    </row>
    <row r="39" ht="43.5" customHeight="1" s="130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110" t="n"/>
      <c r="K39" s="54" t="n"/>
      <c r="L39" s="54" t="n"/>
      <c r="M39" s="54" t="n"/>
      <c r="N39" s="54" t="n"/>
      <c r="O39" s="54" t="n"/>
      <c r="P39" s="54" t="n"/>
      <c r="Q39" s="112" t="n"/>
    </row>
    <row r="40" ht="43.5" customHeight="1" s="13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110" t="n"/>
      <c r="K40" s="54" t="n"/>
      <c r="L40" s="54" t="n"/>
      <c r="M40" s="54" t="n"/>
      <c r="N40" s="54" t="n"/>
      <c r="O40" s="54" t="n"/>
      <c r="P40" s="54" t="n"/>
      <c r="Q40" s="112" t="n"/>
    </row>
    <row r="41" ht="43.5" customHeight="1" s="130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110" t="n"/>
      <c r="K41" s="54" t="n"/>
      <c r="L41" s="54" t="n"/>
      <c r="M41" s="54" t="n"/>
      <c r="N41" s="54" t="n"/>
      <c r="O41" s="54" t="n"/>
      <c r="P41" s="54" t="n"/>
      <c r="Q41" s="112" t="n"/>
    </row>
    <row r="42" ht="43.5" customHeight="1" s="130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110" t="n"/>
      <c r="K42" s="54" t="n"/>
      <c r="L42" s="54" t="n"/>
      <c r="M42" s="54" t="n"/>
      <c r="N42" s="54" t="n"/>
      <c r="O42" s="54" t="n"/>
      <c r="P42" s="54" t="n"/>
      <c r="Q42" s="112" t="n"/>
    </row>
    <row r="43" ht="43.5" customHeight="1" s="130">
      <c r="Q43" s="50" t="n"/>
    </row>
    <row r="44" ht="43.5" customHeight="1" s="130">
      <c r="Q44" s="50" t="n"/>
    </row>
    <row r="45" ht="43.5" customHeight="1" s="130">
      <c r="Q45" s="50" t="n"/>
    </row>
    <row r="46" ht="43.5" customHeight="1" s="130">
      <c r="Q46" s="50" t="n"/>
    </row>
    <row r="47" ht="43.5" customHeight="1" s="130">
      <c r="Q47" s="50" t="n"/>
    </row>
    <row r="48" ht="43.5" customHeight="1" s="130">
      <c r="Q48" s="50" t="n"/>
    </row>
    <row r="49" ht="43.5" customHeight="1" s="130">
      <c r="Q49" s="50" t="n"/>
    </row>
    <row r="50" ht="43.5" customHeight="1" s="130">
      <c r="Q50" s="50" t="n"/>
    </row>
    <row r="51" ht="43.5" customHeight="1" s="130">
      <c r="Q51" s="50" t="n"/>
    </row>
    <row r="52" ht="43.5" customHeight="1" s="130">
      <c r="Q52" s="50" t="n"/>
    </row>
    <row r="53" ht="43.5" customHeight="1" s="130">
      <c r="Q53" s="50" t="n"/>
    </row>
    <row r="54" ht="43.5" customHeight="1" s="130">
      <c r="Q54" s="50" t="n"/>
    </row>
    <row r="55" ht="43.5" customHeight="1" s="130">
      <c r="Q55" s="50" t="n"/>
    </row>
    <row r="56" ht="43.5" customHeight="1" s="130">
      <c r="Q56" s="50" t="n"/>
    </row>
    <row r="57" ht="43.5" customHeight="1" s="130">
      <c r="Q57" s="50" t="n"/>
    </row>
    <row r="58" ht="43.5" customHeight="1" s="130">
      <c r="Q58" s="50" t="n"/>
    </row>
    <row r="59" ht="43.5" customHeight="1" s="130">
      <c r="Q59" s="50" t="n"/>
    </row>
    <row r="60" ht="43.5" customHeight="1" s="130">
      <c r="Q60" s="50" t="n"/>
    </row>
    <row r="61" ht="43.5" customHeight="1" s="130">
      <c r="Q61" s="50" t="n"/>
    </row>
    <row r="62" ht="43.5" customHeight="1" s="130">
      <c r="Q62" s="50" t="n"/>
    </row>
    <row r="63" ht="43.5" customHeight="1" s="130">
      <c r="Q63" s="50" t="n"/>
    </row>
    <row r="64" ht="43.5" customHeight="1" s="130">
      <c r="Q64" s="50" t="n"/>
    </row>
    <row r="65" ht="43.5" customHeight="1" s="130">
      <c r="Q65" s="50" t="n"/>
    </row>
    <row r="66" ht="43.5" customHeight="1" s="130">
      <c r="Q66" s="50" t="n"/>
    </row>
    <row r="67" ht="43.5" customHeight="1" s="130">
      <c r="Q67" s="50" t="n"/>
    </row>
    <row r="68" ht="43.5" customHeight="1" s="130">
      <c r="Q68" s="50" t="n"/>
    </row>
    <row r="69" ht="43.5" customHeight="1" s="130">
      <c r="Q69" s="50" t="n"/>
    </row>
    <row r="70" ht="43.5" customHeight="1" s="130">
      <c r="Q70" s="50" t="n"/>
    </row>
    <row r="71" ht="43.5" customHeight="1" s="130">
      <c r="Q71" s="50" t="n"/>
    </row>
    <row r="72" ht="43.5" customHeight="1" s="130">
      <c r="Q72" s="50" t="n"/>
    </row>
    <row r="73" ht="43.5" customHeight="1" s="130">
      <c r="Q73" s="50" t="n"/>
    </row>
    <row r="74" ht="43.5" customHeight="1" s="130">
      <c r="Q74" s="50" t="n"/>
    </row>
    <row r="75" ht="43.5" customHeight="1" s="130">
      <c r="Q75" s="50" t="n"/>
    </row>
    <row r="76" ht="43.5" customHeight="1" s="130">
      <c r="Q76" s="50" t="n"/>
    </row>
    <row r="77" ht="43.5" customHeight="1" s="130">
      <c r="Q77" s="50" t="n"/>
    </row>
    <row r="78" ht="43.5" customHeight="1" s="130">
      <c r="Q78" s="50" t="n"/>
    </row>
    <row r="79" ht="43.5" customHeight="1" s="130">
      <c r="Q79" s="50" t="n"/>
    </row>
    <row r="80" ht="43.5" customHeight="1" s="130">
      <c r="Q80" s="50" t="n"/>
    </row>
    <row r="81" ht="43.5" customHeight="1" s="130">
      <c r="Q81" s="50" t="n"/>
    </row>
    <row r="82" ht="43.5" customHeight="1" s="130">
      <c r="Q82" s="50" t="n"/>
    </row>
    <row r="83" ht="43.5" customHeight="1" s="130">
      <c r="Q83" s="50" t="n"/>
    </row>
    <row r="84" ht="43.5" customHeight="1" s="130">
      <c r="Q84" s="50" t="n"/>
    </row>
    <row r="85" ht="43.5" customHeight="1" s="130">
      <c r="Q85" s="50" t="n"/>
    </row>
    <row r="86" ht="43.5" customHeight="1" s="130">
      <c r="Q86" s="50" t="n"/>
    </row>
    <row r="87" ht="43.5" customHeight="1" s="130">
      <c r="Q87" s="50" t="n"/>
    </row>
    <row r="88" ht="43.5" customHeight="1" s="130">
      <c r="Q88" s="50" t="n"/>
    </row>
    <row r="89" ht="43.5" customHeight="1" s="130">
      <c r="Q89" s="50" t="n"/>
    </row>
    <row r="90" ht="43.5" customHeight="1" s="130">
      <c r="Q90" s="50" t="n"/>
    </row>
    <row r="91" ht="43.5" customHeight="1" s="130">
      <c r="Q91" s="50" t="n"/>
    </row>
    <row r="92" ht="43.5" customHeight="1" s="130">
      <c r="Q92" s="50" t="n"/>
    </row>
    <row r="93" ht="43.5" customHeight="1" s="130">
      <c r="Q93" s="50" t="n"/>
    </row>
    <row r="94" ht="43.5" customHeight="1" s="130">
      <c r="Q94" s="50" t="n"/>
    </row>
    <row r="95" ht="43.5" customHeight="1" s="130">
      <c r="Q95" s="50" t="n"/>
    </row>
    <row r="96" ht="43.5" customHeight="1" s="130">
      <c r="Q96" s="50" t="n"/>
    </row>
    <row r="97" ht="43.5" customHeight="1" s="130">
      <c r="Q97" s="50" t="n"/>
    </row>
    <row r="98" ht="43.5" customHeight="1" s="130">
      <c r="Q98" s="50" t="n"/>
    </row>
    <row r="99" ht="43.5" customHeight="1" s="130">
      <c r="Q99" s="50" t="n"/>
    </row>
    <row r="100" ht="43.5" customHeight="1" s="130">
      <c r="Q100" s="50" t="n"/>
    </row>
    <row r="101" ht="18.75" customHeight="1" s="130">
      <c r="Q101" s="50" t="n"/>
    </row>
    <row r="102" ht="18.75" customHeight="1" s="130">
      <c r="Q102" s="50" t="n"/>
    </row>
    <row r="103" ht="18.75" customHeight="1" s="130">
      <c r="Q103" s="50" t="n"/>
    </row>
    <row r="104" ht="18.75" customHeight="1" s="130">
      <c r="Q104" s="50" t="n"/>
    </row>
    <row r="105" ht="18.75" customHeight="1" s="130">
      <c r="Q105" s="50" t="n"/>
    </row>
    <row r="106" ht="18.75" customHeight="1" s="130">
      <c r="Q106" s="50" t="n"/>
    </row>
    <row r="107" ht="18.75" customHeight="1" s="130">
      <c r="Q107" s="50" t="n"/>
    </row>
    <row r="108" ht="18.75" customHeight="1" s="130">
      <c r="Q108" s="50" t="n"/>
    </row>
    <row r="109" ht="18.75" customHeight="1" s="130">
      <c r="Q109" s="50" t="n"/>
    </row>
    <row r="110" ht="18.75" customHeight="1" s="130">
      <c r="Q110" s="50" t="n"/>
    </row>
    <row r="111" ht="18.75" customHeight="1" s="130">
      <c r="Q111" s="50" t="n"/>
    </row>
    <row r="112" ht="18.75" customHeight="1" s="130">
      <c r="Q112" s="50" t="n"/>
    </row>
    <row r="113" ht="18.75" customHeight="1" s="130">
      <c r="Q113" s="50" t="n"/>
    </row>
    <row r="114" ht="18.75" customHeight="1" s="130">
      <c r="Q114" s="50" t="n"/>
    </row>
    <row r="115" ht="18.75" customHeight="1" s="130">
      <c r="Q115" s="50" t="n"/>
    </row>
    <row r="116" ht="18.75" customHeight="1" s="130">
      <c r="Q116" s="50" t="n"/>
    </row>
    <row r="117" ht="18.75" customHeight="1" s="130">
      <c r="Q117" s="50" t="n"/>
    </row>
    <row r="118" ht="18.75" customHeight="1" s="130">
      <c r="Q118" s="50" t="n"/>
    </row>
    <row r="119" ht="18.75" customHeight="1" s="130">
      <c r="Q119" s="50" t="n"/>
    </row>
    <row r="120" ht="18.75" customHeight="1" s="130">
      <c r="Q120" s="50" t="n"/>
    </row>
    <row r="121" ht="18.75" customHeight="1" s="130">
      <c r="Q121" s="50" t="n"/>
    </row>
    <row r="122" ht="18.75" customHeight="1" s="130">
      <c r="Q122" s="50" t="n"/>
    </row>
    <row r="123" ht="18.75" customHeight="1" s="130">
      <c r="Q123" s="50" t="n"/>
    </row>
    <row r="124" ht="18.75" customHeight="1" s="130">
      <c r="Q124" s="50" t="n"/>
    </row>
    <row r="125" ht="18.75" customHeight="1" s="130">
      <c r="Q125" s="50" t="n"/>
    </row>
    <row r="126" ht="18.75" customHeight="1" s="130">
      <c r="Q126" s="50" t="n"/>
    </row>
    <row r="127" ht="18.75" customHeight="1" s="130">
      <c r="Q127" s="50" t="n"/>
    </row>
    <row r="128" ht="18.75" customHeight="1" s="130">
      <c r="Q128" s="50" t="n"/>
    </row>
    <row r="129" ht="18.75" customHeight="1" s="130">
      <c r="Q129" s="50" t="n"/>
    </row>
    <row r="130" ht="18.75" customHeight="1" s="130">
      <c r="Q130" s="50" t="n"/>
    </row>
    <row r="131" ht="18.75" customHeight="1" s="130">
      <c r="Q131" s="50" t="n"/>
    </row>
    <row r="132" ht="18.75" customHeight="1" s="130">
      <c r="Q132" s="50" t="n"/>
    </row>
    <row r="133" ht="18.75" customHeight="1" s="130">
      <c r="Q133" s="50" t="n"/>
    </row>
    <row r="134" ht="18.75" customHeight="1" s="130">
      <c r="Q134" s="50" t="n"/>
    </row>
    <row r="135" ht="18.75" customHeight="1" s="130">
      <c r="Q135" s="50" t="n"/>
    </row>
    <row r="136" ht="18.75" customHeight="1" s="130">
      <c r="Q136" s="50" t="n"/>
    </row>
    <row r="137" ht="18.75" customHeight="1" s="130">
      <c r="Q137" s="50" t="n"/>
    </row>
    <row r="138" ht="18.75" customHeight="1" s="130">
      <c r="Q138" s="50" t="n"/>
    </row>
    <row r="139" ht="18.75" customHeight="1" s="130">
      <c r="Q139" s="50" t="n"/>
    </row>
    <row r="140" ht="18.75" customHeight="1" s="130">
      <c r="Q140" s="50" t="n"/>
    </row>
    <row r="141" ht="18.75" customHeight="1" s="130">
      <c r="Q141" s="50" t="n"/>
    </row>
    <row r="142" ht="18.75" customHeight="1" s="130">
      <c r="Q142" s="50" t="n"/>
    </row>
    <row r="143" ht="18.75" customHeight="1" s="130">
      <c r="Q143" s="50" t="n"/>
    </row>
    <row r="144" ht="18.75" customHeight="1" s="130">
      <c r="Q144" s="50" t="n"/>
    </row>
    <row r="145" ht="18.75" customHeight="1" s="130">
      <c r="Q145" s="50" t="n"/>
    </row>
    <row r="146" ht="18.75" customHeight="1" s="130">
      <c r="Q146" s="50" t="n"/>
    </row>
    <row r="147" ht="18.75" customHeight="1" s="130">
      <c r="Q147" s="50" t="n"/>
    </row>
    <row r="148" ht="18.75" customHeight="1" s="130">
      <c r="Q148" s="50" t="n"/>
    </row>
    <row r="149" ht="18.75" customHeight="1" s="130">
      <c r="Q149" s="50" t="n"/>
    </row>
    <row r="150" ht="18.75" customHeight="1" s="130">
      <c r="Q150" s="50" t="n"/>
    </row>
    <row r="151" ht="18.75" customHeight="1" s="130">
      <c r="Q151" s="50" t="n"/>
    </row>
    <row r="152" ht="18.75" customHeight="1" s="130">
      <c r="Q152" s="50" t="n"/>
    </row>
    <row r="153" ht="18.75" customHeight="1" s="130">
      <c r="Q153" s="50" t="n"/>
    </row>
    <row r="154" ht="18.75" customHeight="1" s="130">
      <c r="Q154" s="50" t="n"/>
    </row>
    <row r="155" ht="18.75" customHeight="1" s="130">
      <c r="Q155" s="50" t="n"/>
    </row>
    <row r="156" ht="18.75" customHeight="1" s="130">
      <c r="Q156" s="50" t="n"/>
    </row>
    <row r="157" ht="18.75" customHeight="1" s="130">
      <c r="Q157" s="50" t="n"/>
    </row>
    <row r="158" ht="18.75" customHeight="1" s="130">
      <c r="Q158" s="50" t="n"/>
    </row>
    <row r="159" ht="18.75" customHeight="1" s="130">
      <c r="Q159" s="50" t="n"/>
    </row>
    <row r="160" ht="18.75" customHeight="1" s="130">
      <c r="Q160" s="50" t="n"/>
    </row>
    <row r="161" ht="18.75" customHeight="1" s="130">
      <c r="Q161" s="50" t="n"/>
    </row>
    <row r="162" ht="18.75" customHeight="1" s="130">
      <c r="Q162" s="50" t="n"/>
    </row>
    <row r="163" ht="18.75" customHeight="1" s="130">
      <c r="Q163" s="50" t="n"/>
    </row>
    <row r="164" ht="18.75" customHeight="1" s="130">
      <c r="Q164" s="50" t="n"/>
    </row>
    <row r="165" ht="18.75" customHeight="1" s="130">
      <c r="Q165" s="50" t="n"/>
    </row>
    <row r="166" ht="18.75" customHeight="1" s="130">
      <c r="Q166" s="50" t="n"/>
    </row>
    <row r="167" ht="18.75" customHeight="1" s="130">
      <c r="Q167" s="50" t="n"/>
    </row>
    <row r="168" ht="18.75" customHeight="1" s="130">
      <c r="Q168" s="50" t="n"/>
    </row>
    <row r="169" ht="18.75" customHeight="1" s="130">
      <c r="Q169" s="50" t="n"/>
    </row>
    <row r="170" ht="18.75" customHeight="1" s="130">
      <c r="Q170" s="50" t="n"/>
    </row>
    <row r="171" ht="18.75" customHeight="1" s="130">
      <c r="Q171" s="50" t="n"/>
    </row>
    <row r="172" ht="18.75" customHeight="1" s="130">
      <c r="Q172" s="50" t="n"/>
    </row>
    <row r="173" ht="18.75" customHeight="1" s="130">
      <c r="Q173" s="50" t="n"/>
    </row>
    <row r="174" ht="18.75" customHeight="1" s="130">
      <c r="Q174" s="50" t="n"/>
    </row>
    <row r="175" ht="18.75" customHeight="1" s="130">
      <c r="Q175" s="50" t="n"/>
    </row>
    <row r="176" ht="18.75" customHeight="1" s="130">
      <c r="Q176" s="50" t="n"/>
    </row>
    <row r="177" ht="18.75" customHeight="1" s="130">
      <c r="Q177" s="50" t="n"/>
    </row>
    <row r="178" ht="18.75" customHeight="1" s="130">
      <c r="Q178" s="50" t="n"/>
    </row>
    <row r="179" ht="18.75" customHeight="1" s="130">
      <c r="Q179" s="50" t="n"/>
    </row>
    <row r="180" ht="18.75" customHeight="1" s="130">
      <c r="Q180" s="50" t="n"/>
    </row>
    <row r="181" ht="18.75" customHeight="1" s="130">
      <c r="Q181" s="50" t="n"/>
    </row>
    <row r="182" ht="18.75" customHeight="1" s="130">
      <c r="Q182" s="50" t="n"/>
    </row>
    <row r="183" ht="18.75" customHeight="1" s="130">
      <c r="Q183" s="50" t="n"/>
    </row>
    <row r="184" ht="18.75" customHeight="1" s="130">
      <c r="Q184" s="50" t="n"/>
    </row>
    <row r="185" ht="18.75" customHeight="1" s="130">
      <c r="Q185" s="50" t="n"/>
    </row>
    <row r="186" ht="18.75" customHeight="1" s="130">
      <c r="Q186" s="50" t="n"/>
    </row>
    <row r="187" ht="18.75" customHeight="1" s="130">
      <c r="Q187" s="50" t="n"/>
    </row>
    <row r="188" ht="18.75" customHeight="1" s="130">
      <c r="Q188" s="50" t="n"/>
    </row>
    <row r="189" ht="18.75" customHeight="1" s="130">
      <c r="Q189" s="50" t="n"/>
    </row>
    <row r="190" ht="18.75" customHeight="1" s="130">
      <c r="Q190" s="50" t="n"/>
    </row>
    <row r="191" ht="18.75" customHeight="1" s="130">
      <c r="Q191" s="50" t="n"/>
    </row>
    <row r="192" ht="18.75" customHeight="1" s="130">
      <c r="Q192" s="50" t="n"/>
    </row>
    <row r="193" ht="18.75" customHeight="1" s="130">
      <c r="Q193" s="50" t="n"/>
    </row>
    <row r="194" ht="18.75" customHeight="1" s="130">
      <c r="Q194" s="50" t="n"/>
    </row>
    <row r="195" ht="18.75" customHeight="1" s="130">
      <c r="Q195" s="50" t="n"/>
    </row>
    <row r="196" ht="18.75" customHeight="1" s="130">
      <c r="Q196" s="50" t="n"/>
    </row>
    <row r="197" ht="18.75" customHeight="1" s="130">
      <c r="Q197" s="50" t="n"/>
    </row>
    <row r="198" ht="18.75" customHeight="1" s="130">
      <c r="Q198" s="50" t="n"/>
    </row>
    <row r="199" ht="18.75" customHeight="1" s="130">
      <c r="Q199" s="50" t="n"/>
    </row>
    <row r="200" ht="18.75" customHeight="1" s="130">
      <c r="Q200" s="50" t="n"/>
    </row>
    <row r="201" ht="18.75" customHeight="1" s="130"/>
    <row r="202" ht="18.75" customHeight="1" s="130"/>
    <row r="203" ht="18.75" customHeight="1" s="130"/>
    <row r="204" ht="18.75" customHeight="1" s="130"/>
    <row r="205" ht="18.75" customHeight="1" s="130"/>
    <row r="206" ht="18.75" customHeight="1" s="130"/>
    <row r="207" ht="18.75" customHeight="1" s="130"/>
    <row r="208" ht="18.75" customHeight="1" s="130"/>
    <row r="209" ht="18.75" customHeight="1" s="130"/>
    <row r="210" ht="18.75" customHeight="1" s="130"/>
    <row r="211" ht="18.75" customHeight="1" s="130"/>
    <row r="212" ht="18.75" customHeight="1" s="130"/>
    <row r="213" ht="18.75" customHeight="1" s="130"/>
    <row r="214" ht="18.75" customHeight="1" s="130"/>
    <row r="215" ht="18.75" customHeight="1" s="130"/>
    <row r="216" ht="18.75" customHeight="1" s="130"/>
    <row r="217" ht="18.75" customHeight="1" s="130"/>
    <row r="218" ht="18.75" customHeight="1" s="130"/>
    <row r="219" ht="18.75" customHeight="1" s="130"/>
    <row r="220" ht="18.75" customHeight="1" s="130"/>
    <row r="221" ht="18.75" customHeight="1" s="130"/>
    <row r="222" ht="18.75" customHeight="1" s="130"/>
    <row r="223" ht="18.75" customHeight="1" s="130"/>
    <row r="224" ht="18.75" customHeight="1" s="130"/>
    <row r="225" ht="18.75" customHeight="1" s="130"/>
    <row r="226" ht="18.75" customHeight="1" s="130"/>
    <row r="227" ht="18.75" customHeight="1" s="130"/>
    <row r="228" ht="18.75" customHeight="1" s="130"/>
    <row r="229" ht="18.75" customHeight="1" s="130"/>
    <row r="230" ht="18.75" customHeight="1" s="130"/>
    <row r="231" ht="18.75" customHeight="1" s="130"/>
    <row r="232" ht="18.75" customHeight="1" s="130"/>
    <row r="233" ht="18.75" customHeight="1" s="130"/>
    <row r="234" ht="18.75" customHeight="1" s="130"/>
    <row r="235" ht="18.75" customHeight="1" s="130"/>
    <row r="236" ht="18.75" customHeight="1" s="130"/>
    <row r="237" ht="18.75" customHeight="1" s="130"/>
    <row r="238" ht="18.75" customHeight="1" s="130"/>
    <row r="239" ht="18.75" customHeight="1" s="130"/>
    <row r="240" ht="18.75" customHeight="1" s="130"/>
    <row r="241" ht="18.75" customHeight="1" s="130"/>
    <row r="242" ht="18.75" customHeight="1" s="130"/>
    <row r="243" ht="18.75" customHeight="1" s="130"/>
    <row r="244" ht="18.75" customHeight="1" s="130"/>
    <row r="245" ht="18.75" customHeight="1" s="130"/>
    <row r="246" ht="18.75" customHeight="1" s="130"/>
    <row r="247" ht="18.75" customHeight="1" s="130"/>
    <row r="248" ht="18.75" customHeight="1" s="130"/>
    <row r="249" ht="18.75" customHeight="1" s="130"/>
    <row r="250" ht="18.75" customHeight="1" s="130"/>
    <row r="251" ht="18.75" customHeight="1" s="130"/>
    <row r="252" ht="18.75" customHeight="1" s="130"/>
    <row r="253" ht="18.75" customHeight="1" s="130"/>
    <row r="254" ht="18.75" customHeight="1" s="130"/>
    <row r="255" ht="18.75" customHeight="1" s="130"/>
    <row r="256" ht="18.75" customHeight="1" s="130"/>
    <row r="257" ht="18.75" customHeight="1" s="130"/>
    <row r="258" ht="18.75" customHeight="1" s="130"/>
    <row r="259" ht="18.75" customHeight="1" s="130"/>
    <row r="260" ht="18.75" customHeight="1" s="130"/>
    <row r="261" ht="18.75" customHeight="1" s="130"/>
    <row r="262" ht="18.75" customHeight="1" s="130"/>
    <row r="263" ht="18.75" customHeight="1" s="130"/>
    <row r="264" ht="18.75" customHeight="1" s="130"/>
    <row r="265" ht="18.75" customHeight="1" s="130"/>
    <row r="266" ht="18.75" customHeight="1" s="130"/>
    <row r="267" ht="18.75" customHeight="1" s="130"/>
    <row r="268" ht="18.75" customHeight="1" s="130"/>
    <row r="269" ht="18.75" customHeight="1" s="130"/>
    <row r="270" ht="18.75" customHeight="1" s="130"/>
    <row r="271" ht="18.75" customHeight="1" s="130"/>
    <row r="272" ht="18.75" customHeight="1" s="130"/>
    <row r="273" ht="18.75" customHeight="1" s="130"/>
    <row r="274" ht="18.75" customHeight="1" s="130"/>
    <row r="275" ht="18.75" customHeight="1" s="130"/>
    <row r="276" ht="18.75" customHeight="1" s="130"/>
    <row r="277" ht="18.75" customHeight="1" s="130"/>
    <row r="278" ht="18.75" customHeight="1" s="130"/>
    <row r="279" ht="18.75" customHeight="1" s="130"/>
    <row r="280" ht="18.75" customHeight="1" s="130"/>
    <row r="281" ht="18.75" customHeight="1" s="130"/>
    <row r="282" ht="18.75" customHeight="1" s="130"/>
    <row r="283" ht="18.75" customHeight="1" s="130"/>
    <row r="284" ht="18.75" customHeight="1" s="130"/>
    <row r="285" ht="18.75" customHeight="1" s="130"/>
    <row r="286" ht="18.75" customHeight="1" s="130"/>
    <row r="287" ht="18.75" customHeight="1" s="130"/>
    <row r="288" ht="18.75" customHeight="1" s="130"/>
    <row r="289" ht="18.75" customHeight="1" s="130"/>
    <row r="290" ht="18.75" customHeight="1" s="130"/>
    <row r="291" ht="18.75" customHeight="1" s="130"/>
    <row r="292" ht="18.75" customHeight="1" s="130"/>
    <row r="293" ht="18.75" customHeight="1" s="130"/>
    <row r="294" ht="18.75" customHeight="1" s="130"/>
    <row r="295" ht="18.75" customHeight="1" s="130"/>
    <row r="296" ht="18.75" customHeight="1" s="130"/>
    <row r="297" ht="18.75" customHeight="1" s="130"/>
    <row r="298" ht="18.75" customHeight="1" s="130"/>
    <row r="299" ht="18.75" customHeight="1" s="130"/>
    <row r="300" ht="18.75" customHeight="1" s="130"/>
    <row r="301" ht="18.75" customHeight="1" s="130"/>
    <row r="302" ht="18.75" customHeight="1" s="130"/>
    <row r="303" ht="18.75" customHeight="1" s="130"/>
    <row r="304" ht="18.75" customHeight="1" s="130"/>
    <row r="305" ht="18.75" customHeight="1" s="130"/>
    <row r="306" ht="18.75" customHeight="1" s="130"/>
    <row r="307" ht="18.75" customHeight="1" s="130"/>
    <row r="308" ht="18.75" customHeight="1" s="130"/>
    <row r="309" ht="18.75" customHeight="1" s="130"/>
    <row r="310" ht="18.75" customHeight="1" s="130"/>
    <row r="311" ht="18.75" customHeight="1" s="130"/>
    <row r="312" ht="18.75" customHeight="1" s="130"/>
    <row r="313" ht="18.75" customHeight="1" s="130"/>
    <row r="314" ht="18.75" customHeight="1" s="130"/>
    <row r="315" ht="18.75" customHeight="1" s="130"/>
    <row r="316" ht="18.75" customHeight="1" s="130"/>
    <row r="317" ht="18.75" customHeight="1" s="130"/>
    <row r="318" ht="18.75" customHeight="1" s="130"/>
    <row r="319" ht="18.75" customHeight="1" s="130"/>
    <row r="320" ht="18.75" customHeight="1" s="130"/>
    <row r="321" ht="18.75" customHeight="1" s="130"/>
    <row r="322" ht="18.75" customHeight="1" s="130"/>
    <row r="323" ht="18.75" customHeight="1" s="130"/>
    <row r="324" ht="18.75" customHeight="1" s="130"/>
    <row r="325" ht="18.75" customHeight="1" s="130"/>
    <row r="326" ht="18.75" customHeight="1" s="130"/>
    <row r="327" ht="18.75" customHeight="1" s="130"/>
    <row r="328" ht="18.75" customHeight="1" s="130"/>
    <row r="329" ht="18.75" customHeight="1" s="130"/>
    <row r="330" ht="18.75" customHeight="1" s="130"/>
    <row r="331" ht="18.75" customHeight="1" s="130"/>
    <row r="332" ht="18.75" customHeight="1" s="130"/>
    <row r="333" ht="18.75" customHeight="1" s="130"/>
    <row r="334" ht="18.75" customHeight="1" s="130"/>
    <row r="335" ht="18.75" customHeight="1" s="130"/>
    <row r="336" ht="18.75" customHeight="1" s="130"/>
    <row r="337" ht="18.75" customHeight="1" s="130"/>
    <row r="338" ht="18.75" customHeight="1" s="130"/>
    <row r="339" ht="18.75" customHeight="1" s="130"/>
    <row r="340" ht="18.75" customHeight="1" s="130"/>
    <row r="341" ht="18.75" customHeight="1" s="130"/>
    <row r="342" ht="18.75" customHeight="1" s="130"/>
    <row r="343" ht="18.75" customHeight="1" s="130"/>
    <row r="344" ht="18.75" customHeight="1" s="130"/>
    <row r="345" ht="18.75" customHeight="1" s="130"/>
    <row r="346" ht="18.75" customHeight="1" s="130"/>
    <row r="347" ht="18.75" customHeight="1" s="130"/>
    <row r="348" ht="18.75" customHeight="1" s="130"/>
    <row r="349" ht="18.75" customHeight="1" s="130"/>
    <row r="350" ht="18.75" customHeight="1" s="130"/>
    <row r="351" ht="18.75" customHeight="1" s="130"/>
    <row r="352" ht="18.75" customHeight="1" s="130"/>
    <row r="353" ht="18.75" customHeight="1" s="130"/>
    <row r="354" ht="18.75" customHeight="1" s="130"/>
    <row r="355" ht="18.75" customHeight="1" s="130"/>
    <row r="356" ht="18.75" customHeight="1" s="130"/>
    <row r="357" ht="18.75" customHeight="1" s="130"/>
    <row r="358" ht="18.75" customHeight="1" s="130"/>
    <row r="359" ht="18.75" customHeight="1" s="130"/>
    <row r="360" ht="18.75" customHeight="1" s="130"/>
    <row r="361" ht="18.75" customHeight="1" s="130"/>
    <row r="362" ht="18.75" customHeight="1" s="130"/>
    <row r="363" ht="18.75" customHeight="1" s="130"/>
    <row r="364" ht="18.75" customHeight="1" s="130"/>
    <row r="365" ht="18.75" customHeight="1" s="130"/>
    <row r="366" ht="18.75" customHeight="1" s="130"/>
    <row r="367" ht="18.75" customHeight="1" s="130"/>
    <row r="368" ht="18.75" customHeight="1" s="130"/>
    <row r="369" ht="18.75" customHeight="1" s="130"/>
    <row r="370" ht="18.75" customHeight="1" s="130"/>
    <row r="371" ht="18.75" customHeight="1" s="130"/>
    <row r="372" ht="18.75" customHeight="1" s="130"/>
    <row r="373" ht="18.75" customHeight="1" s="130"/>
    <row r="374" ht="18.75" customHeight="1" s="130"/>
    <row r="375" ht="18.75" customHeight="1" s="130"/>
    <row r="376" ht="18.75" customHeight="1" s="130"/>
    <row r="377" ht="18.75" customHeight="1" s="130"/>
    <row r="378" ht="18.75" customHeight="1" s="130"/>
    <row r="379" ht="18.75" customHeight="1" s="130"/>
    <row r="380" ht="18.75" customHeight="1" s="130"/>
    <row r="381" ht="18.75" customHeight="1" s="130"/>
    <row r="382" ht="18.75" customHeight="1" s="130"/>
    <row r="383" ht="18.75" customHeight="1" s="130"/>
    <row r="384" ht="18.75" customHeight="1" s="130"/>
    <row r="385" ht="18.75" customHeight="1" s="130"/>
    <row r="386" ht="18.75" customHeight="1" s="130"/>
    <row r="387" ht="18.75" customHeight="1" s="130"/>
    <row r="388" ht="18.75" customHeight="1" s="130"/>
    <row r="389" ht="18.75" customHeight="1" s="130"/>
    <row r="390" ht="18.75" customHeight="1" s="130"/>
    <row r="391" ht="18.75" customHeight="1" s="130"/>
    <row r="392" ht="18.75" customHeight="1" s="130"/>
    <row r="393" ht="18.75" customHeight="1" s="130"/>
    <row r="394" ht="18.75" customHeight="1" s="130"/>
    <row r="395" ht="18.75" customHeight="1" s="130"/>
    <row r="396" ht="18.75" customHeight="1" s="130"/>
    <row r="397" ht="18.75" customHeight="1" s="130"/>
    <row r="398" ht="18.75" customHeight="1" s="130"/>
    <row r="399" ht="18.75" customHeight="1" s="130"/>
    <row r="400" ht="18.75" customHeight="1" s="130"/>
    <row r="401" ht="18.75" customHeight="1" s="130"/>
    <row r="402" ht="18.75" customHeight="1" s="130"/>
    <row r="403" ht="18.75" customHeight="1" s="130"/>
    <row r="404" ht="18.75" customHeight="1" s="130"/>
    <row r="405" ht="18.75" customHeight="1" s="130"/>
    <row r="406" ht="18.75" customHeight="1" s="130"/>
    <row r="407" ht="18.75" customHeight="1" s="130"/>
    <row r="408" ht="18.75" customHeight="1" s="130"/>
    <row r="409" ht="18.75" customHeight="1" s="130"/>
    <row r="410" ht="18.75" customHeight="1" s="130"/>
    <row r="411" ht="18.75" customHeight="1" s="130"/>
    <row r="412" ht="18.75" customHeight="1" s="130"/>
    <row r="413" ht="18.75" customHeight="1" s="130"/>
    <row r="414" ht="18.75" customHeight="1" s="130"/>
    <row r="415" ht="18.75" customHeight="1" s="130"/>
    <row r="416" ht="18.75" customHeight="1" s="130"/>
    <row r="417" ht="18.75" customHeight="1" s="130"/>
    <row r="418" ht="18.75" customHeight="1" s="130"/>
    <row r="419" ht="18.75" customHeight="1" s="130"/>
    <row r="420" ht="18.75" customHeight="1" s="130"/>
    <row r="421" ht="18.75" customHeight="1" s="130"/>
    <row r="422" ht="18.75" customHeight="1" s="130"/>
    <row r="423" ht="18.75" customHeight="1" s="130"/>
    <row r="424" ht="18.75" customHeight="1" s="130"/>
    <row r="425" ht="18.75" customHeight="1" s="130"/>
    <row r="426" ht="18.75" customHeight="1" s="130"/>
    <row r="427" ht="18.75" customHeight="1" s="130"/>
    <row r="428" ht="18.75" customHeight="1" s="130"/>
    <row r="429" ht="18.75" customHeight="1" s="130"/>
    <row r="430" ht="18.75" customHeight="1" s="130"/>
    <row r="431" ht="18.75" customHeight="1" s="130"/>
    <row r="432" ht="18.75" customHeight="1" s="130"/>
    <row r="433" ht="18.75" customHeight="1" s="130"/>
    <row r="434" ht="18.75" customHeight="1" s="130"/>
    <row r="435" ht="18.75" customHeight="1" s="130"/>
    <row r="436" ht="18.75" customHeight="1" s="130"/>
    <row r="437" ht="18.75" customHeight="1" s="130"/>
    <row r="438" ht="18.75" customHeight="1" s="130"/>
    <row r="439" ht="18.75" customHeight="1" s="130"/>
    <row r="440" ht="18.75" customHeight="1" s="130"/>
    <row r="441" ht="18.75" customHeight="1" s="130"/>
    <row r="442" ht="18.75" customHeight="1" s="130"/>
    <row r="443" ht="18.75" customHeight="1" s="130"/>
    <row r="444" ht="18.75" customHeight="1" s="130"/>
    <row r="445" ht="18.75" customHeight="1" s="130"/>
    <row r="446" ht="18.75" customHeight="1" s="130"/>
    <row r="447" ht="18.75" customHeight="1" s="130"/>
    <row r="448" ht="18.75" customHeight="1" s="130"/>
    <row r="449" ht="18.75" customHeight="1" s="130"/>
    <row r="450" ht="18.75" customHeight="1" s="130"/>
    <row r="451" ht="18.75" customHeight="1" s="130"/>
    <row r="452" ht="18.75" customHeight="1" s="130"/>
    <row r="453" ht="18.75" customHeight="1" s="130"/>
    <row r="454" ht="18.75" customHeight="1" s="130"/>
    <row r="455" ht="18.75" customHeight="1" s="130"/>
    <row r="456" ht="18.75" customHeight="1" s="130"/>
    <row r="457" ht="18.75" customHeight="1" s="130"/>
    <row r="458" ht="18.75" customHeight="1" s="130"/>
    <row r="459" ht="18.75" customHeight="1" s="130"/>
    <row r="460" ht="18.75" customHeight="1" s="130"/>
    <row r="461" ht="18.75" customHeight="1" s="130"/>
    <row r="462" ht="18.75" customHeight="1" s="130"/>
    <row r="463" ht="18.75" customHeight="1" s="130"/>
    <row r="464" ht="18.75" customHeight="1" s="130"/>
    <row r="465" ht="18.75" customHeight="1" s="130"/>
    <row r="466" ht="18.75" customHeight="1" s="130"/>
    <row r="467" ht="18.75" customHeight="1" s="130"/>
    <row r="468" ht="18.75" customHeight="1" s="130"/>
    <row r="469" ht="18.75" customHeight="1" s="130"/>
    <row r="470" ht="18.75" customHeight="1" s="130"/>
    <row r="471" ht="18.75" customHeight="1" s="130"/>
    <row r="472" ht="18.75" customHeight="1" s="130"/>
    <row r="473" ht="18.75" customHeight="1" s="130"/>
    <row r="474" ht="18.75" customHeight="1" s="130"/>
    <row r="475" ht="18.75" customHeight="1" s="130"/>
    <row r="476" ht="18.75" customHeight="1" s="130"/>
    <row r="477" ht="18.75" customHeight="1" s="130"/>
    <row r="478" ht="18.75" customHeight="1" s="130"/>
    <row r="479" ht="18.75" customHeight="1" s="130"/>
    <row r="480" ht="18.75" customHeight="1" s="130"/>
    <row r="481" ht="18.75" customHeight="1" s="130"/>
    <row r="482" ht="18.75" customHeight="1" s="130"/>
    <row r="483" ht="18.75" customHeight="1" s="130"/>
    <row r="484" ht="18.75" customHeight="1" s="130"/>
    <row r="485" ht="18.75" customHeight="1" s="130"/>
    <row r="486" ht="18.75" customHeight="1" s="130"/>
    <row r="487" ht="18.75" customHeight="1" s="130"/>
    <row r="488" ht="18.75" customHeight="1" s="130"/>
    <row r="489" ht="18.75" customHeight="1" s="130"/>
    <row r="490" ht="18.75" customHeight="1" s="130"/>
    <row r="491" ht="18.75" customHeight="1" s="130"/>
    <row r="492" ht="18.75" customHeight="1" s="130"/>
    <row r="493" ht="18.75" customHeight="1" s="130"/>
    <row r="494" ht="18.75" customHeight="1" s="130"/>
    <row r="495" ht="18.75" customHeight="1" s="130"/>
    <row r="496" ht="18.75" customHeight="1" s="130"/>
    <row r="497" ht="18.75" customHeight="1" s="130"/>
    <row r="498" ht="18.75" customHeight="1" s="130"/>
    <row r="499" ht="18.75" customHeight="1" s="130"/>
    <row r="500" ht="18.75" customHeight="1" s="130"/>
    <row r="501" ht="18.75" customHeight="1" s="130"/>
    <row r="502" ht="18.75" customHeight="1" s="130"/>
    <row r="503" ht="18.75" customHeight="1" s="130"/>
    <row r="504" ht="18.75" customHeight="1" s="130"/>
    <row r="505" ht="18.75" customHeight="1" s="130"/>
    <row r="506" ht="18.75" customHeight="1" s="130"/>
    <row r="507" ht="18.75" customHeight="1" s="130"/>
    <row r="508" ht="18.75" customHeight="1" s="130"/>
    <row r="509" ht="18.75" customHeight="1" s="130"/>
    <row r="510" ht="18.75" customHeight="1" s="130"/>
    <row r="511" ht="18.75" customHeight="1" s="130"/>
    <row r="512" ht="18.75" customHeight="1" s="130"/>
    <row r="513" ht="18.75" customHeight="1" s="130"/>
    <row r="514" ht="18.75" customHeight="1" s="130"/>
    <row r="515" ht="18.75" customHeight="1" s="130"/>
    <row r="516" ht="18.75" customHeight="1" s="130"/>
    <row r="517" ht="18.75" customHeight="1" s="130"/>
    <row r="518" ht="18.75" customHeight="1" s="130"/>
    <row r="519" ht="18.75" customHeight="1" s="130"/>
    <row r="520" ht="18.75" customHeight="1" s="130"/>
    <row r="521" ht="18.75" customHeight="1" s="130"/>
    <row r="522" ht="18.75" customHeight="1" s="130"/>
    <row r="523" ht="18.75" customHeight="1" s="130"/>
    <row r="524" ht="18.75" customHeight="1" s="130"/>
    <row r="525" ht="18.75" customHeight="1" s="130"/>
    <row r="526" ht="18.75" customHeight="1" s="130"/>
    <row r="527" ht="18.75" customHeight="1" s="130"/>
    <row r="528" ht="18.75" customHeight="1" s="130"/>
    <row r="529" ht="18.75" customHeight="1" s="130"/>
    <row r="530" ht="18.75" customHeight="1" s="130"/>
    <row r="531" ht="18.75" customHeight="1" s="130"/>
    <row r="532" ht="18.75" customHeight="1" s="130"/>
    <row r="533" ht="18.75" customHeight="1" s="130"/>
    <row r="534" ht="18.75" customHeight="1" s="130"/>
    <row r="535" ht="18.75" customHeight="1" s="130"/>
    <row r="536" ht="18.75" customHeight="1" s="130"/>
    <row r="537" ht="18.75" customHeight="1" s="130"/>
    <row r="538" ht="18.75" customHeight="1" s="130"/>
    <row r="539" ht="18.75" customHeight="1" s="130"/>
    <row r="540" ht="18.75" customHeight="1" s="130"/>
    <row r="541" ht="18.75" customHeight="1" s="130"/>
    <row r="542" ht="18.75" customHeight="1" s="130"/>
    <row r="543" ht="18.75" customHeight="1" s="130"/>
    <row r="544" ht="18.75" customHeight="1" s="130"/>
    <row r="545" ht="18.75" customHeight="1" s="130"/>
    <row r="546" ht="18.75" customHeight="1" s="130"/>
    <row r="547" ht="18.75" customHeight="1" s="130"/>
    <row r="548" ht="18.75" customHeight="1" s="130"/>
    <row r="549" ht="18.75" customHeight="1" s="130"/>
    <row r="550" ht="18.75" customHeight="1" s="130"/>
    <row r="551" ht="18.75" customHeight="1" s="130"/>
    <row r="552" ht="18.75" customHeight="1" s="130"/>
    <row r="553" ht="18.75" customHeight="1" s="130"/>
    <row r="554" ht="18.75" customHeight="1" s="130"/>
    <row r="555" ht="18.75" customHeight="1" s="130"/>
    <row r="556" ht="18.75" customHeight="1" s="130"/>
    <row r="557" ht="18.75" customHeight="1" s="130"/>
    <row r="558" ht="18.75" customHeight="1" s="130"/>
    <row r="559" ht="18.75" customHeight="1" s="130"/>
    <row r="560" ht="18.75" customHeight="1" s="130"/>
    <row r="561" ht="18.75" customHeight="1" s="130"/>
    <row r="562" ht="18.75" customHeight="1" s="130"/>
    <row r="563" ht="18.75" customHeight="1" s="130"/>
    <row r="564" ht="18.75" customHeight="1" s="130"/>
    <row r="565" ht="18.75" customHeight="1" s="130"/>
    <row r="566" ht="18.75" customHeight="1" s="130"/>
    <row r="567" ht="18.75" customHeight="1" s="130"/>
    <row r="568" ht="18.75" customHeight="1" s="130"/>
    <row r="569" ht="18.75" customHeight="1" s="130"/>
    <row r="570" ht="18.75" customHeight="1" s="130"/>
    <row r="571" ht="18.75" customHeight="1" s="130"/>
    <row r="572" ht="18.75" customHeight="1" s="130"/>
    <row r="573" ht="18.75" customHeight="1" s="130"/>
    <row r="574" ht="18.75" customHeight="1" s="130"/>
    <row r="575" ht="18.75" customHeight="1" s="130"/>
    <row r="576" ht="18.75" customHeight="1" s="130"/>
    <row r="577" ht="18.75" customHeight="1" s="130"/>
    <row r="578" ht="18.75" customHeight="1" s="130"/>
    <row r="579" ht="18.75" customHeight="1" s="130"/>
    <row r="580" ht="18.75" customHeight="1" s="130"/>
    <row r="581" ht="18.75" customHeight="1" s="130"/>
    <row r="582" ht="18.75" customHeight="1" s="130"/>
    <row r="583" ht="18.75" customHeight="1" s="130"/>
    <row r="584" ht="18.75" customHeight="1" s="130"/>
    <row r="585" ht="18.75" customHeight="1" s="130"/>
    <row r="586" ht="18.75" customHeight="1" s="130"/>
    <row r="587" ht="18.75" customHeight="1" s="130"/>
    <row r="588" ht="18.75" customHeight="1" s="130"/>
    <row r="589" ht="18.75" customHeight="1" s="130"/>
    <row r="590" ht="18.75" customHeight="1" s="130"/>
    <row r="591" ht="18.75" customHeight="1" s="130"/>
    <row r="592" ht="18.75" customHeight="1" s="130"/>
    <row r="593" ht="18.75" customHeight="1" s="130"/>
    <row r="594" ht="18.75" customHeight="1" s="130"/>
    <row r="595" ht="18.75" customHeight="1" s="130"/>
    <row r="596" ht="18.75" customHeight="1" s="130"/>
    <row r="597" ht="18.75" customHeight="1" s="130"/>
    <row r="598" ht="18.75" customHeight="1" s="130"/>
    <row r="599" ht="18.75" customHeight="1" s="130"/>
    <row r="600" ht="18.75" customHeight="1" s="130"/>
    <row r="601" ht="18.75" customHeight="1" s="130"/>
    <row r="602" ht="18.75" customHeight="1" s="130"/>
    <row r="603" ht="18.75" customHeight="1" s="130"/>
    <row r="604" ht="18.75" customHeight="1" s="130"/>
    <row r="605" ht="18.75" customHeight="1" s="130"/>
    <row r="606" ht="18.75" customHeight="1" s="130"/>
    <row r="607" ht="18.75" customHeight="1" s="130"/>
    <row r="608" ht="18.75" customHeight="1" s="130"/>
    <row r="609" ht="18.75" customHeight="1" s="130"/>
    <row r="610" ht="18.75" customHeight="1" s="130"/>
    <row r="611" ht="18.75" customHeight="1" s="130"/>
    <row r="612" ht="18.75" customHeight="1" s="130"/>
    <row r="613" ht="18.75" customHeight="1" s="130"/>
    <row r="614" ht="18.75" customHeight="1" s="130"/>
    <row r="615" ht="18.75" customHeight="1" s="130"/>
    <row r="616" ht="18.75" customHeight="1" s="130"/>
    <row r="617" ht="18.75" customHeight="1" s="130"/>
    <row r="618" ht="18.75" customHeight="1" s="130"/>
    <row r="619" ht="18.75" customHeight="1" s="130"/>
    <row r="620" ht="18.75" customHeight="1" s="130"/>
    <row r="621" ht="18.75" customHeight="1" s="130"/>
    <row r="622" ht="18.75" customHeight="1" s="130"/>
    <row r="623" ht="18.75" customHeight="1" s="130"/>
    <row r="624" ht="18.75" customHeight="1" s="130"/>
    <row r="625" ht="18.75" customHeight="1" s="130"/>
    <row r="626" ht="18.75" customHeight="1" s="130"/>
    <row r="627" ht="18.75" customHeight="1" s="130"/>
    <row r="628" ht="18.75" customHeight="1" s="130"/>
    <row r="629" ht="18.75" customHeight="1" s="130"/>
    <row r="630" ht="18.75" customHeight="1" s="130"/>
    <row r="631" ht="18.75" customHeight="1" s="130"/>
    <row r="632" ht="18.75" customHeight="1" s="130"/>
    <row r="633" ht="18.75" customHeight="1" s="130"/>
    <row r="634" ht="18.75" customHeight="1" s="130"/>
    <row r="635" ht="18.75" customHeight="1" s="130"/>
    <row r="636" ht="18.75" customHeight="1" s="130"/>
    <row r="637" ht="18.75" customHeight="1" s="130"/>
    <row r="638" ht="18.75" customHeight="1" s="130"/>
    <row r="639" ht="18.75" customHeight="1" s="130"/>
    <row r="640" ht="18.75" customHeight="1" s="130"/>
    <row r="641" ht="18.75" customHeight="1" s="130"/>
    <row r="642" ht="18.75" customHeight="1" s="130"/>
    <row r="643" ht="18.75" customHeight="1" s="130"/>
    <row r="644" ht="18.75" customHeight="1" s="130"/>
    <row r="645" ht="18.75" customHeight="1" s="130"/>
    <row r="646" ht="18.75" customHeight="1" s="130"/>
    <row r="647" ht="18.75" customHeight="1" s="130"/>
    <row r="648" ht="18.75" customHeight="1" s="130"/>
    <row r="649" ht="18.75" customHeight="1" s="130"/>
    <row r="650" ht="18.75" customHeight="1" s="130"/>
    <row r="651" ht="18.75" customHeight="1" s="130"/>
    <row r="652" ht="18.75" customHeight="1" s="130"/>
    <row r="653" ht="18.75" customHeight="1" s="130"/>
    <row r="654" ht="18.75" customHeight="1" s="130"/>
    <row r="655" ht="18.75" customHeight="1" s="130"/>
    <row r="656" ht="18.75" customHeight="1" s="130"/>
    <row r="657" ht="18.75" customHeight="1" s="130"/>
    <row r="658" ht="18.75" customHeight="1" s="130"/>
    <row r="659" ht="18.75" customHeight="1" s="130"/>
    <row r="660" ht="18.75" customHeight="1" s="130"/>
    <row r="661" ht="18.75" customHeight="1" s="130"/>
    <row r="662" ht="18.75" customHeight="1" s="130"/>
    <row r="663" ht="18.75" customHeight="1" s="130"/>
    <row r="664" ht="18.75" customHeight="1" s="130"/>
    <row r="665" ht="18.75" customHeight="1" s="130"/>
    <row r="666" ht="18.75" customHeight="1" s="130"/>
    <row r="667" ht="18.75" customHeight="1" s="130"/>
    <row r="668" ht="18.75" customHeight="1" s="130"/>
    <row r="669" ht="18.75" customHeight="1" s="130"/>
    <row r="670" ht="18.75" customHeight="1" s="130"/>
    <row r="671" ht="18.75" customHeight="1" s="130"/>
    <row r="672" ht="18.75" customHeight="1" s="130"/>
    <row r="673" ht="18.75" customHeight="1" s="130"/>
    <row r="674" ht="18.75" customHeight="1" s="130"/>
    <row r="675" ht="18.75" customHeight="1" s="130"/>
    <row r="676" ht="18.75" customHeight="1" s="130"/>
    <row r="677" ht="18.75" customHeight="1" s="130"/>
    <row r="678" ht="18.75" customHeight="1" s="130"/>
    <row r="679" ht="18.75" customHeight="1" s="130"/>
    <row r="680" ht="18.75" customHeight="1" s="130"/>
    <row r="681" ht="18.75" customHeight="1" s="130"/>
    <row r="682" ht="18.75" customHeight="1" s="130"/>
    <row r="683" ht="18.75" customHeight="1" s="130"/>
    <row r="684" ht="18.75" customHeight="1" s="130"/>
    <row r="685" ht="18.75" customHeight="1" s="130"/>
    <row r="686" ht="18.75" customHeight="1" s="130"/>
    <row r="687" ht="18.75" customHeight="1" s="130"/>
    <row r="688" ht="18.75" customHeight="1" s="130"/>
    <row r="689" ht="18.75" customHeight="1" s="130"/>
    <row r="690" ht="18.75" customHeight="1" s="130"/>
    <row r="691" ht="18.75" customHeight="1" s="130"/>
    <row r="692" ht="18.75" customHeight="1" s="130"/>
    <row r="693" ht="18.75" customHeight="1" s="130"/>
    <row r="694" ht="18.75" customHeight="1" s="130"/>
    <row r="695" ht="18.75" customHeight="1" s="130"/>
    <row r="696" ht="18.75" customHeight="1" s="130"/>
    <row r="697" ht="18.75" customHeight="1" s="130"/>
    <row r="698" ht="18.75" customHeight="1" s="130"/>
    <row r="699" ht="18.75" customHeight="1" s="130"/>
    <row r="700" ht="18.75" customHeight="1" s="130"/>
    <row r="701" ht="18.75" customHeight="1" s="130"/>
    <row r="702" ht="18.75" customHeight="1" s="130"/>
    <row r="703" ht="18.75" customHeight="1" s="130"/>
    <row r="704" ht="18.75" customHeight="1" s="130"/>
    <row r="705" ht="18.75" customHeight="1" s="130"/>
    <row r="706" ht="18.75" customHeight="1" s="130"/>
    <row r="707" ht="18.75" customHeight="1" s="130"/>
    <row r="708" ht="18.75" customHeight="1" s="130"/>
    <row r="709" ht="18.75" customHeight="1" s="130"/>
    <row r="710" ht="18.75" customHeight="1" s="130"/>
    <row r="711" ht="18.75" customHeight="1" s="130"/>
    <row r="712" ht="18.75" customHeight="1" s="130"/>
    <row r="713" ht="18.75" customHeight="1" s="130"/>
    <row r="714" ht="18.75" customHeight="1" s="130"/>
    <row r="715" ht="18.75" customHeight="1" s="130"/>
    <row r="716" ht="18.75" customHeight="1" s="130"/>
    <row r="717" ht="18.75" customHeight="1" s="130"/>
    <row r="718" ht="18.75" customHeight="1" s="130"/>
    <row r="719" ht="18.75" customHeight="1" s="130"/>
    <row r="720" ht="18.75" customHeight="1" s="130"/>
    <row r="721" ht="18.75" customHeight="1" s="130"/>
    <row r="722" ht="18.75" customHeight="1" s="130"/>
    <row r="723" ht="18.75" customHeight="1" s="130"/>
    <row r="724" ht="18.75" customHeight="1" s="130"/>
    <row r="725" ht="18.75" customHeight="1" s="130"/>
    <row r="726" ht="18.75" customHeight="1" s="130"/>
    <row r="727" ht="18.75" customHeight="1" s="130"/>
    <row r="728" ht="18.75" customHeight="1" s="130"/>
    <row r="729" ht="18.75" customHeight="1" s="130"/>
    <row r="730" ht="18.75" customHeight="1" s="130"/>
    <row r="731" ht="18.75" customHeight="1" s="130"/>
    <row r="732" ht="18.75" customHeight="1" s="130"/>
    <row r="733" ht="18.75" customHeight="1" s="130"/>
    <row r="734" ht="18.75" customHeight="1" s="130"/>
    <row r="735" ht="18.75" customHeight="1" s="130"/>
    <row r="736" ht="18.75" customHeight="1" s="130"/>
    <row r="737" ht="18.75" customHeight="1" s="130"/>
    <row r="738" ht="18.75" customHeight="1" s="130"/>
    <row r="739" ht="18.75" customHeight="1" s="130"/>
    <row r="740" ht="18.75" customHeight="1" s="130"/>
    <row r="741" ht="18.75" customHeight="1" s="130"/>
    <row r="742" ht="18.75" customHeight="1" s="130"/>
    <row r="743" ht="18.75" customHeight="1" s="130"/>
    <row r="744" ht="18.75" customHeight="1" s="130"/>
    <row r="745" ht="18.75" customHeight="1" s="130"/>
    <row r="746" ht="18.75" customHeight="1" s="130"/>
    <row r="747" ht="18.75" customHeight="1" s="130"/>
    <row r="748" ht="18.75" customHeight="1" s="130"/>
    <row r="749" ht="18.75" customHeight="1" s="130"/>
    <row r="750" ht="18.75" customHeight="1" s="130"/>
    <row r="751" ht="18.75" customHeight="1" s="130"/>
    <row r="752" ht="18.75" customHeight="1" s="130"/>
    <row r="753" ht="18.75" customHeight="1" s="130"/>
    <row r="754" ht="18.75" customHeight="1" s="130"/>
    <row r="755" ht="18.75" customHeight="1" s="130"/>
    <row r="756" ht="18.75" customHeight="1" s="130"/>
    <row r="757" ht="18.75" customHeight="1" s="130"/>
    <row r="758" ht="18.75" customHeight="1" s="130"/>
    <row r="759" ht="18.75" customHeight="1" s="130"/>
    <row r="760" ht="18.75" customHeight="1" s="130"/>
    <row r="761" ht="18.75" customHeight="1" s="130"/>
    <row r="762" ht="18.75" customHeight="1" s="130"/>
    <row r="763" ht="18.75" customHeight="1" s="130"/>
    <row r="764" ht="18.75" customHeight="1" s="130"/>
    <row r="765" ht="18.75" customHeight="1" s="130"/>
    <row r="766" ht="18.75" customHeight="1" s="130"/>
    <row r="767" ht="18.75" customHeight="1" s="130"/>
    <row r="768" ht="18.75" customHeight="1" s="130"/>
    <row r="769" ht="18.75" customHeight="1" s="130"/>
    <row r="770" ht="18.75" customHeight="1" s="130"/>
    <row r="771" ht="18.75" customHeight="1" s="130"/>
    <row r="772" ht="18.75" customHeight="1" s="130"/>
    <row r="773" ht="18.75" customHeight="1" s="130"/>
    <row r="774" ht="18.75" customHeight="1" s="130"/>
    <row r="775" ht="18.75" customHeight="1" s="130"/>
    <row r="776" ht="18.75" customHeight="1" s="130"/>
    <row r="777" ht="18.75" customHeight="1" s="130"/>
    <row r="778" ht="18.75" customHeight="1" s="130"/>
    <row r="779" ht="18.75" customHeight="1" s="130"/>
    <row r="780" ht="18.75" customHeight="1" s="130"/>
    <row r="781" ht="18.75" customHeight="1" s="130"/>
    <row r="782" ht="18.75" customHeight="1" s="130"/>
    <row r="783" ht="18.75" customHeight="1" s="130"/>
    <row r="784" ht="18.75" customHeight="1" s="130"/>
    <row r="785" ht="18.75" customHeight="1" s="130"/>
    <row r="786" ht="18.75" customHeight="1" s="130"/>
    <row r="787" ht="18.75" customHeight="1" s="130"/>
    <row r="788" ht="18.75" customHeight="1" s="130"/>
    <row r="789" ht="18.75" customHeight="1" s="130"/>
    <row r="790" ht="18.75" customHeight="1" s="130"/>
    <row r="791" ht="18.75" customHeight="1" s="130"/>
    <row r="792" ht="18.75" customHeight="1" s="130"/>
    <row r="793" ht="18.75" customHeight="1" s="130"/>
    <row r="794" ht="18.75" customHeight="1" s="130"/>
    <row r="795" ht="18.75" customHeight="1" s="130"/>
    <row r="796" ht="18.75" customHeight="1" s="130"/>
    <row r="797" ht="18.75" customHeight="1" s="130"/>
    <row r="798" ht="18.75" customHeight="1" s="130"/>
    <row r="799" ht="18.75" customHeight="1" s="130"/>
    <row r="800" ht="18.75" customHeight="1" s="130"/>
    <row r="801" ht="18.75" customHeight="1" s="130"/>
    <row r="802" ht="18.75" customHeight="1" s="130"/>
    <row r="803" ht="18.75" customHeight="1" s="130"/>
    <row r="804" ht="18.75" customHeight="1" s="130"/>
    <row r="805" ht="18.75" customHeight="1" s="130"/>
    <row r="806" ht="18.75" customHeight="1" s="130"/>
    <row r="807" ht="18.75" customHeight="1" s="130"/>
    <row r="808" ht="18.75" customHeight="1" s="130"/>
    <row r="809" ht="18.75" customHeight="1" s="130"/>
    <row r="810" ht="18.75" customHeight="1" s="130"/>
    <row r="811" ht="18.75" customHeight="1" s="130"/>
    <row r="812" ht="18.75" customHeight="1" s="130"/>
    <row r="813" ht="18.75" customHeight="1" s="130"/>
    <row r="814" ht="18.75" customHeight="1" s="130"/>
    <row r="815" ht="18.75" customHeight="1" s="130"/>
    <row r="816" ht="18.75" customHeight="1" s="130"/>
    <row r="817" ht="18.75" customHeight="1" s="130"/>
    <row r="818" ht="18.75" customHeight="1" s="130"/>
    <row r="819" ht="18.75" customHeight="1" s="130"/>
    <row r="820" ht="18.75" customHeight="1" s="130"/>
    <row r="821" ht="18.75" customHeight="1" s="130"/>
    <row r="822" ht="18.75" customHeight="1" s="130"/>
    <row r="823" ht="18.75" customHeight="1" s="130"/>
    <row r="824" ht="18.75" customHeight="1" s="130"/>
    <row r="825" ht="18.75" customHeight="1" s="130"/>
    <row r="826" ht="18.75" customHeight="1" s="130"/>
    <row r="827" ht="18.75" customHeight="1" s="130"/>
    <row r="828" ht="18.75" customHeight="1" s="130"/>
    <row r="829" ht="18.75" customHeight="1" s="130"/>
    <row r="830" ht="18.75" customHeight="1" s="130"/>
    <row r="831" ht="18.75" customHeight="1" s="130"/>
    <row r="832" ht="18.75" customHeight="1" s="130"/>
    <row r="833" ht="18.75" customHeight="1" s="130"/>
    <row r="834" ht="18.75" customHeight="1" s="130"/>
    <row r="835" ht="18.75" customHeight="1" s="130"/>
    <row r="836" ht="18.75" customHeight="1" s="130"/>
    <row r="837" ht="18.75" customHeight="1" s="130"/>
    <row r="838" ht="18.75" customHeight="1" s="130"/>
    <row r="839" ht="18.75" customHeight="1" s="130"/>
    <row r="840" ht="18.75" customHeight="1" s="130"/>
    <row r="841" ht="18.75" customHeight="1" s="130"/>
    <row r="842" ht="18.75" customHeight="1" s="130"/>
    <row r="843" ht="18.75" customHeight="1" s="130"/>
    <row r="844" ht="18.75" customHeight="1" s="130"/>
    <row r="845" ht="18.75" customHeight="1" s="130"/>
    <row r="846" ht="18.75" customHeight="1" s="130"/>
    <row r="847" ht="18.75" customHeight="1" s="130"/>
    <row r="848" ht="18.75" customHeight="1" s="130"/>
    <row r="849" ht="18.75" customHeight="1" s="130"/>
    <row r="850" ht="18.75" customHeight="1" s="130"/>
    <row r="851" ht="18.75" customHeight="1" s="130"/>
    <row r="852" ht="18.75" customHeight="1" s="130"/>
    <row r="853" ht="18.75" customHeight="1" s="130"/>
    <row r="854" ht="18.75" customHeight="1" s="130"/>
    <row r="855" ht="18.75" customHeight="1" s="130"/>
    <row r="856" ht="18.75" customHeight="1" s="130"/>
    <row r="857" ht="18.75" customHeight="1" s="130"/>
    <row r="858" ht="18.75" customHeight="1" s="130"/>
    <row r="859" ht="18.75" customHeight="1" s="130"/>
    <row r="860" ht="18.75" customHeight="1" s="130"/>
    <row r="861" ht="18.75" customHeight="1" s="130"/>
    <row r="862" ht="18.75" customHeight="1" s="130"/>
    <row r="863" ht="18.75" customHeight="1" s="130"/>
    <row r="864" ht="18.75" customHeight="1" s="130"/>
    <row r="865" ht="18.75" customHeight="1" s="130"/>
    <row r="866" ht="18.75" customHeight="1" s="130"/>
    <row r="867" ht="18.75" customHeight="1" s="130"/>
    <row r="868" ht="18.75" customHeight="1" s="130"/>
    <row r="869" ht="18.75" customHeight="1" s="130"/>
    <row r="870" ht="18.75" customHeight="1" s="130"/>
    <row r="871" ht="18.75" customHeight="1" s="130"/>
    <row r="872" ht="18.75" customHeight="1" s="130"/>
    <row r="873" ht="18.75" customHeight="1" s="130"/>
    <row r="874" ht="18.75" customHeight="1" s="130"/>
    <row r="875" ht="18.75" customHeight="1" s="130"/>
    <row r="876" ht="18.75" customHeight="1" s="130"/>
    <row r="877" ht="18.75" customHeight="1" s="130"/>
    <row r="878" ht="18.75" customHeight="1" s="130"/>
    <row r="879" ht="18.75" customHeight="1" s="130"/>
    <row r="880" ht="18.75" customHeight="1" s="130"/>
    <row r="881" ht="18.75" customHeight="1" s="130"/>
    <row r="882" ht="18.75" customHeight="1" s="130"/>
    <row r="883" ht="18.75" customHeight="1" s="130"/>
    <row r="884" ht="18.75" customHeight="1" s="130"/>
    <row r="885" ht="18.75" customHeight="1" s="130"/>
    <row r="886" ht="18.75" customHeight="1" s="130"/>
    <row r="887" ht="18.75" customHeight="1" s="130"/>
    <row r="888" ht="18.75" customHeight="1" s="130"/>
    <row r="889" ht="18.75" customHeight="1" s="130"/>
    <row r="890" ht="18.75" customHeight="1" s="130"/>
    <row r="891" ht="18.75" customHeight="1" s="130"/>
    <row r="892" ht="18.75" customHeight="1" s="130"/>
    <row r="893" ht="18.75" customHeight="1" s="130"/>
    <row r="894" ht="18.75" customHeight="1" s="130"/>
    <row r="895" ht="18.75" customHeight="1" s="130"/>
    <row r="896" ht="18.75" customHeight="1" s="130"/>
    <row r="897" ht="18.75" customHeight="1" s="130"/>
    <row r="898" ht="18.75" customHeight="1" s="130"/>
    <row r="899" ht="18.75" customHeight="1" s="130"/>
    <row r="900" ht="18.75" customHeight="1" s="130"/>
    <row r="901" ht="18.75" customHeight="1" s="130"/>
    <row r="902" ht="18.75" customHeight="1" s="130"/>
    <row r="903" ht="18.75" customHeight="1" s="130"/>
    <row r="904" ht="18.75" customHeight="1" s="130"/>
    <row r="905" ht="18.75" customHeight="1" s="130"/>
    <row r="906" ht="18.75" customHeight="1" s="130"/>
    <row r="907" ht="18.75" customHeight="1" s="130"/>
    <row r="908" ht="18.75" customHeight="1" s="130"/>
    <row r="909" ht="18.75" customHeight="1" s="130"/>
    <row r="910" ht="18.75" customHeight="1" s="130"/>
    <row r="911" ht="18.75" customHeight="1" s="130"/>
    <row r="912" ht="18.75" customHeight="1" s="130"/>
    <row r="913" ht="18.75" customHeight="1" s="130"/>
    <row r="914" ht="18.75" customHeight="1" s="130"/>
    <row r="915" ht="18.75" customHeight="1" s="130"/>
    <row r="916" ht="18.75" customHeight="1" s="130"/>
    <row r="917" ht="18.75" customHeight="1" s="130"/>
    <row r="918" ht="18.75" customHeight="1" s="130"/>
    <row r="919" ht="18.75" customHeight="1" s="130"/>
    <row r="920" ht="18.75" customHeight="1" s="130"/>
    <row r="921" ht="18.75" customHeight="1" s="130"/>
    <row r="922" ht="18.75" customHeight="1" s="130"/>
    <row r="923" ht="18.75" customHeight="1" s="130"/>
    <row r="924" ht="18.75" customHeight="1" s="130"/>
    <row r="925" ht="18.75" customHeight="1" s="130"/>
    <row r="926" ht="18.75" customHeight="1" s="130"/>
    <row r="927" ht="18.75" customHeight="1" s="130"/>
    <row r="928" ht="18.75" customHeight="1" s="130"/>
    <row r="929" ht="18.75" customHeight="1" s="130"/>
    <row r="930" ht="18.75" customHeight="1" s="130"/>
    <row r="931" ht="18.75" customHeight="1" s="130"/>
    <row r="932" ht="18.75" customHeight="1" s="130"/>
    <row r="933" ht="18.75" customHeight="1" s="130"/>
    <row r="934" ht="18.75" customHeight="1" s="130"/>
    <row r="935" ht="18.75" customHeight="1" s="130"/>
    <row r="936" ht="18.75" customHeight="1" s="130"/>
    <row r="937" ht="18.75" customHeight="1" s="130"/>
    <row r="938" ht="18.75" customHeight="1" s="130"/>
    <row r="939" ht="18.75" customHeight="1" s="130"/>
    <row r="940" ht="18.75" customHeight="1" s="130"/>
    <row r="941" ht="18.75" customHeight="1" s="130"/>
    <row r="942" ht="18.75" customHeight="1" s="130"/>
    <row r="943" ht="18.75" customHeight="1" s="130"/>
    <row r="944" ht="18.75" customHeight="1" s="130"/>
    <row r="945" ht="18.75" customHeight="1" s="130"/>
    <row r="946" ht="18.75" customHeight="1" s="130"/>
    <row r="947" ht="18.75" customHeight="1" s="130"/>
    <row r="948" ht="18.75" customHeight="1" s="130"/>
    <row r="949" ht="18.75" customHeight="1" s="130"/>
    <row r="950" ht="18.75" customHeight="1" s="130"/>
    <row r="951" ht="18.75" customHeight="1" s="130"/>
    <row r="952" ht="18.75" customHeight="1" s="130"/>
    <row r="953" ht="18.75" customHeight="1" s="130"/>
    <row r="954" ht="18.75" customHeight="1" s="130"/>
    <row r="955" ht="18.75" customHeight="1" s="130"/>
    <row r="956" ht="18.75" customHeight="1" s="130"/>
    <row r="957" ht="18.75" customHeight="1" s="130"/>
    <row r="958" ht="18.75" customHeight="1" s="130"/>
    <row r="959" ht="18.75" customHeight="1" s="130"/>
    <row r="960" ht="18.75" customHeight="1" s="130"/>
    <row r="961" ht="18.75" customHeight="1" s="130"/>
    <row r="962" ht="18.75" customHeight="1" s="130"/>
    <row r="963" ht="18.75" customHeight="1" s="130"/>
    <row r="964" ht="18.75" customHeight="1" s="130"/>
    <row r="965" ht="18.75" customHeight="1" s="130"/>
    <row r="966" ht="18.75" customHeight="1" s="130"/>
    <row r="967" ht="18.75" customHeight="1" s="130"/>
    <row r="968" ht="18.75" customHeight="1" s="130"/>
    <row r="969" ht="18.75" customHeight="1" s="130"/>
    <row r="970" ht="18.75" customHeight="1" s="130"/>
    <row r="971" ht="18.75" customHeight="1" s="130"/>
    <row r="972" ht="18.75" customHeight="1" s="130"/>
    <row r="973" ht="18.75" customHeight="1" s="130"/>
    <row r="974" ht="18.75" customHeight="1" s="130"/>
    <row r="975" ht="18.75" customHeight="1" s="130"/>
    <row r="976" ht="18.75" customHeight="1" s="130"/>
    <row r="977" ht="18.75" customHeight="1" s="130"/>
    <row r="978" ht="18.75" customHeight="1" s="130"/>
    <row r="979" ht="18.75" customHeight="1" s="130"/>
    <row r="980" ht="18.75" customHeight="1" s="130"/>
    <row r="981" ht="18.75" customHeight="1" s="130"/>
    <row r="982" ht="18.75" customHeight="1" s="130"/>
    <row r="983" ht="18.75" customHeight="1" s="130"/>
    <row r="984" ht="18.75" customHeight="1" s="130"/>
    <row r="985" ht="18.75" customHeight="1" s="130"/>
    <row r="986" ht="18.75" customHeight="1" s="130"/>
    <row r="987" ht="18.75" customHeight="1" s="130"/>
    <row r="988" ht="18.75" customHeight="1" s="130"/>
    <row r="989" ht="18.75" customHeight="1" s="130"/>
    <row r="990" ht="18.75" customHeight="1" s="130"/>
    <row r="991" ht="18.75" customHeight="1" s="130"/>
    <row r="992" ht="18.75" customHeight="1" s="130"/>
    <row r="993" ht="18.75" customHeight="1" s="130"/>
    <row r="994" ht="18.75" customHeight="1" s="130"/>
    <row r="995" ht="18.75" customHeight="1" s="130"/>
    <row r="996" ht="18.75" customHeight="1" s="130"/>
    <row r="997" ht="18.75" customHeight="1" s="130"/>
    <row r="998" ht="18.75" customHeight="1" s="130"/>
    <row r="999" ht="18.75" customHeight="1" s="130"/>
    <row r="1000" ht="18.75" customHeight="1" s="130"/>
    <row r="1001" ht="18.75" customHeight="1" s="130"/>
    <row r="1002" ht="18.75" customHeight="1" s="130"/>
    <row r="1003" ht="18.75" customHeight="1" s="130"/>
    <row r="1004" ht="18.75" customHeight="1" s="130"/>
    <row r="1005" ht="18.75" customHeight="1" s="130"/>
    <row r="1006" ht="18.75" customHeight="1" s="130"/>
    <row r="1007" ht="18.75" customHeight="1" s="130"/>
    <row r="1008" ht="18.75" customHeight="1" s="130"/>
    <row r="1009" ht="18.75" customHeight="1" s="130"/>
    <row r="1010" ht="18.75" customHeight="1" s="130"/>
    <row r="1011" ht="18.75" customHeight="1" s="130"/>
    <row r="1012" ht="18.75" customHeight="1" s="130"/>
    <row r="1013" ht="18.75" customHeight="1" s="130"/>
    <row r="1014" ht="18.75" customHeight="1" s="130"/>
    <row r="1015" ht="18.75" customHeight="1" s="130"/>
    <row r="1016" ht="18.75" customHeight="1" s="130"/>
    <row r="1017" ht="18.75" customHeight="1" s="130"/>
    <row r="1018" ht="18.75" customHeight="1" s="130"/>
    <row r="1019" ht="18.75" customHeight="1" s="130"/>
    <row r="1020" ht="18.75" customHeight="1" s="130"/>
    <row r="1021" ht="18.75" customHeight="1" s="130"/>
    <row r="1022" ht="18.75" customHeight="1" s="130"/>
    <row r="1023" ht="18.75" customHeight="1" s="130"/>
    <row r="1024" ht="18.75" customHeight="1" s="130"/>
    <row r="1025" ht="18.75" customHeight="1" s="130"/>
    <row r="1026" ht="18.75" customHeight="1" s="130"/>
    <row r="1027" ht="18.75" customHeight="1" s="130"/>
    <row r="1028" ht="18.75" customHeight="1" s="130"/>
    <row r="1029" ht="18.75" customHeight="1" s="130"/>
    <row r="1030" ht="18.75" customHeight="1" s="130"/>
    <row r="1031" ht="18.75" customHeight="1" s="130"/>
    <row r="1032" ht="18.75" customHeight="1" s="130"/>
    <row r="1033" ht="18.75" customHeight="1" s="130"/>
    <row r="1034" ht="18.75" customHeight="1" s="130"/>
    <row r="1035" ht="18.75" customHeight="1" s="130"/>
    <row r="1036" ht="18.75" customHeight="1" s="130"/>
    <row r="1037" ht="18.75" customHeight="1" s="130"/>
    <row r="1038" ht="18.75" customHeight="1" s="130"/>
  </sheetData>
  <autoFilter ref="A4:Q200"/>
  <mergeCells count="2">
    <mergeCell ref="A2:N2"/>
    <mergeCell ref="A1:N1"/>
  </mergeCells>
  <dataValidations count="4">
    <dataValidation sqref="Q5:Q200" showDropDown="0" showInputMessage="0" showErrorMessage="1" allowBlank="1" errorTitle="Use X or blank" error="Enter X or clear the cell." type="list">
      <formula1>"X"</formula1>
      <formula2>0</formula2>
    </dataValidation>
    <dataValidation sqref="B5:B1038" showDropDown="0" showInputMessage="0" showErrorMessage="1" allowBlank="1" type="list" errorStyle="warning">
      <formula1>"gap,conflict,RFI,coordination,verification,change,vocabulary"</formula1>
      <formula2>0</formula2>
    </dataValidation>
    <dataValidation sqref="H5:H1038" showDropDown="0" showInputMessage="0" showErrorMessage="1" allowBlank="1" type="list" errorStyle="warning">
      <formula1>"open,answered,closed,deferred,superseded"</formula1>
      <formula2>0</formula2>
    </dataValidation>
    <dataValidation sqref="I5:I1038" showDropDown="0" showInputMessage="0" showErrorMessage="1" allowBlank="1" type="list" errorStyle="warning">
      <formula1>"critical,high,normal,low"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W464"/>
  <sheetViews>
    <sheetView zoomScale="91" zoomScaleNormal="91" workbookViewId="0">
      <pane xSplit="3" ySplit="2" topLeftCell="L3" activePane="bottomRight" state="frozen"/>
      <selection pane="topRight" activeCell="L1" sqref="L1"/>
      <selection pane="bottomLeft" activeCell="A3" sqref="A3"/>
      <selection pane="bottomRight" activeCell="T12" sqref="T12"/>
    </sheetView>
  </sheetViews>
  <sheetFormatPr baseColWidth="8" defaultColWidth="16" defaultRowHeight="15"/>
  <cols>
    <col width="12.5703125" customWidth="1" style="56" min="1" max="1"/>
    <col width="10.5703125" customWidth="1" style="57" min="2" max="2"/>
    <col width="85.5703125" customWidth="1" style="58" min="3" max="3"/>
    <col width="20.28515625" customWidth="1" style="58" min="4" max="4"/>
    <col width="14.85546875" customWidth="1" style="59" min="5" max="5"/>
    <col width="36.7109375" customWidth="1" style="58" min="6" max="6"/>
    <col width="11.28515625" customWidth="1" style="57" min="7" max="7"/>
    <col width="23.28515625" customWidth="1" style="57" min="8" max="8"/>
    <col width="17.7109375" customWidth="1" style="56" min="9" max="9"/>
    <col width="17.140625" customWidth="1" style="56" min="10" max="10"/>
    <col width="15.5703125" customWidth="1" style="56" min="11" max="11"/>
    <col width="53.42578125" customWidth="1" style="59" min="12" max="12"/>
    <col width="12.85546875" customWidth="1" style="56" min="13" max="13"/>
    <col width="14.7109375" customWidth="1" style="60" min="14" max="14"/>
    <col width="13.85546875" customWidth="1" style="56" min="15" max="15"/>
    <col width="15.7109375" customWidth="1" style="56" min="16" max="16"/>
    <col width="11" customWidth="1" style="61" min="17" max="17"/>
    <col width="14.5703125" customWidth="1" style="62" min="18" max="18"/>
    <col width="14.5703125" customWidth="1" style="63" min="19" max="19"/>
    <col width="13.42578125" customWidth="1" style="56" min="20" max="20"/>
    <col width="12.85546875" customWidth="1" style="56" min="21" max="22"/>
    <col width="16" customWidth="1" style="56" min="23" max="23"/>
    <col width="16" customWidth="1" style="56" min="24" max="16384"/>
  </cols>
  <sheetData>
    <row r="1" ht="15" customHeight="1" s="130">
      <c r="B1" s="64">
        <f>SUBTOTAL(3,B3:B345)</f>
        <v/>
      </c>
      <c r="C1" s="65">
        <f>SUBTOTAL(3,C3:C345)</f>
        <v/>
      </c>
      <c r="D1" s="65">
        <f>SUBTOTAL(3,D3:D345)</f>
        <v/>
      </c>
      <c r="E1" s="66">
        <f>SUBTOTAL(3,E3:E345)</f>
        <v/>
      </c>
      <c r="F1" s="65">
        <f>SUBTOTAL(3,F3:F345)</f>
        <v/>
      </c>
      <c r="G1" s="64" t="n"/>
      <c r="H1" s="64" t="n"/>
      <c r="I1" s="67">
        <f>SUBTOTAL(3,I3:I345)</f>
        <v/>
      </c>
      <c r="J1" s="67">
        <f>SUBTOTAL(3,J3:J345)</f>
        <v/>
      </c>
      <c r="K1" s="67">
        <f>SUBTOTAL(3,K3:K345)</f>
        <v/>
      </c>
      <c r="L1" s="67">
        <f>SUBTOTAL(3,L3:L345)</f>
        <v/>
      </c>
      <c r="M1" s="67">
        <f>SUBTOTAL(3,M3:M345)</f>
        <v/>
      </c>
      <c r="N1" s="67">
        <f>SUBTOTAL(3,N3:N345)</f>
        <v/>
      </c>
      <c r="O1" s="67">
        <f>SUBTOTAL(3,O3:O345)</f>
        <v/>
      </c>
      <c r="P1" s="67">
        <f>SUBTOTAL(3,P3:P345)</f>
        <v/>
      </c>
      <c r="Q1" s="64">
        <f>COUNTIF(Q3:Q339,"Open")</f>
        <v/>
      </c>
    </row>
    <row r="2" ht="25.5" customFormat="1" customHeight="1" s="68">
      <c r="B2" s="69" t="inlineStr">
        <is>
          <t>Punchlist</t>
        </is>
      </c>
      <c r="C2" s="70" t="inlineStr">
        <is>
          <t>Description</t>
        </is>
      </c>
      <c r="D2" s="70" t="inlineStr">
        <is>
          <t>Discipline</t>
        </is>
      </c>
      <c r="E2" s="71" t="inlineStr">
        <is>
          <t>Responsible
Party</t>
        </is>
      </c>
      <c r="F2" s="70" t="inlineStr">
        <is>
          <t>Work Package</t>
        </is>
      </c>
      <c r="G2" s="69" t="inlineStr">
        <is>
          <t>Package Code
(WP ID)</t>
        </is>
      </c>
      <c r="H2" s="69" t="inlineStr">
        <is>
          <t>Priority
Cat</t>
        </is>
      </c>
      <c r="I2" s="72" t="inlineStr">
        <is>
          <t>Tag ID</t>
        </is>
      </c>
      <c r="J2" s="72" t="inlineStr">
        <is>
          <t>DWG  #</t>
        </is>
      </c>
      <c r="K2" s="72" t="inlineStr">
        <is>
          <t>REF RFI #</t>
        </is>
      </c>
      <c r="L2" s="72" t="inlineStr">
        <is>
          <t>Comments</t>
        </is>
      </c>
      <c r="M2" s="72" t="inlineStr">
        <is>
          <t>Raised By</t>
        </is>
      </c>
      <c r="N2" s="73" t="inlineStr">
        <is>
          <t>Raised Date</t>
        </is>
      </c>
      <c r="O2" s="72" t="inlineStr">
        <is>
          <t>Cleared By</t>
        </is>
      </c>
      <c r="P2" s="72" t="inlineStr">
        <is>
          <t>Cleared Date</t>
        </is>
      </c>
      <c r="Q2" s="74" t="inlineStr">
        <is>
          <t>Open
/ Close</t>
        </is>
      </c>
      <c r="R2" s="75" t="inlineStr">
        <is>
          <t>AGE</t>
        </is>
      </c>
      <c r="S2" s="75" t="inlineStr">
        <is>
          <t>CLEAR TIME</t>
        </is>
      </c>
      <c r="T2" s="76" t="inlineStr">
        <is>
          <t>OLDER THAN 4WEEKS</t>
        </is>
      </c>
      <c r="U2" s="76" t="inlineStr">
        <is>
          <t>OLDER THAN 6 WEEKS</t>
        </is>
      </c>
      <c r="V2" s="76" t="inlineStr">
        <is>
          <t>OLDER THAN 8 WEEKS</t>
        </is>
      </c>
      <c r="W2" s="19" t="inlineStr">
        <is>
          <t>Blocked? (X)</t>
        </is>
      </c>
    </row>
    <row r="3" ht="15" customHeight="1" s="130">
      <c r="B3" s="64" t="n"/>
      <c r="C3" s="65" t="n"/>
      <c r="D3" s="77" t="n"/>
      <c r="E3" s="66" t="n"/>
      <c r="F3" s="77" t="n"/>
      <c r="G3" s="64">
        <f>IF($F3="","",IFERROR(INDEX('WORK PACKAGES'!$A$2:$A$100,MATCH($F3,'WORK PACKAGES'!$D$2:$D$100,0)),""))</f>
        <v/>
      </c>
      <c r="H3" s="64">
        <f>IF($F3="","",INDEX('WORK PACKAGES'!$E$2:$E$100,MATCH($F3,'WORK PACKAGES'!$D$2:$D$100,0)))</f>
        <v/>
      </c>
      <c r="I3" s="78" t="n"/>
      <c r="J3" s="78" t="n"/>
      <c r="K3" s="78" t="n"/>
      <c r="L3" s="66" t="n"/>
      <c r="M3" s="67" t="n"/>
      <c r="N3" s="79" t="n"/>
      <c r="O3" s="78" t="n"/>
      <c r="P3" s="79" t="n"/>
      <c r="Q3" s="57" t="n"/>
      <c r="R3" s="63">
        <f>IF(Q3="","",IF(Q3="Open",TODAY()-N3,"--"))</f>
        <v/>
      </c>
      <c r="S3" s="63">
        <f>IF(Q3="","",IF(Q3="Closed",P3-N3,"--"))</f>
        <v/>
      </c>
      <c r="T3" s="56" t="n"/>
      <c r="U3" s="56" t="n"/>
      <c r="V3" s="56" t="n"/>
      <c r="W3" s="50" t="n"/>
    </row>
    <row r="4" ht="15" customHeight="1" s="130">
      <c r="B4" s="64">
        <f>IF(C4="","",B3+1)</f>
        <v/>
      </c>
      <c r="C4" s="65" t="n"/>
      <c r="D4" s="77" t="n"/>
      <c r="E4" s="66" t="n"/>
      <c r="F4" s="77" t="n"/>
      <c r="G4" s="64">
        <f>IF($F4="","",IFERROR(INDEX('WORK PACKAGES'!$A$2:$A$100,MATCH($F4,'WORK PACKAGES'!$D$2:$D$100,0)),""))</f>
        <v/>
      </c>
      <c r="H4" s="64">
        <f>IF($F4="","",INDEX('WORK PACKAGES'!$E$2:$E$100,MATCH($F4,'WORK PACKAGES'!$D$2:$D$100,0)))</f>
        <v/>
      </c>
      <c r="I4" s="78" t="n"/>
      <c r="J4" s="78" t="n"/>
      <c r="K4" s="78" t="n"/>
      <c r="L4" s="66" t="n"/>
      <c r="M4" s="67" t="n"/>
      <c r="N4" s="79" t="n"/>
      <c r="O4" s="78" t="n"/>
      <c r="P4" s="79" t="n"/>
      <c r="Q4" s="57" t="n"/>
      <c r="R4" s="63">
        <f>IF(Q4="","",IF(Q4="Open",TODAY()-N4,"--"))</f>
        <v/>
      </c>
      <c r="S4" s="63">
        <f>IF(Q4="","",IF(Q4="Closed",P4-N4,"--"))</f>
        <v/>
      </c>
      <c r="T4" s="56" t="n"/>
      <c r="U4" s="56" t="n"/>
      <c r="V4" s="56" t="n"/>
      <c r="W4" s="50" t="n"/>
    </row>
    <row r="5" ht="15" customHeight="1" s="130">
      <c r="B5" s="64">
        <f>IF(C5="","",B4+1)</f>
        <v/>
      </c>
      <c r="C5" s="65" t="n"/>
      <c r="D5" s="77" t="n"/>
      <c r="E5" s="66" t="n"/>
      <c r="F5" s="77" t="n"/>
      <c r="G5" s="64">
        <f>IF($F5="","",IFERROR(INDEX('WORK PACKAGES'!$A$2:$A$100,MATCH($F5,'WORK PACKAGES'!$D$2:$D$100,0)),""))</f>
        <v/>
      </c>
      <c r="H5" s="64">
        <f>IF($F5="","",INDEX('WORK PACKAGES'!$E$2:$E$100,MATCH($F5,'WORK PACKAGES'!$D$2:$D$100,0)))</f>
        <v/>
      </c>
      <c r="I5" s="78" t="n"/>
      <c r="J5" s="78" t="n"/>
      <c r="K5" s="78" t="n"/>
      <c r="L5" s="80" t="n"/>
      <c r="M5" s="67" t="n"/>
      <c r="N5" s="79" t="n"/>
      <c r="O5" s="81" t="n"/>
      <c r="P5" s="79" t="n"/>
      <c r="Q5" s="57" t="n"/>
      <c r="R5" s="63">
        <f>IF(Q5="","",IF(Q5="Open",TODAY()-N5,"--"))</f>
        <v/>
      </c>
      <c r="S5" s="63">
        <f>IF(Q5="","",IF(Q5="Closed",P5-N5,"--"))</f>
        <v/>
      </c>
      <c r="T5" s="56" t="n"/>
      <c r="U5" s="56" t="n"/>
      <c r="V5" s="56" t="n"/>
      <c r="W5" s="50" t="n"/>
    </row>
    <row r="6" ht="15" customHeight="1" s="130">
      <c r="B6" s="64">
        <f>IF(C6="","",B5+1)</f>
        <v/>
      </c>
      <c r="C6" s="65" t="n"/>
      <c r="D6" s="77" t="n"/>
      <c r="E6" s="66" t="n"/>
      <c r="F6" s="77" t="n"/>
      <c r="G6" s="64">
        <f>IF($F6="","",IFERROR(INDEX('WORK PACKAGES'!$A$2:$A$100,MATCH($F6,'WORK PACKAGES'!$D$2:$D$100,0)),""))</f>
        <v/>
      </c>
      <c r="H6" s="64">
        <f>IF($F6="","",INDEX('WORK PACKAGES'!$E$2:$E$100,MATCH($F6,'WORK PACKAGES'!$D$2:$D$100,0)))</f>
        <v/>
      </c>
      <c r="I6" s="78" t="n"/>
      <c r="J6" s="78" t="n"/>
      <c r="K6" s="78" t="n"/>
      <c r="L6" s="80" t="n"/>
      <c r="M6" s="67" t="n"/>
      <c r="N6" s="79" t="n"/>
      <c r="O6" s="78" t="n"/>
      <c r="P6" s="79" t="n"/>
      <c r="Q6" s="57" t="n"/>
      <c r="R6" s="63">
        <f>IF(Q6="","",IF(Q6="Open",TODAY()-N6,"--"))</f>
        <v/>
      </c>
      <c r="S6" s="63">
        <f>IF(Q6="","",IF(Q6="Closed",P6-N6,"--"))</f>
        <v/>
      </c>
      <c r="T6" s="56" t="n"/>
      <c r="U6" s="56" t="n"/>
      <c r="V6" s="56" t="n"/>
      <c r="W6" s="50" t="n"/>
    </row>
    <row r="7" ht="15" customHeight="1" s="130">
      <c r="B7" s="64">
        <f>IF(C7="","",B6+1)</f>
        <v/>
      </c>
      <c r="C7" s="65" t="n"/>
      <c r="D7" s="77" t="n"/>
      <c r="E7" s="66" t="n"/>
      <c r="F7" s="77" t="n"/>
      <c r="G7" s="64">
        <f>IF($F7="","",IFERROR(INDEX('WORK PACKAGES'!$A$2:$A$100,MATCH($F7,'WORK PACKAGES'!$D$2:$D$100,0)),""))</f>
        <v/>
      </c>
      <c r="H7" s="64">
        <f>IF($F7="","",INDEX('WORK PACKAGES'!$E$2:$E$100,MATCH($F7,'WORK PACKAGES'!$D$2:$D$100,0)))</f>
        <v/>
      </c>
      <c r="I7" s="78" t="n"/>
      <c r="J7" s="78" t="n"/>
      <c r="K7" s="78" t="n"/>
      <c r="L7" s="80" t="n"/>
      <c r="M7" s="67" t="n"/>
      <c r="N7" s="79" t="n"/>
      <c r="O7" s="78" t="n"/>
      <c r="P7" s="79" t="n"/>
      <c r="Q7" s="57" t="n"/>
      <c r="R7" s="63">
        <f>IF(Q7="","",IF(Q7="Open",TODAY()-N7,"--"))</f>
        <v/>
      </c>
      <c r="S7" s="63">
        <f>IF(Q7="","",IF(Q7="Closed",P7-N7,"--"))</f>
        <v/>
      </c>
      <c r="T7" s="56" t="n"/>
      <c r="U7" s="56" t="n"/>
      <c r="V7" s="56" t="n"/>
      <c r="W7" s="50" t="n"/>
    </row>
    <row r="8" ht="15" customHeight="1" s="130">
      <c r="B8" s="64">
        <f>IF(C8="","",B7+1)</f>
        <v/>
      </c>
      <c r="C8" s="65" t="n"/>
      <c r="D8" s="77" t="n"/>
      <c r="E8" s="66" t="n"/>
      <c r="F8" s="77" t="n"/>
      <c r="G8" s="64">
        <f>IF($F8="","",IFERROR(INDEX('WORK PACKAGES'!$A$2:$A$100,MATCH($F8,'WORK PACKAGES'!$D$2:$D$100,0)),""))</f>
        <v/>
      </c>
      <c r="H8" s="64">
        <f>IF($F8="","",INDEX('WORK PACKAGES'!$E$2:$E$100,MATCH($F8,'WORK PACKAGES'!$D$2:$D$100,0)))</f>
        <v/>
      </c>
      <c r="I8" s="78" t="n"/>
      <c r="J8" s="78" t="n"/>
      <c r="K8" s="78" t="n"/>
      <c r="L8" s="66" t="n"/>
      <c r="M8" s="67" t="n"/>
      <c r="N8" s="79" t="n"/>
      <c r="O8" s="78" t="n"/>
      <c r="P8" s="79" t="n"/>
      <c r="Q8" s="57" t="n"/>
      <c r="R8" s="63">
        <f>IF(Q8="","",IF(Q8="Open",TODAY()-N8,"--"))</f>
        <v/>
      </c>
      <c r="S8" s="63">
        <f>IF(Q8="","",IF(Q8="Closed",P8-N8,"--"))</f>
        <v/>
      </c>
      <c r="T8" s="56" t="n"/>
      <c r="U8" s="56" t="n"/>
      <c r="V8" s="56" t="n"/>
      <c r="W8" s="50" t="n"/>
    </row>
    <row r="9" ht="15" customHeight="1" s="130">
      <c r="B9" s="64">
        <f>IF(C9="","",B8+1)</f>
        <v/>
      </c>
      <c r="C9" s="65" t="n"/>
      <c r="D9" s="77" t="n"/>
      <c r="E9" s="66" t="n"/>
      <c r="F9" s="77" t="n"/>
      <c r="G9" s="64">
        <f>IF($F9="","",IFERROR(INDEX('WORK PACKAGES'!$A$2:$A$100,MATCH($F9,'WORK PACKAGES'!$D$2:$D$100,0)),""))</f>
        <v/>
      </c>
      <c r="H9" s="64">
        <f>IF($F9="","",INDEX('WORK PACKAGES'!$E$2:$E$100,MATCH($F9,'WORK PACKAGES'!$D$2:$D$100,0)))</f>
        <v/>
      </c>
      <c r="I9" s="78" t="n"/>
      <c r="J9" s="78" t="n"/>
      <c r="K9" s="78" t="n"/>
      <c r="L9" s="66" t="n"/>
      <c r="M9" s="67" t="n"/>
      <c r="N9" s="79" t="n"/>
      <c r="O9" s="78" t="n"/>
      <c r="P9" s="79" t="n"/>
      <c r="Q9" s="57" t="n"/>
      <c r="R9" s="63">
        <f>IF(Q9="","",IF(Q9="Open",TODAY()-N9,"--"))</f>
        <v/>
      </c>
      <c r="S9" s="63">
        <f>IF(Q9="","",IF(Q9="Closed",P9-N9,"--"))</f>
        <v/>
      </c>
      <c r="T9" s="56" t="n"/>
      <c r="U9" s="56" t="n"/>
      <c r="V9" s="56" t="n"/>
      <c r="W9" s="50" t="n"/>
    </row>
    <row r="10" ht="15" customHeight="1" s="130">
      <c r="B10" s="64">
        <f>IF(C10="","",B9+1)</f>
        <v/>
      </c>
      <c r="C10" s="65" t="n"/>
      <c r="D10" s="65" t="n"/>
      <c r="E10" s="66" t="n"/>
      <c r="F10" s="77" t="n"/>
      <c r="G10" s="64">
        <f>IF($F10="","",IFERROR(INDEX('WORK PACKAGES'!$A$2:$A$100,MATCH($F10,'WORK PACKAGES'!$D$2:$D$100,0)),""))</f>
        <v/>
      </c>
      <c r="H10" s="64">
        <f>IF($F10="","",INDEX('WORK PACKAGES'!$E$2:$E$100,MATCH($F10,'WORK PACKAGES'!$D$2:$D$100,0)))</f>
        <v/>
      </c>
      <c r="I10" s="78" t="n"/>
      <c r="J10" s="78" t="n"/>
      <c r="K10" s="78" t="n"/>
      <c r="L10" s="66" t="n"/>
      <c r="M10" s="67" t="n"/>
      <c r="N10" s="79" t="n"/>
      <c r="O10" s="78" t="n"/>
      <c r="P10" s="79" t="n"/>
      <c r="Q10" s="57" t="n"/>
      <c r="R10" s="63">
        <f>IF(Q10="","",IF(Q10="Open",TODAY()-N10,"--"))</f>
        <v/>
      </c>
      <c r="S10" s="63">
        <f>IF(Q10="","",IF(Q10="Closed",P10-N10,"--"))</f>
        <v/>
      </c>
      <c r="T10" s="56" t="n"/>
      <c r="U10" s="56" t="n"/>
      <c r="V10" s="56" t="n"/>
      <c r="W10" s="50" t="n"/>
    </row>
    <row r="11" ht="15" customHeight="1" s="130">
      <c r="B11" s="64">
        <f>IF(C11="","",B10+1)</f>
        <v/>
      </c>
      <c r="C11" s="65" t="n"/>
      <c r="D11" s="65" t="n"/>
      <c r="E11" s="66" t="n"/>
      <c r="F11" s="77" t="n"/>
      <c r="G11" s="64">
        <f>IF($F11="","",IFERROR(INDEX('WORK PACKAGES'!$A$2:$A$100,MATCH($F11,'WORK PACKAGES'!$D$2:$D$100,0)),""))</f>
        <v/>
      </c>
      <c r="H11" s="64">
        <f>IF($F11="","",INDEX('WORK PACKAGES'!$E$2:$E$100,MATCH($F11,'WORK PACKAGES'!$D$2:$D$100,0)))</f>
        <v/>
      </c>
      <c r="I11" s="78" t="n"/>
      <c r="J11" s="78" t="n"/>
      <c r="K11" s="78" t="n"/>
      <c r="L11" s="66" t="n"/>
      <c r="M11" s="67" t="n"/>
      <c r="N11" s="79" t="n"/>
      <c r="O11" s="78" t="n"/>
      <c r="P11" s="79" t="n"/>
      <c r="Q11" s="57" t="n"/>
      <c r="R11" s="63">
        <f>IF(Q11="","",IF(Q11="Open",TODAY()-N11,"--"))</f>
        <v/>
      </c>
      <c r="S11" s="63">
        <f>IF(Q11="","",IF(Q11="Closed",P11-N11,"--"))</f>
        <v/>
      </c>
      <c r="T11" s="56" t="n"/>
      <c r="U11" s="56" t="n"/>
      <c r="V11" s="56" t="n"/>
      <c r="W11" s="50" t="n"/>
    </row>
    <row r="12" ht="15" customHeight="1" s="130">
      <c r="B12" s="64">
        <f>IF(C12="","",B11+1)</f>
        <v/>
      </c>
      <c r="C12" s="65" t="n"/>
      <c r="D12" s="65" t="n"/>
      <c r="E12" s="66" t="n"/>
      <c r="F12" s="77" t="n"/>
      <c r="G12" s="64">
        <f>IF($F12="","",IFERROR(INDEX('WORK PACKAGES'!$A$2:$A$100,MATCH($F12,'WORK PACKAGES'!$D$2:$D$100,0)),""))</f>
        <v/>
      </c>
      <c r="H12" s="64">
        <f>IF($F12="","",INDEX('WORK PACKAGES'!$E$2:$E$100,MATCH($F12,'WORK PACKAGES'!$D$2:$D$100,0)))</f>
        <v/>
      </c>
      <c r="I12" s="78" t="n"/>
      <c r="J12" s="78" t="n"/>
      <c r="K12" s="78" t="n"/>
      <c r="L12" s="80" t="n"/>
      <c r="M12" s="67" t="n"/>
      <c r="N12" s="79" t="n"/>
      <c r="O12" s="78" t="n"/>
      <c r="P12" s="79" t="n"/>
      <c r="Q12" s="57" t="n"/>
      <c r="R12" s="63">
        <f>IF(Q12="","",IF(Q12="Open",TODAY()-N12,"--"))</f>
        <v/>
      </c>
      <c r="S12" s="63">
        <f>IF(Q12="","",IF(Q12="Closed",P12-N12,"--"))</f>
        <v/>
      </c>
      <c r="T12" s="56" t="n"/>
      <c r="U12" s="56" t="n"/>
      <c r="V12" s="56" t="n"/>
      <c r="W12" s="50" t="n"/>
    </row>
    <row r="13" ht="15" customHeight="1" s="130">
      <c r="B13" s="64">
        <f>IF(C13="","",B12+1)</f>
        <v/>
      </c>
      <c r="C13" s="65" t="n"/>
      <c r="D13" s="77" t="n"/>
      <c r="E13" s="66" t="n"/>
      <c r="F13" s="77" t="n"/>
      <c r="G13" s="64">
        <f>IF($F13="","",IFERROR(INDEX('WORK PACKAGES'!$A$2:$A$100,MATCH($F13,'WORK PACKAGES'!$D$2:$D$100,0)),""))</f>
        <v/>
      </c>
      <c r="H13" s="64">
        <f>IF($F13="","",INDEX('WORK PACKAGES'!$E$2:$E$100,MATCH($F13,'WORK PACKAGES'!$D$2:$D$100,0)))</f>
        <v/>
      </c>
      <c r="I13" s="78" t="n"/>
      <c r="J13" s="78" t="n"/>
      <c r="K13" s="78" t="n"/>
      <c r="L13" s="80" t="n"/>
      <c r="M13" s="67" t="n"/>
      <c r="N13" s="79" t="n"/>
      <c r="O13" s="78" t="n"/>
      <c r="P13" s="79" t="n"/>
      <c r="Q13" s="57" t="n"/>
      <c r="R13" s="63">
        <f>IF(Q13="","",IF(Q13="Open",TODAY()-N13,"--"))</f>
        <v/>
      </c>
      <c r="S13" s="63">
        <f>IF(Q13="","",IF(Q13="Closed",P13-N13,"--"))</f>
        <v/>
      </c>
      <c r="T13" s="56" t="n"/>
      <c r="U13" s="56" t="n"/>
      <c r="V13" s="56" t="n"/>
      <c r="W13" s="50" t="n"/>
    </row>
    <row r="14" ht="15" customHeight="1" s="130">
      <c r="B14" s="64">
        <f>IF(C14="","",B13+1)</f>
        <v/>
      </c>
      <c r="C14" s="77" t="n"/>
      <c r="D14" s="77" t="n"/>
      <c r="E14" s="66" t="n"/>
      <c r="F14" s="77" t="n"/>
      <c r="G14" s="64">
        <f>IF($F14="","",IFERROR(INDEX('WORK PACKAGES'!$A$2:$A$100,MATCH($F14,'WORK PACKAGES'!$D$2:$D$100,0)),""))</f>
        <v/>
      </c>
      <c r="H14" s="64">
        <f>IF($F14="","",INDEX('WORK PACKAGES'!$E$2:$E$100,MATCH($F14,'WORK PACKAGES'!$D$2:$D$100,0)))</f>
        <v/>
      </c>
      <c r="I14" s="78" t="n"/>
      <c r="J14" s="78" t="n"/>
      <c r="K14" s="78" t="n"/>
      <c r="L14" s="66" t="n"/>
      <c r="M14" s="67" t="n"/>
      <c r="N14" s="79" t="n"/>
      <c r="O14" s="78" t="n"/>
      <c r="P14" s="79" t="n"/>
      <c r="Q14" s="57" t="n"/>
      <c r="R14" s="63">
        <f>IF(Q14="","",IF(Q14="Open",TODAY()-N14,"--"))</f>
        <v/>
      </c>
      <c r="S14" s="63">
        <f>IF(Q14="","",IF(Q14="Closed",P14-N14,"--"))</f>
        <v/>
      </c>
      <c r="T14" s="56" t="n"/>
      <c r="U14" s="56" t="n"/>
      <c r="V14" s="56" t="n"/>
      <c r="W14" s="50" t="n"/>
    </row>
    <row r="15" ht="15" customHeight="1" s="130">
      <c r="B15" s="64">
        <f>IF(C15="","",B14+1)</f>
        <v/>
      </c>
      <c r="C15" s="77" t="n"/>
      <c r="D15" s="65" t="n"/>
      <c r="E15" s="66" t="n"/>
      <c r="F15" s="77" t="n"/>
      <c r="G15" s="64">
        <f>IF($F15="","",IFERROR(INDEX('WORK PACKAGES'!$A$2:$A$100,MATCH($F15,'WORK PACKAGES'!$D$2:$D$100,0)),""))</f>
        <v/>
      </c>
      <c r="H15" s="64">
        <f>IF($F15="","",INDEX('WORK PACKAGES'!$E$2:$E$100,MATCH($F15,'WORK PACKAGES'!$D$2:$D$100,0)))</f>
        <v/>
      </c>
      <c r="I15" s="78" t="n"/>
      <c r="J15" s="78" t="n"/>
      <c r="K15" s="78" t="n"/>
      <c r="L15" s="66" t="n"/>
      <c r="M15" s="67" t="n"/>
      <c r="N15" s="79" t="n"/>
      <c r="O15" s="78" t="n"/>
      <c r="P15" s="79" t="n"/>
      <c r="Q15" s="57" t="n"/>
      <c r="R15" s="63">
        <f>IF(Q15="","",IF(Q15="Open",TODAY()-N15,"--"))</f>
        <v/>
      </c>
      <c r="S15" s="63">
        <f>IF(Q15="","",IF(Q15="Closed",P15-N15,"--"))</f>
        <v/>
      </c>
      <c r="W15" s="50" t="n"/>
    </row>
    <row r="16" ht="15" customHeight="1" s="130">
      <c r="B16" s="64">
        <f>IF(C16="","",B15+1)</f>
        <v/>
      </c>
      <c r="C16" s="65" t="n"/>
      <c r="D16" s="65" t="n"/>
      <c r="E16" s="66" t="n"/>
      <c r="F16" s="77" t="n"/>
      <c r="G16" s="64">
        <f>IF($F16="","",IFERROR(INDEX('WORK PACKAGES'!$A$2:$A$100,MATCH($F16,'WORK PACKAGES'!$D$2:$D$100,0)),""))</f>
        <v/>
      </c>
      <c r="H16" s="64">
        <f>IF($F16="","",INDEX('WORK PACKAGES'!$E$2:$E$100,MATCH($F16,'WORK PACKAGES'!$D$2:$D$100,0)))</f>
        <v/>
      </c>
      <c r="I16" s="78" t="n"/>
      <c r="J16" s="78" t="n"/>
      <c r="K16" s="78" t="n"/>
      <c r="L16" s="82" t="n"/>
      <c r="M16" s="67" t="n"/>
      <c r="N16" s="79" t="n"/>
      <c r="O16" s="78" t="n"/>
      <c r="P16" s="79" t="n"/>
      <c r="Q16" s="57" t="n"/>
      <c r="R16" s="63">
        <f>IF(Q16="","",IF(Q16="Open",TODAY()-N16,"--"))</f>
        <v/>
      </c>
      <c r="S16" s="63">
        <f>IF(Q16="","",IF(Q16="Closed",P16-N16,"--"))</f>
        <v/>
      </c>
      <c r="W16" s="50" t="n"/>
    </row>
    <row r="17" ht="15" customHeight="1" s="130">
      <c r="B17" s="64">
        <f>IF(C17="","",B16+1)</f>
        <v/>
      </c>
      <c r="C17" s="65" t="n"/>
      <c r="D17" s="65" t="n"/>
      <c r="E17" s="66" t="n"/>
      <c r="F17" s="77" t="n"/>
      <c r="G17" s="64">
        <f>IF($F17="","",IFERROR(INDEX('WORK PACKAGES'!$A$2:$A$100,MATCH($F17,'WORK PACKAGES'!$D$2:$D$100,0)),""))</f>
        <v/>
      </c>
      <c r="H17" s="64">
        <f>IF($F17="","",INDEX('WORK PACKAGES'!$E$2:$E$100,MATCH($F17,'WORK PACKAGES'!$D$2:$D$100,0)))</f>
        <v/>
      </c>
      <c r="I17" s="78" t="n"/>
      <c r="J17" s="78" t="n"/>
      <c r="K17" s="78" t="n"/>
      <c r="L17" s="66" t="n"/>
      <c r="M17" s="67" t="n"/>
      <c r="N17" s="79" t="n"/>
      <c r="O17" s="78" t="n"/>
      <c r="P17" s="79" t="n"/>
      <c r="Q17" s="57" t="n"/>
      <c r="R17" s="63">
        <f>IF(Q17="","",IF(Q17="Open",TODAY()-N17,"--"))</f>
        <v/>
      </c>
      <c r="S17" s="63">
        <f>IF(Q17="","",IF(Q17="Closed",P17-N17,"--"))</f>
        <v/>
      </c>
      <c r="W17" s="50" t="n"/>
    </row>
    <row r="18" ht="15" customHeight="1" s="130">
      <c r="B18" s="64">
        <f>IF(C18="","",B17+1)</f>
        <v/>
      </c>
      <c r="C18" s="65" t="n"/>
      <c r="D18" s="65" t="n"/>
      <c r="E18" s="66" t="n"/>
      <c r="F18" s="77" t="n"/>
      <c r="G18" s="64">
        <f>IF($F18="","",IFERROR(INDEX('WORK PACKAGES'!$A$2:$A$100,MATCH($F18,'WORK PACKAGES'!$D$2:$D$100,0)),""))</f>
        <v/>
      </c>
      <c r="H18" s="64">
        <f>IF($F18="","",INDEX('WORK PACKAGES'!$E$2:$E$100,MATCH($F18,'WORK PACKAGES'!$D$2:$D$100,0)))</f>
        <v/>
      </c>
      <c r="I18" s="78" t="n"/>
      <c r="J18" s="78" t="n"/>
      <c r="K18" s="78" t="n"/>
      <c r="L18" s="82" t="n"/>
      <c r="M18" s="67" t="n"/>
      <c r="N18" s="79" t="n"/>
      <c r="O18" s="78" t="n"/>
      <c r="P18" s="79" t="n"/>
      <c r="Q18" s="57" t="n"/>
      <c r="R18" s="63">
        <f>IF(Q18="","",IF(Q18="Open",TODAY()-N18,"--"))</f>
        <v/>
      </c>
      <c r="S18" s="63">
        <f>IF(Q18="","",IF(Q18="Closed",P18-N18,"--"))</f>
        <v/>
      </c>
      <c r="W18" s="50" t="n"/>
    </row>
    <row r="19" ht="15" customHeight="1" s="130">
      <c r="B19" s="64">
        <f>IF(C19="","",B18+1)</f>
        <v/>
      </c>
      <c r="C19" s="65" t="n"/>
      <c r="D19" s="65" t="n"/>
      <c r="E19" s="66" t="n"/>
      <c r="F19" s="77" t="n"/>
      <c r="G19" s="64">
        <f>IF($F19="","",IFERROR(INDEX('WORK PACKAGES'!$A$2:$A$100,MATCH($F19,'WORK PACKAGES'!$D$2:$D$100,0)),""))</f>
        <v/>
      </c>
      <c r="H19" s="64">
        <f>IF($F19="","",INDEX('WORK PACKAGES'!$E$2:$E$100,MATCH($F19,'WORK PACKAGES'!$D$2:$D$100,0)))</f>
        <v/>
      </c>
      <c r="I19" s="78" t="n"/>
      <c r="J19" s="78" t="n"/>
      <c r="K19" s="78" t="n"/>
      <c r="L19" s="82" t="n"/>
      <c r="M19" s="67" t="n"/>
      <c r="N19" s="79" t="n"/>
      <c r="O19" s="78" t="n"/>
      <c r="P19" s="79" t="n"/>
      <c r="Q19" s="57" t="n"/>
      <c r="R19" s="63">
        <f>IF(Q19="","",IF(Q19="Open",TODAY()-N19,"--"))</f>
        <v/>
      </c>
      <c r="S19" s="63">
        <f>IF(Q19="","",IF(Q19="Closed",P19-N19,"--"))</f>
        <v/>
      </c>
      <c r="W19" s="50" t="n"/>
    </row>
    <row r="20" ht="15" customHeight="1" s="130">
      <c r="B20" s="64">
        <f>IF(C20="","",B19+1)</f>
        <v/>
      </c>
      <c r="C20" s="65" t="n"/>
      <c r="D20" s="65" t="n"/>
      <c r="E20" s="66" t="n"/>
      <c r="F20" s="77" t="n"/>
      <c r="G20" s="64">
        <f>IF($F20="","",IFERROR(INDEX('WORK PACKAGES'!$A$2:$A$100,MATCH($F20,'WORK PACKAGES'!$D$2:$D$100,0)),""))</f>
        <v/>
      </c>
      <c r="H20" s="64">
        <f>IF($F20="","",INDEX('WORK PACKAGES'!$E$2:$E$100,MATCH($F20,'WORK PACKAGES'!$D$2:$D$100,0)))</f>
        <v/>
      </c>
      <c r="I20" s="78" t="n"/>
      <c r="J20" s="78" t="n"/>
      <c r="K20" s="78" t="n"/>
      <c r="L20" s="82" t="n"/>
      <c r="M20" s="67" t="n"/>
      <c r="N20" s="79" t="n"/>
      <c r="O20" s="78" t="n"/>
      <c r="P20" s="79" t="n"/>
      <c r="Q20" s="57" t="n"/>
      <c r="R20" s="63">
        <f>IF(Q20="","",IF(Q20="Open",TODAY()-N20,"--"))</f>
        <v/>
      </c>
      <c r="S20" s="63">
        <f>IF(Q20="","",IF(Q20="Closed",P20-N20,"--"))</f>
        <v/>
      </c>
      <c r="W20" s="50" t="n"/>
    </row>
    <row r="21" ht="15" customHeight="1" s="130">
      <c r="B21" s="64">
        <f>IF(C21="","",B20+1)</f>
        <v/>
      </c>
      <c r="C21" s="65" t="n"/>
      <c r="D21" s="65" t="n"/>
      <c r="E21" s="66" t="n"/>
      <c r="F21" s="77" t="n"/>
      <c r="G21" s="64">
        <f>IF($F21="","",IFERROR(INDEX('WORK PACKAGES'!$A$2:$A$100,MATCH($F21,'WORK PACKAGES'!$D$2:$D$100,0)),""))</f>
        <v/>
      </c>
      <c r="H21" s="64">
        <f>IF($F21="","",INDEX('WORK PACKAGES'!$E$2:$E$100,MATCH($F21,'WORK PACKAGES'!$D$2:$D$100,0)))</f>
        <v/>
      </c>
      <c r="I21" s="78" t="n"/>
      <c r="J21" s="78" t="n"/>
      <c r="K21" s="78" t="n"/>
      <c r="L21" s="82" t="n"/>
      <c r="M21" s="67" t="n"/>
      <c r="N21" s="79" t="n"/>
      <c r="O21" s="78" t="n"/>
      <c r="P21" s="79" t="n"/>
      <c r="Q21" s="57" t="n"/>
      <c r="R21" s="63">
        <f>IF(Q21="","",IF(Q21="Open",TODAY()-N21,"--"))</f>
        <v/>
      </c>
      <c r="S21" s="63">
        <f>IF(Q21="","",IF(Q21="Closed",P21-N21,"--"))</f>
        <v/>
      </c>
      <c r="W21" s="50" t="n"/>
    </row>
    <row r="22" ht="15" customHeight="1" s="130">
      <c r="B22" s="64">
        <f>IF(C22="","",B21+1)</f>
        <v/>
      </c>
      <c r="C22" s="65" t="n"/>
      <c r="D22" s="65" t="n"/>
      <c r="E22" s="66" t="n"/>
      <c r="F22" s="77" t="n"/>
      <c r="G22" s="64">
        <f>IF($F22="","",IFERROR(INDEX('WORK PACKAGES'!$A$2:$A$100,MATCH($F22,'WORK PACKAGES'!$D$2:$D$100,0)),""))</f>
        <v/>
      </c>
      <c r="H22" s="64">
        <f>IF($F22="","",INDEX('WORK PACKAGES'!$E$2:$E$100,MATCH($F22,'WORK PACKAGES'!$D$2:$D$100,0)))</f>
        <v/>
      </c>
      <c r="I22" s="78" t="n"/>
      <c r="J22" s="78" t="n"/>
      <c r="K22" s="78" t="n"/>
      <c r="L22" s="82" t="n"/>
      <c r="M22" s="67" t="n"/>
      <c r="N22" s="79" t="n"/>
      <c r="O22" s="78" t="n"/>
      <c r="P22" s="79" t="n"/>
      <c r="Q22" s="57" t="n"/>
      <c r="R22" s="63">
        <f>IF(Q22="","",IF(Q22="Open",TODAY()-N22,"--"))</f>
        <v/>
      </c>
      <c r="S22" s="63">
        <f>IF(Q22="","",IF(Q22="Closed",P22-N22,"--"))</f>
        <v/>
      </c>
      <c r="W22" s="50" t="n"/>
    </row>
    <row r="23" ht="15" customHeight="1" s="130">
      <c r="B23" s="64">
        <f>IF(C23="","",B22+1)</f>
        <v/>
      </c>
      <c r="C23" s="83" t="n"/>
      <c r="D23" s="65" t="n"/>
      <c r="E23" s="66" t="n"/>
      <c r="F23" s="77" t="n"/>
      <c r="G23" s="64">
        <f>IF($F23="","",IFERROR(INDEX('WORK PACKAGES'!$A$2:$A$100,MATCH($F23,'WORK PACKAGES'!$D$2:$D$100,0)),""))</f>
        <v/>
      </c>
      <c r="H23" s="64">
        <f>IF($F23="","",INDEX('WORK PACKAGES'!$E$2:$E$100,MATCH($F23,'WORK PACKAGES'!$D$2:$D$100,0)))</f>
        <v/>
      </c>
      <c r="I23" s="78" t="n"/>
      <c r="J23" s="78" t="n"/>
      <c r="K23" s="78" t="n"/>
      <c r="L23" s="82" t="n"/>
      <c r="M23" s="67" t="n"/>
      <c r="N23" s="79" t="n"/>
      <c r="O23" s="78" t="n"/>
      <c r="P23" s="79" t="n"/>
      <c r="Q23" s="57" t="n"/>
      <c r="R23" s="63">
        <f>IF(Q23="","",IF(Q23="Open",TODAY()-N23,"--"))</f>
        <v/>
      </c>
      <c r="S23" s="63">
        <f>IF(Q23="","",IF(Q23="Closed",P23-N23,"--"))</f>
        <v/>
      </c>
      <c r="W23" s="50" t="n"/>
    </row>
    <row r="24" ht="15" customHeight="1" s="130">
      <c r="B24" s="64">
        <f>IF(C24="","",B23+1)</f>
        <v/>
      </c>
      <c r="C24" s="65" t="n"/>
      <c r="D24" s="65" t="n"/>
      <c r="E24" s="66" t="n"/>
      <c r="F24" s="77" t="n"/>
      <c r="G24" s="64">
        <f>IF($F24="","",IFERROR(INDEX('WORK PACKAGES'!$A$2:$A$100,MATCH($F24,'WORK PACKAGES'!$D$2:$D$100,0)),""))</f>
        <v/>
      </c>
      <c r="H24" s="64">
        <f>IF($F24="","",INDEX('WORK PACKAGES'!$E$2:$E$100,MATCH($F24,'WORK PACKAGES'!$D$2:$D$100,0)))</f>
        <v/>
      </c>
      <c r="I24" s="78" t="n"/>
      <c r="J24" s="78" t="n"/>
      <c r="K24" s="78" t="n"/>
      <c r="L24" s="82" t="n"/>
      <c r="M24" s="67" t="n"/>
      <c r="N24" s="79" t="n"/>
      <c r="O24" s="78" t="n"/>
      <c r="P24" s="79" t="n"/>
      <c r="Q24" s="57" t="n"/>
      <c r="R24" s="63">
        <f>IF(Q24="","",IF(Q24="Open",TODAY()-N24,"--"))</f>
        <v/>
      </c>
      <c r="S24" s="63">
        <f>IF(Q24="","",IF(Q24="Closed",P24-N24,"--"))</f>
        <v/>
      </c>
      <c r="W24" s="50" t="n"/>
    </row>
    <row r="25" ht="15" customHeight="1" s="130">
      <c r="B25" s="64">
        <f>IF(C25="","",B24+1)</f>
        <v/>
      </c>
      <c r="C25" s="65" t="n"/>
      <c r="D25" s="65" t="n"/>
      <c r="E25" s="66" t="n"/>
      <c r="F25" s="77" t="n"/>
      <c r="G25" s="64">
        <f>IF($F25="","",IFERROR(INDEX('WORK PACKAGES'!$A$2:$A$100,MATCH($F25,'WORK PACKAGES'!$D$2:$D$100,0)),""))</f>
        <v/>
      </c>
      <c r="H25" s="64">
        <f>IF($F25="","",INDEX('WORK PACKAGES'!$E$2:$E$100,MATCH($F25,'WORK PACKAGES'!$D$2:$D$100,0)))</f>
        <v/>
      </c>
      <c r="I25" s="78" t="n"/>
      <c r="J25" s="84" t="n"/>
      <c r="K25" s="78" t="n"/>
      <c r="L25" s="66" t="n"/>
      <c r="M25" s="67" t="n"/>
      <c r="N25" s="79" t="n"/>
      <c r="O25" s="78" t="n"/>
      <c r="P25" s="79" t="n"/>
      <c r="Q25" s="57" t="n"/>
      <c r="R25" s="63">
        <f>IF(Q25="","",IF(Q25="Open",TODAY()-N25,"--"))</f>
        <v/>
      </c>
      <c r="S25" s="63">
        <f>IF(Q25="","",IF(Q25="Closed",P25-N25,"--"))</f>
        <v/>
      </c>
      <c r="W25" s="50" t="n"/>
    </row>
    <row r="26" ht="15" customHeight="1" s="130">
      <c r="B26" s="64">
        <f>IF(C26="","",B25+1)</f>
        <v/>
      </c>
      <c r="C26" s="65" t="n"/>
      <c r="D26" s="65" t="n"/>
      <c r="E26" s="66" t="n"/>
      <c r="F26" s="77" t="n"/>
      <c r="G26" s="64">
        <f>IF($F26="","",IFERROR(INDEX('WORK PACKAGES'!$A$2:$A$100,MATCH($F26,'WORK PACKAGES'!$D$2:$D$100,0)),""))</f>
        <v/>
      </c>
      <c r="H26" s="64">
        <f>IF($F26="","",INDEX('WORK PACKAGES'!$E$2:$E$100,MATCH($F26,'WORK PACKAGES'!$D$2:$D$100,0)))</f>
        <v/>
      </c>
      <c r="I26" s="78" t="n"/>
      <c r="J26" s="78" t="n"/>
      <c r="K26" s="78" t="n"/>
      <c r="L26" s="82" t="n"/>
      <c r="M26" s="67" t="n"/>
      <c r="N26" s="79" t="n"/>
      <c r="O26" s="78" t="n"/>
      <c r="P26" s="79" t="n"/>
      <c r="Q26" s="57" t="n"/>
      <c r="R26" s="63">
        <f>IF(Q26="","",IF(Q26="Open",TODAY()-N26,"--"))</f>
        <v/>
      </c>
      <c r="S26" s="63">
        <f>IF(Q26="","",IF(Q26="Closed",P26-N26,"--"))</f>
        <v/>
      </c>
      <c r="W26" s="50" t="n"/>
    </row>
    <row r="27" ht="15" customHeight="1" s="130">
      <c r="B27" s="64">
        <f>IF(C27="","",B26+1)</f>
        <v/>
      </c>
      <c r="C27" s="65" t="n"/>
      <c r="D27" s="65" t="n"/>
      <c r="E27" s="66" t="n"/>
      <c r="F27" s="77" t="n"/>
      <c r="G27" s="64">
        <f>IF($F27="","",IFERROR(INDEX('WORK PACKAGES'!$A$2:$A$100,MATCH($F27,'WORK PACKAGES'!$D$2:$D$100,0)),""))</f>
        <v/>
      </c>
      <c r="H27" s="64">
        <f>IF($F27="","",INDEX('WORK PACKAGES'!$E$2:$E$100,MATCH($F27,'WORK PACKAGES'!$D$2:$D$100,0)))</f>
        <v/>
      </c>
      <c r="I27" s="78" t="n"/>
      <c r="J27" s="78" t="n"/>
      <c r="K27" s="78" t="n"/>
      <c r="L27" s="82" t="n"/>
      <c r="M27" s="67" t="n"/>
      <c r="N27" s="79" t="n"/>
      <c r="O27" s="78" t="n"/>
      <c r="P27" s="79" t="n"/>
      <c r="Q27" s="57" t="n"/>
      <c r="R27" s="63">
        <f>IF(Q27="","",IF(Q27="Open",TODAY()-N27,"--"))</f>
        <v/>
      </c>
      <c r="S27" s="63">
        <f>IF(Q27="","",IF(Q27="Closed",P27-N27,"--"))</f>
        <v/>
      </c>
      <c r="W27" s="50" t="n"/>
    </row>
    <row r="28" ht="15" customHeight="1" s="130">
      <c r="B28" s="64">
        <f>IF(C28="","",B27+1)</f>
        <v/>
      </c>
      <c r="C28" s="65" t="n"/>
      <c r="D28" s="65" t="n"/>
      <c r="E28" s="66" t="n"/>
      <c r="F28" s="77" t="n"/>
      <c r="G28" s="64">
        <f>IF($F28="","",IFERROR(INDEX('WORK PACKAGES'!$A$2:$A$100,MATCH($F28,'WORK PACKAGES'!$D$2:$D$100,0)),""))</f>
        <v/>
      </c>
      <c r="H28" s="64">
        <f>IF($F28="","",INDEX('WORK PACKAGES'!$E$2:$E$100,MATCH($F28,'WORK PACKAGES'!$D$2:$D$100,0)))</f>
        <v/>
      </c>
      <c r="I28" s="78" t="n"/>
      <c r="J28" s="84" t="n"/>
      <c r="K28" s="78" t="n"/>
      <c r="L28" s="82" t="n"/>
      <c r="M28" s="67" t="n"/>
      <c r="N28" s="79" t="n"/>
      <c r="O28" s="78" t="n"/>
      <c r="P28" s="79" t="n"/>
      <c r="Q28" s="57" t="n"/>
      <c r="R28" s="63">
        <f>IF(Q28="","",IF(Q28="Open",TODAY()-N28,"--"))</f>
        <v/>
      </c>
      <c r="S28" s="63">
        <f>IF(Q28="","",IF(Q28="Closed",P28-N28,"--"))</f>
        <v/>
      </c>
      <c r="W28" s="50" t="n"/>
    </row>
    <row r="29" ht="15" customHeight="1" s="130">
      <c r="B29" s="64">
        <f>IF(C29="","",B28+1)</f>
        <v/>
      </c>
      <c r="C29" s="65" t="n"/>
      <c r="D29" s="65" t="n"/>
      <c r="E29" s="66" t="n"/>
      <c r="F29" s="77" t="n"/>
      <c r="G29" s="64">
        <f>IF($F29="","",IFERROR(INDEX('WORK PACKAGES'!$A$2:$A$100,MATCH($F29,'WORK PACKAGES'!$D$2:$D$100,0)),""))</f>
        <v/>
      </c>
      <c r="H29" s="64">
        <f>IF($F29="","",INDEX('WORK PACKAGES'!$E$2:$E$100,MATCH($F29,'WORK PACKAGES'!$D$2:$D$100,0)))</f>
        <v/>
      </c>
      <c r="I29" s="78" t="n"/>
      <c r="J29" s="78" t="n"/>
      <c r="K29" s="78" t="n"/>
      <c r="L29" s="82" t="n"/>
      <c r="M29" s="67" t="n"/>
      <c r="N29" s="79" t="n"/>
      <c r="O29" s="78" t="n"/>
      <c r="P29" s="79" t="n"/>
      <c r="Q29" s="57" t="n"/>
      <c r="R29" s="63">
        <f>IF(Q29="","",IF(Q29="Open",TODAY()-N29,"--"))</f>
        <v/>
      </c>
      <c r="S29" s="63">
        <f>IF(Q29="","",IF(Q29="Closed",P29-N29,"--"))</f>
        <v/>
      </c>
      <c r="W29" s="50" t="n"/>
    </row>
    <row r="30" ht="15" customHeight="1" s="130">
      <c r="B30" s="64">
        <f>IF(C30="","",B29+1)</f>
        <v/>
      </c>
      <c r="C30" s="65" t="n"/>
      <c r="D30" s="65" t="n"/>
      <c r="E30" s="66" t="n"/>
      <c r="F30" s="77" t="n"/>
      <c r="G30" s="64">
        <f>IF($F30="","",IFERROR(INDEX('WORK PACKAGES'!$A$2:$A$100,MATCH($F30,'WORK PACKAGES'!$D$2:$D$100,0)),""))</f>
        <v/>
      </c>
      <c r="H30" s="64">
        <f>IF($F30="","",INDEX('WORK PACKAGES'!$E$2:$E$100,MATCH($F30,'WORK PACKAGES'!$D$2:$D$100,0)))</f>
        <v/>
      </c>
      <c r="I30" s="78" t="n"/>
      <c r="J30" s="78" t="n"/>
      <c r="K30" s="78" t="n"/>
      <c r="L30" s="82" t="n"/>
      <c r="M30" s="67" t="n"/>
      <c r="N30" s="79" t="n"/>
      <c r="O30" s="78" t="n"/>
      <c r="P30" s="79" t="n"/>
      <c r="Q30" s="57" t="n"/>
      <c r="R30" s="63">
        <f>IF(Q30="","",IF(Q30="Open",TODAY()-N30,"--"))</f>
        <v/>
      </c>
      <c r="S30" s="63">
        <f>IF(Q30="","",IF(Q30="Closed",P30-N30,"--"))</f>
        <v/>
      </c>
      <c r="W30" s="50" t="n"/>
    </row>
    <row r="31" ht="15" customHeight="1" s="130">
      <c r="B31" s="64">
        <f>IF(C31="","",B30+1)</f>
        <v/>
      </c>
      <c r="C31" s="65" t="n"/>
      <c r="D31" s="65" t="n"/>
      <c r="E31" s="66" t="n"/>
      <c r="F31" s="77" t="n"/>
      <c r="G31" s="64">
        <f>IF($F31="","",IFERROR(INDEX('WORK PACKAGES'!$A$2:$A$100,MATCH($F31,'WORK PACKAGES'!$D$2:$D$100,0)),""))</f>
        <v/>
      </c>
      <c r="H31" s="64">
        <f>IF($F31="","",INDEX('WORK PACKAGES'!$E$2:$E$100,MATCH($F31,'WORK PACKAGES'!$D$2:$D$100,0)))</f>
        <v/>
      </c>
      <c r="I31" s="78" t="n"/>
      <c r="J31" s="78" t="n"/>
      <c r="K31" s="78" t="n"/>
      <c r="L31" s="82" t="n"/>
      <c r="M31" s="67" t="n"/>
      <c r="N31" s="79" t="n"/>
      <c r="O31" s="85" t="n"/>
      <c r="P31" s="86" t="n"/>
      <c r="Q31" s="57" t="n"/>
      <c r="R31" s="63">
        <f>IF(Q31="","",IF(Q31="Open",TODAY()-N31,"--"))</f>
        <v/>
      </c>
      <c r="S31" s="63">
        <f>IF(Q31="","",IF(Q31="Closed",P31-N31,"--"))</f>
        <v/>
      </c>
      <c r="W31" s="50" t="n"/>
    </row>
    <row r="32" ht="15" customHeight="1" s="130">
      <c r="B32" s="64">
        <f>IF(C32="","",B31+1)</f>
        <v/>
      </c>
      <c r="C32" s="65" t="n"/>
      <c r="D32" s="65" t="n"/>
      <c r="E32" s="66" t="n"/>
      <c r="F32" s="77" t="n"/>
      <c r="G32" s="64">
        <f>IF($F32="","",IFERROR(INDEX('WORK PACKAGES'!$A$2:$A$100,MATCH($F32,'WORK PACKAGES'!$D$2:$D$100,0)),""))</f>
        <v/>
      </c>
      <c r="H32" s="64">
        <f>IF($F32="","",INDEX('WORK PACKAGES'!$E$2:$E$100,MATCH($F32,'WORK PACKAGES'!$D$2:$D$100,0)))</f>
        <v/>
      </c>
      <c r="I32" s="78" t="n"/>
      <c r="J32" s="78" t="n"/>
      <c r="K32" s="78" t="n"/>
      <c r="L32" s="82" t="n"/>
      <c r="M32" s="67" t="n"/>
      <c r="N32" s="79" t="n"/>
      <c r="O32" s="78" t="n"/>
      <c r="P32" s="79" t="n"/>
      <c r="Q32" s="57" t="n"/>
      <c r="R32" s="63">
        <f>IF(Q32="","",IF(Q32="Open",TODAY()-N32,"--"))</f>
        <v/>
      </c>
      <c r="S32" s="63">
        <f>IF(Q32="","",IF(Q32="Closed",P32-N32,"--"))</f>
        <v/>
      </c>
      <c r="W32" s="50" t="n"/>
    </row>
    <row r="33" ht="15" customHeight="1" s="130">
      <c r="B33" s="64">
        <f>IF(C33="","",B32+1)</f>
        <v/>
      </c>
      <c r="C33" s="65" t="n"/>
      <c r="D33" s="65" t="n"/>
      <c r="E33" s="66" t="n"/>
      <c r="F33" s="77" t="n"/>
      <c r="G33" s="64">
        <f>IF($F33="","",IFERROR(INDEX('WORK PACKAGES'!$A$2:$A$100,MATCH($F33,'WORK PACKAGES'!$D$2:$D$100,0)),""))</f>
        <v/>
      </c>
      <c r="H33" s="64">
        <f>IF($F33="","",INDEX('WORK PACKAGES'!$E$2:$E$100,MATCH($F33,'WORK PACKAGES'!$D$2:$D$100,0)))</f>
        <v/>
      </c>
      <c r="I33" s="78" t="n"/>
      <c r="J33" s="78" t="n"/>
      <c r="K33" s="78" t="n"/>
      <c r="L33" s="82" t="n"/>
      <c r="M33" s="67" t="n"/>
      <c r="N33" s="79" t="n"/>
      <c r="O33" s="85" t="n"/>
      <c r="P33" s="86" t="n"/>
      <c r="Q33" s="57" t="n"/>
      <c r="R33" s="63">
        <f>IF(Q33="","",IF(Q33="Open",TODAY()-N33,"--"))</f>
        <v/>
      </c>
      <c r="S33" s="63">
        <f>IF(Q33="","",IF(Q33="Closed",P33-N33,"--"))</f>
        <v/>
      </c>
      <c r="W33" s="50" t="n"/>
    </row>
    <row r="34" ht="15" customHeight="1" s="130">
      <c r="B34" s="64">
        <f>IF(C34="","",B33+1)</f>
        <v/>
      </c>
      <c r="C34" s="65" t="n"/>
      <c r="D34" s="65" t="n"/>
      <c r="E34" s="66" t="n"/>
      <c r="F34" s="77" t="n"/>
      <c r="G34" s="64">
        <f>IF($F34="","",IFERROR(INDEX('WORK PACKAGES'!$A$2:$A$100,MATCH($F34,'WORK PACKAGES'!$D$2:$D$100,0)),""))</f>
        <v/>
      </c>
      <c r="H34" s="64">
        <f>IF($F34="","",INDEX('WORK PACKAGES'!$E$2:$E$100,MATCH($F34,'WORK PACKAGES'!$D$2:$D$100,0)))</f>
        <v/>
      </c>
      <c r="I34" s="78" t="n"/>
      <c r="J34" s="78" t="n"/>
      <c r="K34" s="78" t="n"/>
      <c r="L34" s="82" t="n"/>
      <c r="M34" s="67" t="n"/>
      <c r="N34" s="79" t="n"/>
      <c r="O34" s="78" t="n"/>
      <c r="P34" s="79" t="n"/>
      <c r="Q34" s="57" t="n"/>
      <c r="R34" s="63">
        <f>IF(Q34="","",IF(Q34="Open",TODAY()-N34,"--"))</f>
        <v/>
      </c>
      <c r="S34" s="63">
        <f>IF(Q34="","",IF(Q34="Closed",P34-N34,"--"))</f>
        <v/>
      </c>
      <c r="W34" s="50" t="n"/>
    </row>
    <row r="35" ht="15" customHeight="1" s="130">
      <c r="B35" s="64">
        <f>IF(C35="","",B34+1)</f>
        <v/>
      </c>
      <c r="C35" s="65" t="n"/>
      <c r="D35" s="65" t="n"/>
      <c r="E35" s="66" t="n"/>
      <c r="F35" s="77" t="n"/>
      <c r="G35" s="64">
        <f>IF($F35="","",IFERROR(INDEX('WORK PACKAGES'!$A$2:$A$100,MATCH($F35,'WORK PACKAGES'!$D$2:$D$100,0)),""))</f>
        <v/>
      </c>
      <c r="H35" s="64">
        <f>IF($F35="","",INDEX('WORK PACKAGES'!$E$2:$E$100,MATCH($F35,'WORK PACKAGES'!$D$2:$D$100,0)))</f>
        <v/>
      </c>
      <c r="I35" s="78" t="n"/>
      <c r="J35" s="78" t="n"/>
      <c r="K35" s="78" t="n"/>
      <c r="L35" s="82" t="n"/>
      <c r="M35" s="67" t="n"/>
      <c r="N35" s="79" t="n"/>
      <c r="O35" s="85" t="n"/>
      <c r="P35" s="86" t="n"/>
      <c r="Q35" s="57" t="n"/>
      <c r="R35" s="63">
        <f>IF(Q35="","",IF(Q35="Open",TODAY()-N35,"--"))</f>
        <v/>
      </c>
      <c r="S35" s="63">
        <f>IF(Q35="","",IF(Q35="Closed",P35-N35,"--"))</f>
        <v/>
      </c>
      <c r="W35" s="50" t="n"/>
    </row>
    <row r="36" ht="15" customHeight="1" s="130">
      <c r="B36" s="64">
        <f>IF(C36="","",B35+1)</f>
        <v/>
      </c>
      <c r="C36" s="65" t="n"/>
      <c r="D36" s="65" t="n"/>
      <c r="E36" s="66" t="n"/>
      <c r="F36" s="77" t="n"/>
      <c r="G36" s="64">
        <f>IF($F36="","",IFERROR(INDEX('WORK PACKAGES'!$A$2:$A$100,MATCH($F36,'WORK PACKAGES'!$D$2:$D$100,0)),""))</f>
        <v/>
      </c>
      <c r="H36" s="64">
        <f>IF($F36="","",INDEX('WORK PACKAGES'!$E$2:$E$100,MATCH($F36,'WORK PACKAGES'!$D$2:$D$100,0)))</f>
        <v/>
      </c>
      <c r="I36" s="78" t="n"/>
      <c r="J36" s="78" t="n"/>
      <c r="K36" s="78" t="n"/>
      <c r="L36" s="82" t="n"/>
      <c r="M36" s="67" t="n"/>
      <c r="N36" s="79" t="n"/>
      <c r="O36" s="78" t="n"/>
      <c r="P36" s="79" t="n"/>
      <c r="Q36" s="57" t="n"/>
      <c r="R36" s="63">
        <f>IF(Q36="","",IF(Q36="Open",TODAY()-N36,"--"))</f>
        <v/>
      </c>
      <c r="S36" s="63">
        <f>IF(Q36="","",IF(Q36="Closed",P36-N36,"--"))</f>
        <v/>
      </c>
      <c r="W36" s="50" t="n"/>
    </row>
    <row r="37" ht="15" customHeight="1" s="130">
      <c r="B37" s="64">
        <f>IF(C37="","",B36+1)</f>
        <v/>
      </c>
      <c r="C37" s="77" t="n"/>
      <c r="D37" s="65" t="n"/>
      <c r="E37" s="66" t="n"/>
      <c r="F37" s="77" t="n"/>
      <c r="G37" s="64">
        <f>IF($F37="","",IFERROR(INDEX('WORK PACKAGES'!$A$2:$A$100,MATCH($F37,'WORK PACKAGES'!$D$2:$D$100,0)),""))</f>
        <v/>
      </c>
      <c r="H37" s="64">
        <f>IF($F37="","",INDEX('WORK PACKAGES'!$E$2:$E$100,MATCH($F37,'WORK PACKAGES'!$D$2:$D$100,0)))</f>
        <v/>
      </c>
      <c r="I37" s="78" t="n"/>
      <c r="J37" s="78" t="n"/>
      <c r="K37" s="67" t="n"/>
      <c r="L37" s="82" t="n"/>
      <c r="M37" s="67" t="n"/>
      <c r="N37" s="79" t="n"/>
      <c r="O37" s="85" t="n"/>
      <c r="P37" s="86" t="n"/>
      <c r="Q37" s="57" t="n"/>
      <c r="R37" s="63">
        <f>IF(Q37="","",IF(Q37="Open",TODAY()-N37,"--"))</f>
        <v/>
      </c>
      <c r="S37" s="63">
        <f>IF(Q37="","",IF(Q37="Closed",P37-N37,"--"))</f>
        <v/>
      </c>
      <c r="T37" s="56" t="n"/>
      <c r="U37" s="56" t="n"/>
      <c r="W37" s="50" t="n"/>
    </row>
    <row r="38" ht="15" customHeight="1" s="130">
      <c r="B38" s="64">
        <f>IF(C38="","",B37+1)</f>
        <v/>
      </c>
      <c r="C38" s="65" t="n"/>
      <c r="D38" s="65" t="n"/>
      <c r="E38" s="66" t="n"/>
      <c r="F38" s="77" t="n"/>
      <c r="G38" s="64">
        <f>IF($F38="","",IFERROR(INDEX('WORK PACKAGES'!$A$2:$A$100,MATCH($F38,'WORK PACKAGES'!$D$2:$D$100,0)),""))</f>
        <v/>
      </c>
      <c r="H38" s="64">
        <f>IF($F38="","",INDEX('WORK PACKAGES'!$E$2:$E$100,MATCH($F38,'WORK PACKAGES'!$D$2:$D$100,0)))</f>
        <v/>
      </c>
      <c r="I38" s="78" t="n"/>
      <c r="J38" s="78" t="n"/>
      <c r="K38" s="67" t="n"/>
      <c r="L38" s="80" t="n"/>
      <c r="M38" s="67" t="n"/>
      <c r="N38" s="79" t="n"/>
      <c r="O38" s="78" t="n"/>
      <c r="P38" s="79" t="n"/>
      <c r="Q38" s="57" t="n"/>
      <c r="R38" s="63">
        <f>IF(Q38="","",IF(Q38="Open",TODAY()-N38,"--"))</f>
        <v/>
      </c>
      <c r="S38" s="63">
        <f>IF(Q38="","",IF(Q38="Closed",P38-N38,"--"))</f>
        <v/>
      </c>
      <c r="T38" s="56" t="n"/>
      <c r="U38" s="56" t="n"/>
      <c r="V38" s="56" t="n"/>
      <c r="W38" s="50" t="n"/>
    </row>
    <row r="39" ht="15" customHeight="1" s="130">
      <c r="B39" s="64">
        <f>IF(C39="","",B38+1)</f>
        <v/>
      </c>
      <c r="C39" s="65" t="n"/>
      <c r="D39" s="65" t="n"/>
      <c r="E39" s="66" t="n"/>
      <c r="F39" s="77" t="n"/>
      <c r="G39" s="64">
        <f>IF($F39="","",IFERROR(INDEX('WORK PACKAGES'!$A$2:$A$100,MATCH($F39,'WORK PACKAGES'!$D$2:$D$100,0)),""))</f>
        <v/>
      </c>
      <c r="H39" s="64">
        <f>IF($F39="","",INDEX('WORK PACKAGES'!$E$2:$E$100,MATCH($F39,'WORK PACKAGES'!$D$2:$D$100,0)))</f>
        <v/>
      </c>
      <c r="I39" s="78" t="n"/>
      <c r="J39" s="78" t="n"/>
      <c r="K39" s="78" t="n"/>
      <c r="L39" s="80" t="n"/>
      <c r="M39" s="67" t="n"/>
      <c r="N39" s="79" t="n"/>
      <c r="O39" s="78" t="n"/>
      <c r="P39" s="79" t="n"/>
      <c r="Q39" s="57" t="n"/>
      <c r="R39" s="63">
        <f>IF(Q39="","",IF(Q39="Open",TODAY()-N39,"--"))</f>
        <v/>
      </c>
      <c r="S39" s="63">
        <f>IF(Q39="","",IF(Q39="Closed",P39-N39,"--"))</f>
        <v/>
      </c>
      <c r="W39" s="50" t="n"/>
    </row>
    <row r="40" ht="15" customHeight="1" s="130">
      <c r="A40" s="87" t="n"/>
      <c r="B40" s="64">
        <f>IF(C40="","",B39+1)</f>
        <v/>
      </c>
      <c r="C40" s="65" t="n"/>
      <c r="D40" s="65" t="n"/>
      <c r="E40" s="66" t="n"/>
      <c r="F40" s="77" t="n"/>
      <c r="G40" s="64">
        <f>IF($F40="","",IFERROR(INDEX('WORK PACKAGES'!$A$2:$A$100,MATCH($F40,'WORK PACKAGES'!$D$2:$D$100,0)),""))</f>
        <v/>
      </c>
      <c r="H40" s="64">
        <f>IF($F40="","",INDEX('WORK PACKAGES'!$E$2:$E$100,MATCH($F40,'WORK PACKAGES'!$D$2:$D$100,0)))</f>
        <v/>
      </c>
      <c r="I40" s="78" t="n"/>
      <c r="J40" s="78" t="n"/>
      <c r="K40" s="78" t="n"/>
      <c r="L40" s="66" t="n"/>
      <c r="M40" s="67" t="n"/>
      <c r="N40" s="79" t="n"/>
      <c r="O40" s="67" t="n"/>
      <c r="P40" s="79" t="n"/>
      <c r="Q40" s="57" t="n"/>
      <c r="R40" s="63">
        <f>IF(Q40="","",IF(Q40="Open",TODAY()-N40,"--"))</f>
        <v/>
      </c>
      <c r="S40" s="63">
        <f>IF(Q40="","",IF(Q40="Closed",P40-N40,"--"))</f>
        <v/>
      </c>
      <c r="W40" s="50" t="n"/>
    </row>
    <row r="41" ht="15" customHeight="1" s="130">
      <c r="B41" s="64">
        <f>IF(C41="","",B40+1)</f>
        <v/>
      </c>
      <c r="C41" s="65" t="n"/>
      <c r="D41" s="65" t="n"/>
      <c r="E41" s="66" t="n"/>
      <c r="F41" s="77" t="n"/>
      <c r="G41" s="64">
        <f>IF($F41="","",IFERROR(INDEX('WORK PACKAGES'!$A$2:$A$100,MATCH($F41,'WORK PACKAGES'!$D$2:$D$100,0)),""))</f>
        <v/>
      </c>
      <c r="H41" s="64">
        <f>IF($F41="","",INDEX('WORK PACKAGES'!$E$2:$E$100,MATCH($F41,'WORK PACKAGES'!$D$2:$D$100,0)))</f>
        <v/>
      </c>
      <c r="I41" s="78" t="n"/>
      <c r="J41" s="78" t="n"/>
      <c r="K41" s="78" t="n"/>
      <c r="L41" s="66" t="n"/>
      <c r="M41" s="67" t="n"/>
      <c r="N41" s="79" t="n"/>
      <c r="O41" s="78" t="n"/>
      <c r="P41" s="79" t="n"/>
      <c r="Q41" s="57" t="n"/>
      <c r="R41" s="63">
        <f>IF(Q41="","",IF(Q41="Open",TODAY()-N41,"--"))</f>
        <v/>
      </c>
      <c r="S41" s="63">
        <f>IF(Q41="","",IF(Q41="Closed",P41-N41,"--"))</f>
        <v/>
      </c>
      <c r="W41" s="50" t="n"/>
    </row>
    <row r="42" ht="15" customHeight="1" s="130">
      <c r="B42" s="64">
        <f>IF(C42="","",B41+1)</f>
        <v/>
      </c>
      <c r="C42" s="65" t="n"/>
      <c r="D42" s="65" t="n"/>
      <c r="E42" s="66" t="n"/>
      <c r="F42" s="77" t="n"/>
      <c r="G42" s="64">
        <f>IF($F42="","",IFERROR(INDEX('WORK PACKAGES'!$A$2:$A$100,MATCH($F42,'WORK PACKAGES'!$D$2:$D$100,0)),""))</f>
        <v/>
      </c>
      <c r="H42" s="64">
        <f>IF($F42="","",INDEX('WORK PACKAGES'!$E$2:$E$100,MATCH($F42,'WORK PACKAGES'!$D$2:$D$100,0)))</f>
        <v/>
      </c>
      <c r="I42" s="78" t="n"/>
      <c r="J42" s="78" t="n"/>
      <c r="K42" s="78" t="n"/>
      <c r="L42" s="66" t="n"/>
      <c r="M42" s="67" t="n"/>
      <c r="N42" s="79" t="n"/>
      <c r="O42" s="78" t="n"/>
      <c r="P42" s="79" t="n"/>
      <c r="Q42" s="57" t="n"/>
      <c r="R42" s="63">
        <f>IF(Q42="","",IF(Q42="Open",TODAY()-N42,"--"))</f>
        <v/>
      </c>
      <c r="S42" s="63">
        <f>IF(Q42="","",IF(Q42="Closed",P42-N42,"--"))</f>
        <v/>
      </c>
      <c r="W42" s="50" t="n"/>
    </row>
    <row r="43" ht="15" customHeight="1" s="130">
      <c r="A43" s="87" t="n"/>
      <c r="B43" s="64">
        <f>IF(C43="","",B42+1)</f>
        <v/>
      </c>
      <c r="C43" s="65" t="n"/>
      <c r="D43" s="65" t="n"/>
      <c r="E43" s="66" t="n"/>
      <c r="F43" s="77" t="n"/>
      <c r="G43" s="64">
        <f>IF($F43="","",IFERROR(INDEX('WORK PACKAGES'!$A$2:$A$100,MATCH($F43,'WORK PACKAGES'!$D$2:$D$100,0)),""))</f>
        <v/>
      </c>
      <c r="H43" s="64">
        <f>IF($F43="","",INDEX('WORK PACKAGES'!$E$2:$E$100,MATCH($F43,'WORK PACKAGES'!$D$2:$D$100,0)))</f>
        <v/>
      </c>
      <c r="I43" s="78" t="n"/>
      <c r="J43" s="78" t="n"/>
      <c r="K43" s="78" t="n"/>
      <c r="L43" s="66" t="n"/>
      <c r="M43" s="67" t="n"/>
      <c r="N43" s="79" t="n"/>
      <c r="O43" s="78" t="n"/>
      <c r="P43" s="79" t="n"/>
      <c r="Q43" s="57" t="n"/>
      <c r="R43" s="63">
        <f>IF(Q43="","",IF(Q43="Open",TODAY()-N43,"--"))</f>
        <v/>
      </c>
      <c r="S43" s="63">
        <f>IF(Q43="","",IF(Q43="Closed",P43-N43,"--"))</f>
        <v/>
      </c>
      <c r="W43" s="50" t="n"/>
    </row>
    <row r="44" ht="15" customHeight="1" s="130">
      <c r="B44" s="64">
        <f>IF(C44="","",B43+1)</f>
        <v/>
      </c>
      <c r="C44" s="65" t="n"/>
      <c r="D44" s="65" t="n"/>
      <c r="E44" s="66" t="n"/>
      <c r="F44" s="77" t="n"/>
      <c r="G44" s="64">
        <f>IF($F44="","",IFERROR(INDEX('WORK PACKAGES'!$A$2:$A$100,MATCH($F44,'WORK PACKAGES'!$D$2:$D$100,0)),""))</f>
        <v/>
      </c>
      <c r="H44" s="64">
        <f>IF($F44="","",INDEX('WORK PACKAGES'!$E$2:$E$100,MATCH($F44,'WORK PACKAGES'!$D$2:$D$100,0)))</f>
        <v/>
      </c>
      <c r="I44" s="78" t="n"/>
      <c r="J44" s="78" t="n"/>
      <c r="K44" s="78" t="n"/>
      <c r="L44" s="66" t="n"/>
      <c r="M44" s="67" t="n"/>
      <c r="N44" s="79" t="n"/>
      <c r="O44" s="78" t="n"/>
      <c r="P44" s="79" t="n"/>
      <c r="Q44" s="57" t="n"/>
      <c r="R44" s="63">
        <f>IF(Q44="","",IF(Q44="Open",TODAY()-N44,"--"))</f>
        <v/>
      </c>
      <c r="S44" s="63">
        <f>IF(Q44="","",IF(Q44="Closed",P44-N44,"--"))</f>
        <v/>
      </c>
      <c r="W44" s="50" t="n"/>
    </row>
    <row r="45" ht="15" customHeight="1" s="130">
      <c r="B45" s="64">
        <f>IF(C45="","",B44+1)</f>
        <v/>
      </c>
      <c r="C45" s="65" t="n"/>
      <c r="D45" s="65" t="n"/>
      <c r="E45" s="66" t="n"/>
      <c r="F45" s="77" t="n"/>
      <c r="G45" s="64">
        <f>IF($F45="","",IFERROR(INDEX('WORK PACKAGES'!$A$2:$A$100,MATCH($F45,'WORK PACKAGES'!$D$2:$D$100,0)),""))</f>
        <v/>
      </c>
      <c r="H45" s="64">
        <f>IF($F45="","",INDEX('WORK PACKAGES'!$E$2:$E$100,MATCH($F45,'WORK PACKAGES'!$D$2:$D$100,0)))</f>
        <v/>
      </c>
      <c r="I45" s="78" t="n"/>
      <c r="J45" s="78" t="n"/>
      <c r="K45" s="78" t="n"/>
      <c r="L45" s="82" t="n"/>
      <c r="M45" s="67" t="n"/>
      <c r="N45" s="79" t="n"/>
      <c r="O45" s="78" t="n"/>
      <c r="P45" s="79" t="n"/>
      <c r="Q45" s="57" t="n"/>
      <c r="R45" s="63">
        <f>IF(Q45="","",IF(Q45="Open",TODAY()-N45,"--"))</f>
        <v/>
      </c>
      <c r="S45" s="63">
        <f>IF(Q45="","",IF(Q45="Closed",P45-N45,"--"))</f>
        <v/>
      </c>
      <c r="T45" s="56" t="n"/>
      <c r="U45" s="56" t="n"/>
      <c r="W45" s="50" t="n"/>
    </row>
    <row r="46" ht="15" customHeight="1" s="130">
      <c r="B46" s="64">
        <f>IF(C46="","",B45+1)</f>
        <v/>
      </c>
      <c r="C46" s="65" t="n"/>
      <c r="D46" s="65" t="n"/>
      <c r="E46" s="66" t="n"/>
      <c r="F46" s="77" t="n"/>
      <c r="G46" s="64">
        <f>IF($F46="","",IFERROR(INDEX('WORK PACKAGES'!$A$2:$A$100,MATCH($F46,'WORK PACKAGES'!$D$2:$D$100,0)),""))</f>
        <v/>
      </c>
      <c r="H46" s="64">
        <f>IF($F46="","",INDEX('WORK PACKAGES'!$E$2:$E$100,MATCH($F46,'WORK PACKAGES'!$D$2:$D$100,0)))</f>
        <v/>
      </c>
      <c r="I46" s="78" t="n"/>
      <c r="J46" s="78" t="n"/>
      <c r="K46" s="78" t="n"/>
      <c r="L46" s="82" t="n"/>
      <c r="M46" s="67" t="n"/>
      <c r="N46" s="79" t="n"/>
      <c r="O46" s="78" t="n"/>
      <c r="P46" s="79" t="n"/>
      <c r="R46" s="63">
        <f>IF(Q46="","",IF(Q46="Open",TODAY()-N46,"--"))</f>
        <v/>
      </c>
      <c r="S46" s="63">
        <f>IF(Q46="","",IF(Q46="Closed",P46-N46,"--"))</f>
        <v/>
      </c>
      <c r="T46" s="56" t="n"/>
      <c r="U46" s="56" t="n"/>
      <c r="W46" s="50" t="n"/>
    </row>
    <row r="47" ht="15" customHeight="1" s="130">
      <c r="B47" s="64">
        <f>IF(C47="","",B46+1)</f>
        <v/>
      </c>
      <c r="C47" s="65" t="n"/>
      <c r="D47" s="65" t="n"/>
      <c r="E47" s="66" t="n"/>
      <c r="F47" s="77" t="n"/>
      <c r="G47" s="64">
        <f>IF($F47="","",IFERROR(INDEX('WORK PACKAGES'!$A$2:$A$100,MATCH($F47,'WORK PACKAGES'!$D$2:$D$100,0)),""))</f>
        <v/>
      </c>
      <c r="H47" s="64">
        <f>IF($F47="","",INDEX('WORK PACKAGES'!$E$2:$E$100,MATCH($F47,'WORK PACKAGES'!$D$2:$D$100,0)))</f>
        <v/>
      </c>
      <c r="I47" s="78" t="n"/>
      <c r="J47" s="78" t="n"/>
      <c r="K47" s="67" t="n"/>
      <c r="L47" s="82" t="n"/>
      <c r="M47" s="67" t="n"/>
      <c r="N47" s="79" t="n"/>
      <c r="O47" s="78" t="n"/>
      <c r="P47" s="79" t="n"/>
      <c r="R47" s="63">
        <f>IF(Q47="","",IF(Q47="Open",TODAY()-N47,"--"))</f>
        <v/>
      </c>
      <c r="S47" s="63">
        <f>IF(Q47="","",IF(Q47="Closed",P47-N47,"--"))</f>
        <v/>
      </c>
      <c r="T47" s="56" t="n"/>
      <c r="U47" s="56" t="n"/>
      <c r="W47" s="50" t="n"/>
    </row>
    <row r="48" ht="15" customHeight="1" s="130">
      <c r="B48" s="64">
        <f>IF(C48="","",B47+1)</f>
        <v/>
      </c>
      <c r="C48" s="65" t="n"/>
      <c r="D48" s="65" t="n"/>
      <c r="E48" s="66" t="n"/>
      <c r="F48" s="77" t="n"/>
      <c r="G48" s="64">
        <f>IF($F48="","",IFERROR(INDEX('WORK PACKAGES'!$A$2:$A$100,MATCH($F48,'WORK PACKAGES'!$D$2:$D$100,0)),""))</f>
        <v/>
      </c>
      <c r="H48" s="64">
        <f>IF($F48="","",INDEX('WORK PACKAGES'!$E$2:$E$100,MATCH($F48,'WORK PACKAGES'!$D$2:$D$100,0)))</f>
        <v/>
      </c>
      <c r="I48" s="78" t="n"/>
      <c r="J48" s="78" t="n"/>
      <c r="K48" s="78" t="n"/>
      <c r="L48" s="66" t="n"/>
      <c r="M48" s="67" t="n"/>
      <c r="N48" s="79" t="n"/>
      <c r="O48" s="78" t="n"/>
      <c r="P48" s="79" t="n"/>
      <c r="R48" s="63">
        <f>IF(Q48="","",IF(Q48="Open",TODAY()-N48,"--"))</f>
        <v/>
      </c>
      <c r="S48" s="63">
        <f>IF(Q48="","",IF(Q48="Closed",P48-N48,"--"))</f>
        <v/>
      </c>
      <c r="W48" s="50" t="n"/>
    </row>
    <row r="49" ht="15" customHeight="1" s="130">
      <c r="B49" s="64">
        <f>IF(C49="","",B48+1)</f>
        <v/>
      </c>
      <c r="C49" s="65" t="n"/>
      <c r="D49" s="65" t="n"/>
      <c r="E49" s="66" t="n"/>
      <c r="F49" s="77" t="n"/>
      <c r="G49" s="64">
        <f>IF($F49="","",IFERROR(INDEX('WORK PACKAGES'!$A$2:$A$100,MATCH($F49,'WORK PACKAGES'!$D$2:$D$100,0)),""))</f>
        <v/>
      </c>
      <c r="H49" s="64">
        <f>IF($F49="","",INDEX('WORK PACKAGES'!$E$2:$E$100,MATCH($F49,'WORK PACKAGES'!$D$2:$D$100,0)))</f>
        <v/>
      </c>
      <c r="I49" s="78" t="n"/>
      <c r="J49" s="78" t="n"/>
      <c r="K49" s="78" t="n"/>
      <c r="L49" s="66" t="n"/>
      <c r="M49" s="67" t="n"/>
      <c r="N49" s="79" t="n"/>
      <c r="O49" s="78" t="n"/>
      <c r="P49" s="79" t="n"/>
      <c r="R49" s="63">
        <f>IF(Q49="","",IF(Q49="Open",TODAY()-N49,"--"))</f>
        <v/>
      </c>
      <c r="S49" s="63">
        <f>IF(Q49="","",IF(Q49="Closed",P49-N49,"--"))</f>
        <v/>
      </c>
      <c r="W49" s="50" t="n"/>
    </row>
    <row r="50" ht="15" customHeight="1" s="130">
      <c r="B50" s="64">
        <f>IF(C50="","",B49+1)</f>
        <v/>
      </c>
      <c r="C50" s="77" t="n"/>
      <c r="D50" s="65" t="n"/>
      <c r="E50" s="66" t="n"/>
      <c r="F50" s="77" t="n"/>
      <c r="G50" s="64">
        <f>IF($F50="","",IFERROR(INDEX('WORK PACKAGES'!$A$2:$A$100,MATCH($F50,'WORK PACKAGES'!$D$2:$D$100,0)),""))</f>
        <v/>
      </c>
      <c r="H50" s="64">
        <f>IF($F50="","",INDEX('WORK PACKAGES'!$E$2:$E$100,MATCH($F50,'WORK PACKAGES'!$D$2:$D$100,0)))</f>
        <v/>
      </c>
      <c r="I50" s="78" t="n"/>
      <c r="J50" s="78" t="n"/>
      <c r="K50" s="78" t="n"/>
      <c r="L50" s="66" t="n"/>
      <c r="M50" s="67" t="n"/>
      <c r="N50" s="79" t="n"/>
      <c r="O50" s="78" t="n"/>
      <c r="P50" s="79" t="n"/>
      <c r="R50" s="63">
        <f>IF(Q50="","",IF(Q50="Open",TODAY()-N50,"--"))</f>
        <v/>
      </c>
      <c r="S50" s="63">
        <f>IF(Q50="","",IF(Q50="Closed",P50-N50,"--"))</f>
        <v/>
      </c>
      <c r="W50" s="50" t="n"/>
    </row>
    <row r="51" ht="15" customHeight="1" s="130">
      <c r="B51" s="64">
        <f>IF(C51="","",B50+1)</f>
        <v/>
      </c>
      <c r="C51" s="77" t="n"/>
      <c r="D51" s="65" t="n"/>
      <c r="E51" s="66" t="n"/>
      <c r="F51" s="77" t="n"/>
      <c r="G51" s="64">
        <f>IF($F51="","",IFERROR(INDEX('WORK PACKAGES'!$A$2:$A$100,MATCH($F51,'WORK PACKAGES'!$D$2:$D$100,0)),""))</f>
        <v/>
      </c>
      <c r="H51" s="64">
        <f>IF($F51="","",INDEX('WORK PACKAGES'!$E$2:$E$100,MATCH($F51,'WORK PACKAGES'!$D$2:$D$100,0)))</f>
        <v/>
      </c>
      <c r="I51" s="78" t="n"/>
      <c r="J51" s="78" t="n"/>
      <c r="K51" s="78" t="n"/>
      <c r="L51" s="66" t="n"/>
      <c r="M51" s="67" t="n"/>
      <c r="N51" s="79" t="n"/>
      <c r="O51" s="78" t="n"/>
      <c r="P51" s="79" t="n"/>
      <c r="R51" s="63">
        <f>IF(Q51="","",IF(Q51="Open",TODAY()-N51,"--"))</f>
        <v/>
      </c>
      <c r="S51" s="63">
        <f>IF(Q51="","",IF(Q51="Closed",P51-N51,"--"))</f>
        <v/>
      </c>
      <c r="W51" s="50" t="n"/>
    </row>
    <row r="52" ht="15" customHeight="1" s="130">
      <c r="B52" s="64">
        <f>IF(C52="","",B51+1)</f>
        <v/>
      </c>
      <c r="C52" s="77" t="n"/>
      <c r="D52" s="65" t="n"/>
      <c r="E52" s="66" t="n"/>
      <c r="F52" s="77" t="n"/>
      <c r="G52" s="64">
        <f>IF($F52="","",IFERROR(INDEX('WORK PACKAGES'!$A$2:$A$100,MATCH($F52,'WORK PACKAGES'!$D$2:$D$100,0)),""))</f>
        <v/>
      </c>
      <c r="H52" s="64">
        <f>IF($F52="","",INDEX('WORK PACKAGES'!$E$2:$E$100,MATCH($F52,'WORK PACKAGES'!$D$2:$D$100,0)))</f>
        <v/>
      </c>
      <c r="I52" s="78" t="n"/>
      <c r="J52" s="78" t="n"/>
      <c r="K52" s="78" t="n"/>
      <c r="L52" s="66" t="n"/>
      <c r="M52" s="67" t="n"/>
      <c r="N52" s="79" t="n"/>
      <c r="O52" s="78" t="n"/>
      <c r="P52" s="79" t="n"/>
      <c r="R52" s="63">
        <f>IF(Q52="","",IF(Q52="Open",TODAY()-N52,"--"))</f>
        <v/>
      </c>
      <c r="S52" s="63">
        <f>IF(Q52="","",IF(Q52="Closed",P52-N52,"--"))</f>
        <v/>
      </c>
      <c r="W52" s="50" t="n"/>
    </row>
    <row r="53" ht="15" customHeight="1" s="130">
      <c r="B53" s="64">
        <f>IF(C53="","",B52+1)</f>
        <v/>
      </c>
      <c r="C53" s="77" t="n"/>
      <c r="D53" s="65" t="n"/>
      <c r="E53" s="66" t="n"/>
      <c r="F53" s="77" t="n"/>
      <c r="G53" s="64">
        <f>IF($F53="","",IFERROR(INDEX('WORK PACKAGES'!$A$2:$A$100,MATCH($F53,'WORK PACKAGES'!$D$2:$D$100,0)),""))</f>
        <v/>
      </c>
      <c r="H53" s="64">
        <f>IF($F53="","",INDEX('WORK PACKAGES'!$E$2:$E$100,MATCH($F53,'WORK PACKAGES'!$D$2:$D$100,0)))</f>
        <v/>
      </c>
      <c r="I53" s="78" t="n"/>
      <c r="J53" s="78" t="n"/>
      <c r="K53" s="78" t="n"/>
      <c r="L53" s="66" t="n"/>
      <c r="M53" s="67" t="n"/>
      <c r="N53" s="79" t="n"/>
      <c r="O53" s="78" t="n"/>
      <c r="P53" s="79" t="n"/>
      <c r="R53" s="63">
        <f>IF(Q53="","",IF(Q53="Open",TODAY()-N53,"--"))</f>
        <v/>
      </c>
      <c r="S53" s="63">
        <f>IF(Q53="","",IF(Q53="Closed",P53-N53,"--"))</f>
        <v/>
      </c>
      <c r="W53" s="50" t="n"/>
    </row>
    <row r="54" ht="15" customHeight="1" s="130">
      <c r="B54" s="64">
        <f>IF(C54="","",B53+1)</f>
        <v/>
      </c>
      <c r="C54" s="77" t="n"/>
      <c r="D54" s="65" t="n"/>
      <c r="E54" s="66" t="n"/>
      <c r="F54" s="77" t="n"/>
      <c r="G54" s="64">
        <f>IF($F54="","",IFERROR(INDEX('WORK PACKAGES'!$A$2:$A$100,MATCH($F54,'WORK PACKAGES'!$D$2:$D$100,0)),""))</f>
        <v/>
      </c>
      <c r="H54" s="64">
        <f>IF($F54="","",INDEX('WORK PACKAGES'!$E$2:$E$100,MATCH($F54,'WORK PACKAGES'!$D$2:$D$100,0)))</f>
        <v/>
      </c>
      <c r="I54" s="78" t="n"/>
      <c r="J54" s="78" t="n"/>
      <c r="K54" s="78" t="n"/>
      <c r="L54" s="66" t="n"/>
      <c r="M54" s="67" t="n"/>
      <c r="N54" s="79" t="n"/>
      <c r="O54" s="78" t="n"/>
      <c r="P54" s="79" t="n"/>
      <c r="R54" s="63">
        <f>IF(Q54="","",IF(Q54="Open",TODAY()-N54,"--"))</f>
        <v/>
      </c>
      <c r="S54" s="63">
        <f>IF(Q54="","",IF(Q54="Closed",P54-N54,"--"))</f>
        <v/>
      </c>
      <c r="W54" s="50" t="n"/>
    </row>
    <row r="55" ht="15" customHeight="1" s="130">
      <c r="B55" s="64">
        <f>IF(C55="","",B54+1)</f>
        <v/>
      </c>
      <c r="C55" s="77" t="n"/>
      <c r="D55" s="65" t="n"/>
      <c r="E55" s="66" t="n"/>
      <c r="F55" s="77" t="n"/>
      <c r="G55" s="64">
        <f>IF($F55="","",IFERROR(INDEX('WORK PACKAGES'!$A$2:$A$100,MATCH($F55,'WORK PACKAGES'!$D$2:$D$100,0)),""))</f>
        <v/>
      </c>
      <c r="H55" s="64">
        <f>IF($F55="","",INDEX('WORK PACKAGES'!$E$2:$E$100,MATCH($F55,'WORK PACKAGES'!$D$2:$D$100,0)))</f>
        <v/>
      </c>
      <c r="I55" s="78" t="n"/>
      <c r="J55" s="78" t="n"/>
      <c r="K55" s="78" t="n"/>
      <c r="L55" s="66" t="n"/>
      <c r="M55" s="67" t="n"/>
      <c r="N55" s="79" t="n"/>
      <c r="O55" s="78" t="n"/>
      <c r="P55" s="79" t="n"/>
      <c r="R55" s="63">
        <f>IF(Q55="","",IF(Q55="Open",TODAY()-N55,"--"))</f>
        <v/>
      </c>
      <c r="S55" s="63">
        <f>IF(Q55="","",IF(Q55="Closed",P55-N55,"--"))</f>
        <v/>
      </c>
      <c r="W55" s="50" t="n"/>
    </row>
    <row r="56" ht="15" customHeight="1" s="130">
      <c r="B56" s="64">
        <f>IF(C56="","",B55+1)</f>
        <v/>
      </c>
      <c r="C56" s="77" t="n"/>
      <c r="D56" s="65" t="n"/>
      <c r="E56" s="66" t="n"/>
      <c r="F56" s="77" t="n"/>
      <c r="G56" s="64">
        <f>IF($F56="","",IFERROR(INDEX('WORK PACKAGES'!$A$2:$A$100,MATCH($F56,'WORK PACKAGES'!$D$2:$D$100,0)),""))</f>
        <v/>
      </c>
      <c r="H56" s="64">
        <f>IF($F56="","",INDEX('WORK PACKAGES'!$E$2:$E$100,MATCH($F56,'WORK PACKAGES'!$D$2:$D$100,0)))</f>
        <v/>
      </c>
      <c r="I56" s="78" t="n"/>
      <c r="J56" s="78" t="n"/>
      <c r="K56" s="78" t="n"/>
      <c r="L56" s="66" t="n"/>
      <c r="M56" s="67" t="n"/>
      <c r="N56" s="79" t="n"/>
      <c r="O56" s="78" t="n"/>
      <c r="P56" s="79" t="n"/>
      <c r="R56" s="63">
        <f>IF(Q56="","",IF(Q56="Open",TODAY()-N56,"--"))</f>
        <v/>
      </c>
      <c r="S56" s="63">
        <f>IF(Q56="","",IF(Q56="Closed",P56-N56,"--"))</f>
        <v/>
      </c>
      <c r="T56" s="56" t="n"/>
      <c r="U56" s="56" t="n"/>
      <c r="V56" s="56" t="n"/>
      <c r="W56" s="50" t="n"/>
    </row>
    <row r="57" ht="15" customHeight="1" s="130">
      <c r="B57" s="64">
        <f>IF(C57="","",B56+1)</f>
        <v/>
      </c>
      <c r="C57" s="77" t="n"/>
      <c r="D57" s="65" t="n"/>
      <c r="E57" s="66" t="n"/>
      <c r="F57" s="77" t="n"/>
      <c r="G57" s="64">
        <f>IF($F57="","",IFERROR(INDEX('WORK PACKAGES'!$A$2:$A$100,MATCH($F57,'WORK PACKAGES'!$D$2:$D$100,0)),""))</f>
        <v/>
      </c>
      <c r="H57" s="64">
        <f>IF($F57="","",INDEX('WORK PACKAGES'!$E$2:$E$100,MATCH($F57,'WORK PACKAGES'!$D$2:$D$100,0)))</f>
        <v/>
      </c>
      <c r="I57" s="78" t="n"/>
      <c r="J57" s="78" t="n"/>
      <c r="K57" s="67" t="n"/>
      <c r="L57" s="66" t="n"/>
      <c r="M57" s="67" t="n"/>
      <c r="N57" s="79" t="n"/>
      <c r="O57" s="78" t="n"/>
      <c r="P57" s="79" t="n"/>
      <c r="R57" s="63">
        <f>IF(Q57="","",IF(Q57="Open",TODAY()-N57,"--"))</f>
        <v/>
      </c>
      <c r="S57" s="63">
        <f>IF(Q57="","",IF(Q57="Closed",P57-N57,"--"))</f>
        <v/>
      </c>
      <c r="W57" s="50" t="n"/>
    </row>
    <row r="58" ht="15" customHeight="1" s="130">
      <c r="B58" s="64">
        <f>IF(C58="","",B57+1)</f>
        <v/>
      </c>
      <c r="C58" s="77" t="n"/>
      <c r="D58" s="65" t="n"/>
      <c r="E58" s="66" t="n"/>
      <c r="F58" s="77" t="n"/>
      <c r="G58" s="64">
        <f>IF($F58="","",IFERROR(INDEX('WORK PACKAGES'!$A$2:$A$100,MATCH($F58,'WORK PACKAGES'!$D$2:$D$100,0)),""))</f>
        <v/>
      </c>
      <c r="H58" s="64">
        <f>IF($F58="","",INDEX('WORK PACKAGES'!$E$2:$E$100,MATCH($F58,'WORK PACKAGES'!$D$2:$D$100,0)))</f>
        <v/>
      </c>
      <c r="I58" s="78" t="n"/>
      <c r="J58" s="78" t="n"/>
      <c r="K58" s="78" t="n"/>
      <c r="L58" s="66" t="n"/>
      <c r="M58" s="67" t="n"/>
      <c r="N58" s="79" t="n"/>
      <c r="O58" s="78" t="n"/>
      <c r="P58" s="79" t="n"/>
      <c r="R58" s="63">
        <f>IF(Q58="","",IF(Q58="Open",TODAY()-N58,"--"))</f>
        <v/>
      </c>
      <c r="S58" s="63">
        <f>IF(Q58="","",IF(Q58="Closed",P58-N58,"--"))</f>
        <v/>
      </c>
      <c r="W58" s="50" t="n"/>
    </row>
    <row r="59" ht="15" customHeight="1" s="130">
      <c r="B59" s="64">
        <f>IF(C59="","",B58+1)</f>
        <v/>
      </c>
      <c r="C59" s="77" t="n"/>
      <c r="D59" s="65" t="n"/>
      <c r="E59" s="66" t="n"/>
      <c r="F59" s="77" t="n"/>
      <c r="G59" s="64">
        <f>IF($F59="","",IFERROR(INDEX('WORK PACKAGES'!$A$2:$A$100,MATCH($F59,'WORK PACKAGES'!$D$2:$D$100,0)),""))</f>
        <v/>
      </c>
      <c r="H59" s="64">
        <f>IF($F59="","",INDEX('WORK PACKAGES'!$E$2:$E$100,MATCH($F59,'WORK PACKAGES'!$D$2:$D$100,0)))</f>
        <v/>
      </c>
      <c r="I59" s="78" t="n"/>
      <c r="J59" s="78" t="n"/>
      <c r="K59" s="67" t="n"/>
      <c r="L59" s="66" t="n"/>
      <c r="M59" s="67" t="n"/>
      <c r="N59" s="79" t="n"/>
      <c r="O59" s="78" t="n"/>
      <c r="P59" s="79" t="n"/>
      <c r="R59" s="63">
        <f>IF(Q59="","",IF(Q59="Open",TODAY()-N59,"--"))</f>
        <v/>
      </c>
      <c r="S59" s="63">
        <f>IF(Q59="","",IF(Q59="Closed",P59-N59,"--"))</f>
        <v/>
      </c>
      <c r="W59" s="50" t="n"/>
    </row>
    <row r="60" ht="15" customHeight="1" s="130">
      <c r="B60" s="64">
        <f>IF(C60="","",B59+1)</f>
        <v/>
      </c>
      <c r="C60" s="77" t="n"/>
      <c r="D60" s="65" t="n"/>
      <c r="E60" s="66" t="n"/>
      <c r="F60" s="77" t="n"/>
      <c r="G60" s="64">
        <f>IF($F60="","",IFERROR(INDEX('WORK PACKAGES'!$A$2:$A$100,MATCH($F60,'WORK PACKAGES'!$D$2:$D$100,0)),""))</f>
        <v/>
      </c>
      <c r="H60" s="64">
        <f>IF($F60="","",INDEX('WORK PACKAGES'!$E$2:$E$100,MATCH($F60,'WORK PACKAGES'!$D$2:$D$100,0)))</f>
        <v/>
      </c>
      <c r="I60" s="78" t="n"/>
      <c r="J60" s="78" t="n"/>
      <c r="K60" s="78" t="n"/>
      <c r="L60" s="66" t="n"/>
      <c r="M60" s="67" t="n"/>
      <c r="N60" s="79" t="n"/>
      <c r="O60" s="78" t="n"/>
      <c r="P60" s="79" t="n"/>
      <c r="R60" s="63">
        <f>IF(Q60="","",IF(Q60="Open",TODAY()-N60,"--"))</f>
        <v/>
      </c>
      <c r="S60" s="63">
        <f>IF(Q60="","",IF(Q60="Closed",P60-N60,"--"))</f>
        <v/>
      </c>
      <c r="W60" s="50" t="n"/>
    </row>
    <row r="61" ht="15" customHeight="1" s="130">
      <c r="B61" s="64">
        <f>IF(C61="","",B60+1)</f>
        <v/>
      </c>
      <c r="C61" s="77" t="n"/>
      <c r="D61" s="65" t="n"/>
      <c r="E61" s="66" t="n"/>
      <c r="F61" s="77" t="n"/>
      <c r="G61" s="64">
        <f>IF($F61="","",IFERROR(INDEX('WORK PACKAGES'!$A$2:$A$100,MATCH($F61,'WORK PACKAGES'!$D$2:$D$100,0)),""))</f>
        <v/>
      </c>
      <c r="H61" s="64">
        <f>IF($F61="","",INDEX('WORK PACKAGES'!$E$2:$E$100,MATCH($F61,'WORK PACKAGES'!$D$2:$D$100,0)))</f>
        <v/>
      </c>
      <c r="I61" s="78" t="n"/>
      <c r="J61" s="88" t="n"/>
      <c r="K61" s="78" t="n"/>
      <c r="L61" s="66" t="n"/>
      <c r="M61" s="67" t="n"/>
      <c r="N61" s="79" t="n"/>
      <c r="O61" s="78" t="n"/>
      <c r="P61" s="79" t="n"/>
      <c r="R61" s="63">
        <f>IF(Q61="","",IF(Q61="Open",TODAY()-N61,"--"))</f>
        <v/>
      </c>
      <c r="S61" s="63">
        <f>IF(Q61="","",IF(Q61="Closed",P61-N61,"--"))</f>
        <v/>
      </c>
      <c r="W61" s="50" t="n"/>
    </row>
    <row r="62" ht="15" customHeight="1" s="130">
      <c r="B62" s="64">
        <f>IF(C62="","",B61+1)</f>
        <v/>
      </c>
      <c r="C62" s="77" t="n"/>
      <c r="D62" s="65" t="n"/>
      <c r="E62" s="66" t="n"/>
      <c r="F62" s="77" t="n"/>
      <c r="G62" s="64">
        <f>IF($F62="","",IFERROR(INDEX('WORK PACKAGES'!$A$2:$A$100,MATCH($F62,'WORK PACKAGES'!$D$2:$D$100,0)),""))</f>
        <v/>
      </c>
      <c r="H62" s="64">
        <f>IF($F62="","",INDEX('WORK PACKAGES'!$E$2:$E$100,MATCH($F62,'WORK PACKAGES'!$D$2:$D$100,0)))</f>
        <v/>
      </c>
      <c r="I62" s="78" t="n"/>
      <c r="J62" s="78" t="n"/>
      <c r="K62" s="78" t="n"/>
      <c r="L62" s="66" t="n"/>
      <c r="M62" s="67" t="n"/>
      <c r="N62" s="79" t="n"/>
      <c r="O62" s="78" t="n"/>
      <c r="P62" s="79" t="n"/>
      <c r="R62" s="63">
        <f>IF(Q62="","",IF(Q62="Open",TODAY()-N62,"--"))</f>
        <v/>
      </c>
      <c r="S62" s="63">
        <f>IF(Q62="","",IF(Q62="Closed",P62-N62,"--"))</f>
        <v/>
      </c>
      <c r="W62" s="50" t="n"/>
    </row>
    <row r="63" ht="15" customHeight="1" s="130">
      <c r="B63" s="64">
        <f>IF(C63="","",B62+1)</f>
        <v/>
      </c>
      <c r="C63" s="77" t="n"/>
      <c r="D63" s="65" t="n"/>
      <c r="E63" s="66" t="n"/>
      <c r="F63" s="77" t="n"/>
      <c r="G63" s="64">
        <f>IF($F63="","",IFERROR(INDEX('WORK PACKAGES'!$A$2:$A$100,MATCH($F63,'WORK PACKAGES'!$D$2:$D$100,0)),""))</f>
        <v/>
      </c>
      <c r="H63" s="64">
        <f>IF($F63="","",INDEX('WORK PACKAGES'!$E$2:$E$100,MATCH($F63,'WORK PACKAGES'!$D$2:$D$100,0)))</f>
        <v/>
      </c>
      <c r="I63" s="78" t="n"/>
      <c r="J63" s="78" t="n"/>
      <c r="K63" s="78" t="n"/>
      <c r="L63" s="66" t="n"/>
      <c r="M63" s="67" t="n"/>
      <c r="N63" s="79" t="n"/>
      <c r="O63" s="78" t="n"/>
      <c r="P63" s="79" t="n"/>
      <c r="R63" s="63">
        <f>IF(Q63="","",IF(Q63="Open",TODAY()-N63,"--"))</f>
        <v/>
      </c>
      <c r="S63" s="63">
        <f>IF(Q63="","",IF(Q63="Closed",P63-N63,"--"))</f>
        <v/>
      </c>
      <c r="W63" s="50" t="n"/>
    </row>
    <row r="64" ht="15" customHeight="1" s="130">
      <c r="B64" s="64">
        <f>IF(C64="","",B63+1)</f>
        <v/>
      </c>
      <c r="C64" s="77" t="n"/>
      <c r="D64" s="65" t="n"/>
      <c r="E64" s="66" t="n"/>
      <c r="F64" s="77" t="n"/>
      <c r="G64" s="64">
        <f>IF($F64="","",IFERROR(INDEX('WORK PACKAGES'!$A$2:$A$100,MATCH($F64,'WORK PACKAGES'!$D$2:$D$100,0)),""))</f>
        <v/>
      </c>
      <c r="H64" s="64">
        <f>IF($F64="","",INDEX('WORK PACKAGES'!$E$2:$E$100,MATCH($F64,'WORK PACKAGES'!$D$2:$D$100,0)))</f>
        <v/>
      </c>
      <c r="I64" s="78" t="n"/>
      <c r="J64" s="78" t="n"/>
      <c r="K64" s="78" t="n"/>
      <c r="L64" s="66" t="n"/>
      <c r="M64" s="67" t="n"/>
      <c r="N64" s="79" t="n"/>
      <c r="O64" s="78" t="n"/>
      <c r="P64" s="79" t="n"/>
      <c r="R64" s="63">
        <f>IF(Q64="","",IF(Q64="Open",TODAY()-N64,"--"))</f>
        <v/>
      </c>
      <c r="S64" s="63">
        <f>IF(Q64="","",IF(Q64="Closed",P64-N64,"--"))</f>
        <v/>
      </c>
      <c r="W64" s="50" t="n"/>
    </row>
    <row r="65" ht="15" customHeight="1" s="130">
      <c r="B65" s="64">
        <f>IF(C65="","",B64+1)</f>
        <v/>
      </c>
      <c r="C65" s="77" t="n"/>
      <c r="D65" s="65" t="n"/>
      <c r="E65" s="66" t="n"/>
      <c r="F65" s="77" t="n"/>
      <c r="G65" s="64">
        <f>IF($F65="","",IFERROR(INDEX('WORK PACKAGES'!$A$2:$A$100,MATCH($F65,'WORK PACKAGES'!$D$2:$D$100,0)),""))</f>
        <v/>
      </c>
      <c r="H65" s="64">
        <f>IF($F65="","",INDEX('WORK PACKAGES'!$E$2:$E$100,MATCH($F65,'WORK PACKAGES'!$D$2:$D$100,0)))</f>
        <v/>
      </c>
      <c r="I65" s="78" t="n"/>
      <c r="J65" s="78" t="n"/>
      <c r="K65" s="78" t="n"/>
      <c r="L65" s="66" t="n"/>
      <c r="M65" s="67" t="n"/>
      <c r="N65" s="79" t="n"/>
      <c r="O65" s="78" t="n"/>
      <c r="P65" s="79" t="n"/>
      <c r="R65" s="63">
        <f>IF(Q65="","",IF(Q65="Open",TODAY()-N65,"--"))</f>
        <v/>
      </c>
      <c r="S65" s="63">
        <f>IF(Q65="","",IF(Q65="Closed",P65-N65,"--"))</f>
        <v/>
      </c>
      <c r="W65" s="50" t="n"/>
    </row>
    <row r="66" ht="15" customHeight="1" s="130">
      <c r="B66" s="64">
        <f>IF(C66="","",B65+1)</f>
        <v/>
      </c>
      <c r="C66" s="77" t="n"/>
      <c r="D66" s="65" t="n"/>
      <c r="E66" s="66" t="n"/>
      <c r="F66" s="77" t="n"/>
      <c r="G66" s="64">
        <f>IF($F66="","",IFERROR(INDEX('WORK PACKAGES'!$A$2:$A$100,MATCH($F66,'WORK PACKAGES'!$D$2:$D$100,0)),""))</f>
        <v/>
      </c>
      <c r="H66" s="64">
        <f>IF($F66="","",INDEX('WORK PACKAGES'!$E$2:$E$100,MATCH($F66,'WORK PACKAGES'!$D$2:$D$100,0)))</f>
        <v/>
      </c>
      <c r="I66" s="78" t="n"/>
      <c r="J66" s="78" t="n"/>
      <c r="K66" s="78" t="n"/>
      <c r="L66" s="66" t="n"/>
      <c r="M66" s="67" t="n"/>
      <c r="N66" s="79" t="n"/>
      <c r="O66" s="78" t="n"/>
      <c r="P66" s="79" t="n"/>
      <c r="R66" s="63">
        <f>IF(Q66="","",IF(Q66="Open",TODAY()-N66,"--"))</f>
        <v/>
      </c>
      <c r="S66" s="63">
        <f>IF(Q66="","",IF(Q66="Closed",P66-N66,"--"))</f>
        <v/>
      </c>
      <c r="W66" s="50" t="n"/>
    </row>
    <row r="67" ht="15" customHeight="1" s="130">
      <c r="B67" s="64">
        <f>IF(C67="","",B66+1)</f>
        <v/>
      </c>
      <c r="C67" s="77" t="n"/>
      <c r="D67" s="65" t="n"/>
      <c r="E67" s="66" t="n"/>
      <c r="F67" s="77" t="n"/>
      <c r="G67" s="64">
        <f>IF($F67="","",IFERROR(INDEX('WORK PACKAGES'!$A$2:$A$100,MATCH($F67,'WORK PACKAGES'!$D$2:$D$100,0)),""))</f>
        <v/>
      </c>
      <c r="H67" s="64">
        <f>IF($F67="","",INDEX('WORK PACKAGES'!$E$2:$E$100,MATCH($F67,'WORK PACKAGES'!$D$2:$D$100,0)))</f>
        <v/>
      </c>
      <c r="I67" s="78" t="n"/>
      <c r="J67" s="78" t="n"/>
      <c r="K67" s="78" t="n"/>
      <c r="L67" s="66" t="n"/>
      <c r="M67" s="67" t="n"/>
      <c r="N67" s="79" t="n"/>
      <c r="O67" s="78" t="n"/>
      <c r="P67" s="79" t="n"/>
      <c r="R67" s="63">
        <f>IF(Q67="","",IF(Q67="Open",TODAY()-N67,"--"))</f>
        <v/>
      </c>
      <c r="S67" s="63">
        <f>IF(Q67="","",IF(Q67="Closed",P67-N67,"--"))</f>
        <v/>
      </c>
      <c r="W67" s="50" t="n"/>
    </row>
    <row r="68" ht="15" customHeight="1" s="130">
      <c r="B68" s="64">
        <f>IF(C68="","",B67+1)</f>
        <v/>
      </c>
      <c r="C68" s="77" t="n"/>
      <c r="D68" s="65" t="n"/>
      <c r="E68" s="66" t="n"/>
      <c r="F68" s="77" t="n"/>
      <c r="G68" s="64">
        <f>IF($F68="","",IFERROR(INDEX('WORK PACKAGES'!$A$2:$A$100,MATCH($F68,'WORK PACKAGES'!$D$2:$D$100,0)),""))</f>
        <v/>
      </c>
      <c r="H68" s="64">
        <f>IF($F68="","",INDEX('WORK PACKAGES'!$E$2:$E$100,MATCH($F68,'WORK PACKAGES'!$D$2:$D$100,0)))</f>
        <v/>
      </c>
      <c r="I68" s="78" t="n"/>
      <c r="J68" s="78" t="n"/>
      <c r="K68" s="78" t="n"/>
      <c r="L68" s="66" t="n"/>
      <c r="M68" s="67" t="n"/>
      <c r="N68" s="79" t="n"/>
      <c r="O68" s="78" t="n"/>
      <c r="P68" s="79" t="n"/>
      <c r="R68" s="63">
        <f>IF(Q68="","",IF(Q68="Open",TODAY()-N68,"--"))</f>
        <v/>
      </c>
      <c r="S68" s="63">
        <f>IF(Q68="","",IF(Q68="Closed",P68-N68,"--"))</f>
        <v/>
      </c>
      <c r="T68" s="56" t="n"/>
      <c r="U68" s="56" t="n"/>
      <c r="W68" s="50" t="n"/>
    </row>
    <row r="69" ht="15" customHeight="1" s="130">
      <c r="B69" s="64">
        <f>IF(C69="","",B68+1)</f>
        <v/>
      </c>
      <c r="C69" s="77" t="n"/>
      <c r="D69" s="65" t="n"/>
      <c r="E69" s="66" t="n"/>
      <c r="F69" s="77" t="n"/>
      <c r="G69" s="64">
        <f>IF($F69="","",IFERROR(INDEX('WORK PACKAGES'!$A$2:$A$100,MATCH($F69,'WORK PACKAGES'!$D$2:$D$100,0)),""))</f>
        <v/>
      </c>
      <c r="H69" s="64">
        <f>IF($F69="","",INDEX('WORK PACKAGES'!$E$2:$E$100,MATCH($F69,'WORK PACKAGES'!$D$2:$D$100,0)))</f>
        <v/>
      </c>
      <c r="I69" s="78" t="n"/>
      <c r="J69" s="88" t="n"/>
      <c r="K69" s="78" t="n"/>
      <c r="L69" s="66" t="n"/>
      <c r="M69" s="67" t="n"/>
      <c r="N69" s="79" t="n"/>
      <c r="O69" s="78" t="n"/>
      <c r="P69" s="79" t="n"/>
      <c r="R69" s="63">
        <f>IF(Q69="","",IF(Q69="Open",TODAY()-N69,"--"))</f>
        <v/>
      </c>
      <c r="S69" s="63">
        <f>IF(Q69="","",IF(Q69="Closed",P69-N69,"--"))</f>
        <v/>
      </c>
      <c r="W69" s="50" t="n"/>
    </row>
    <row r="70" ht="15" customHeight="1" s="130">
      <c r="B70" s="64">
        <f>IF(C70="","",B69+1)</f>
        <v/>
      </c>
      <c r="C70" s="77" t="n"/>
      <c r="D70" s="65" t="n"/>
      <c r="E70" s="66" t="n"/>
      <c r="F70" s="77" t="n"/>
      <c r="G70" s="64">
        <f>IF($F70="","",IFERROR(INDEX('WORK PACKAGES'!$A$2:$A$100,MATCH($F70,'WORK PACKAGES'!$D$2:$D$100,0)),""))</f>
        <v/>
      </c>
      <c r="H70" s="64">
        <f>IF($F70="","",INDEX('WORK PACKAGES'!$E$2:$E$100,MATCH($F70,'WORK PACKAGES'!$D$2:$D$100,0)))</f>
        <v/>
      </c>
      <c r="I70" s="78" t="n"/>
      <c r="J70" s="78" t="n"/>
      <c r="K70" s="78" t="n"/>
      <c r="L70" s="66" t="n"/>
      <c r="M70" s="67" t="n"/>
      <c r="N70" s="79" t="n"/>
      <c r="O70" s="78" t="n"/>
      <c r="P70" s="79" t="n"/>
      <c r="R70" s="63">
        <f>IF(Q70="","",IF(Q70="Open",TODAY()-N70,"--"))</f>
        <v/>
      </c>
      <c r="S70" s="63">
        <f>IF(Q70="","",IF(Q70="Closed",P70-N70,"--"))</f>
        <v/>
      </c>
      <c r="W70" s="50" t="n"/>
    </row>
    <row r="71" ht="15" customHeight="1" s="130">
      <c r="B71" s="64">
        <f>IF(C71="","",B70+1)</f>
        <v/>
      </c>
      <c r="C71" s="77" t="n"/>
      <c r="D71" s="65" t="n"/>
      <c r="E71" s="66" t="n"/>
      <c r="F71" s="77" t="n"/>
      <c r="G71" s="64">
        <f>IF($F71="","",IFERROR(INDEX('WORK PACKAGES'!$A$2:$A$100,MATCH($F71,'WORK PACKAGES'!$D$2:$D$100,0)),""))</f>
        <v/>
      </c>
      <c r="H71" s="64">
        <f>IF($F71="","",INDEX('WORK PACKAGES'!$E$2:$E$100,MATCH($F71,'WORK PACKAGES'!$D$2:$D$100,0)))</f>
        <v/>
      </c>
      <c r="I71" s="78" t="n"/>
      <c r="J71" s="78" t="n"/>
      <c r="K71" s="78" t="n"/>
      <c r="L71" s="66" t="n"/>
      <c r="M71" s="67" t="n"/>
      <c r="N71" s="79" t="n"/>
      <c r="O71" s="78" t="n"/>
      <c r="P71" s="79" t="n"/>
      <c r="R71" s="63">
        <f>IF(Q71="","",IF(Q71="Open",TODAY()-N71,"--"))</f>
        <v/>
      </c>
      <c r="S71" s="63">
        <f>IF(Q71="","",IF(Q71="Closed",P71-N71,"--"))</f>
        <v/>
      </c>
      <c r="W71" s="50" t="n"/>
    </row>
    <row r="72" ht="15" customHeight="1" s="130">
      <c r="B72" s="64">
        <f>IF(C72="","",B71+1)</f>
        <v/>
      </c>
      <c r="C72" s="77" t="n"/>
      <c r="D72" s="65" t="n"/>
      <c r="E72" s="66" t="n"/>
      <c r="F72" s="77" t="n"/>
      <c r="G72" s="64">
        <f>IF($F72="","",IFERROR(INDEX('WORK PACKAGES'!$A$2:$A$100,MATCH($F72,'WORK PACKAGES'!$D$2:$D$100,0)),""))</f>
        <v/>
      </c>
      <c r="H72" s="64">
        <f>IF($F72="","",INDEX('WORK PACKAGES'!$E$2:$E$100,MATCH($F72,'WORK PACKAGES'!$D$2:$D$100,0)))</f>
        <v/>
      </c>
      <c r="I72" s="78" t="n"/>
      <c r="J72" s="78" t="n"/>
      <c r="K72" s="78" t="n"/>
      <c r="L72" s="66" t="n"/>
      <c r="M72" s="67" t="n"/>
      <c r="N72" s="79" t="n"/>
      <c r="O72" s="78" t="n"/>
      <c r="P72" s="79" t="n"/>
      <c r="R72" s="63">
        <f>IF(Q72="","",IF(Q72="Open",TODAY()-N72,"--"))</f>
        <v/>
      </c>
      <c r="S72" s="63">
        <f>IF(Q72="","",IF(Q72="Closed",P72-N72,"--"))</f>
        <v/>
      </c>
      <c r="W72" s="50" t="n"/>
    </row>
    <row r="73" ht="15" customHeight="1" s="130">
      <c r="B73" s="64">
        <f>IF(C73="","",B72+1)</f>
        <v/>
      </c>
      <c r="C73" s="77" t="n"/>
      <c r="D73" s="65" t="n"/>
      <c r="E73" s="66" t="n"/>
      <c r="F73" s="77" t="n"/>
      <c r="G73" s="64">
        <f>IF($F73="","",IFERROR(INDEX('WORK PACKAGES'!$A$2:$A$100,MATCH($F73,'WORK PACKAGES'!$D$2:$D$100,0)),""))</f>
        <v/>
      </c>
      <c r="H73" s="64">
        <f>IF($F73="","",INDEX('WORK PACKAGES'!$E$2:$E$100,MATCH($F73,'WORK PACKAGES'!$D$2:$D$100,0)))</f>
        <v/>
      </c>
      <c r="I73" s="78" t="n"/>
      <c r="J73" s="78" t="n"/>
      <c r="K73" s="78" t="n"/>
      <c r="L73" s="66" t="n"/>
      <c r="M73" s="67" t="n"/>
      <c r="N73" s="79" t="n"/>
      <c r="O73" s="67" t="n"/>
      <c r="P73" s="79" t="n"/>
      <c r="R73" s="63">
        <f>IF(Q73="","",IF(Q73="Open",TODAY()-N73,"--"))</f>
        <v/>
      </c>
      <c r="S73" s="63">
        <f>IF(Q73="","",IF(Q73="Closed",P73-N73,"--"))</f>
        <v/>
      </c>
      <c r="W73" s="50" t="n"/>
    </row>
    <row r="74" ht="15" customHeight="1" s="130">
      <c r="B74" s="64">
        <f>IF(C74="","",B73+1)</f>
        <v/>
      </c>
      <c r="C74" s="77" t="n"/>
      <c r="D74" s="65" t="n"/>
      <c r="E74" s="66" t="n"/>
      <c r="F74" s="77" t="n"/>
      <c r="G74" s="64">
        <f>IF($F74="","",IFERROR(INDEX('WORK PACKAGES'!$A$2:$A$100,MATCH($F74,'WORK PACKAGES'!$D$2:$D$100,0)),""))</f>
        <v/>
      </c>
      <c r="H74" s="64">
        <f>IF($F74="","",INDEX('WORK PACKAGES'!$E$2:$E$100,MATCH($F74,'WORK PACKAGES'!$D$2:$D$100,0)))</f>
        <v/>
      </c>
      <c r="I74" s="78" t="n"/>
      <c r="J74" s="78" t="n"/>
      <c r="K74" s="78" t="n"/>
      <c r="L74" s="66" t="n"/>
      <c r="M74" s="67" t="n"/>
      <c r="N74" s="79" t="n"/>
      <c r="O74" s="78" t="n"/>
      <c r="P74" s="79" t="n"/>
      <c r="R74" s="63">
        <f>IF(Q74="","",IF(Q74="Open",TODAY()-N74,"--"))</f>
        <v/>
      </c>
      <c r="S74" s="63">
        <f>IF(Q74="","",IF(Q74="Closed",P74-N74,"--"))</f>
        <v/>
      </c>
      <c r="W74" s="50" t="n"/>
    </row>
    <row r="75" ht="15" customHeight="1" s="130">
      <c r="B75" s="64">
        <f>IF(C75="","",B74+1)</f>
        <v/>
      </c>
      <c r="C75" s="77" t="n"/>
      <c r="D75" s="77" t="n"/>
      <c r="E75" s="66" t="n"/>
      <c r="F75" s="77" t="n"/>
      <c r="G75" s="64">
        <f>IF($F75="","",IFERROR(INDEX('WORK PACKAGES'!$A$2:$A$100,MATCH($F75,'WORK PACKAGES'!$D$2:$D$100,0)),""))</f>
        <v/>
      </c>
      <c r="H75" s="64">
        <f>IF($F75="","",INDEX('WORK PACKAGES'!$E$2:$E$100,MATCH($F75,'WORK PACKAGES'!$D$2:$D$100,0)))</f>
        <v/>
      </c>
      <c r="I75" s="78" t="n"/>
      <c r="J75" s="78" t="n"/>
      <c r="K75" s="78" t="n"/>
      <c r="L75" s="66" t="n"/>
      <c r="M75" s="67" t="n"/>
      <c r="N75" s="79" t="n"/>
      <c r="O75" s="78" t="n"/>
      <c r="P75" s="79" t="n"/>
      <c r="R75" s="63">
        <f>IF(Q75="","",IF(Q75="Open",TODAY()-N75,"--"))</f>
        <v/>
      </c>
      <c r="S75" s="63">
        <f>IF(Q75="","",IF(Q75="Closed",P75-N75,"--"))</f>
        <v/>
      </c>
      <c r="T75" s="56" t="n"/>
      <c r="W75" s="50" t="n"/>
    </row>
    <row r="76" ht="15" customHeight="1" s="130">
      <c r="B76" s="64">
        <f>IF(C76="","",B75+1)</f>
        <v/>
      </c>
      <c r="C76" s="77" t="n"/>
      <c r="D76" s="65" t="n"/>
      <c r="E76" s="66" t="n"/>
      <c r="F76" s="77" t="n"/>
      <c r="G76" s="64">
        <f>IF($F76="","",IFERROR(INDEX('WORK PACKAGES'!$A$2:$A$100,MATCH($F76,'WORK PACKAGES'!$D$2:$D$100,0)),""))</f>
        <v/>
      </c>
      <c r="H76" s="64">
        <f>IF($F76="","",INDEX('WORK PACKAGES'!$E$2:$E$100,MATCH($F76,'WORK PACKAGES'!$D$2:$D$100,0)))</f>
        <v/>
      </c>
      <c r="I76" s="78" t="n"/>
      <c r="J76" s="78" t="n"/>
      <c r="K76" s="78" t="n"/>
      <c r="L76" s="82" t="n"/>
      <c r="M76" s="67" t="n"/>
      <c r="N76" s="79" t="n"/>
      <c r="O76" s="78" t="n"/>
      <c r="P76" s="79" t="n"/>
      <c r="R76" s="63">
        <f>IF(Q76="","",IF(Q76="Open",TODAY()-N76,"--"))</f>
        <v/>
      </c>
      <c r="S76" s="63">
        <f>IF(Q76="","",IF(Q76="Closed",P76-N76,"--"))</f>
        <v/>
      </c>
      <c r="W76" s="50" t="n"/>
    </row>
    <row r="77" ht="15" customHeight="1" s="130">
      <c r="B77" s="64">
        <f>IF(C77="","",B76+1)</f>
        <v/>
      </c>
      <c r="C77" s="77" t="n"/>
      <c r="D77" s="65" t="n"/>
      <c r="E77" s="82" t="n"/>
      <c r="F77" s="77" t="n"/>
      <c r="G77" s="64">
        <f>IF($F77="","",IFERROR(INDEX('WORK PACKAGES'!$A$2:$A$100,MATCH($F77,'WORK PACKAGES'!$D$2:$D$100,0)),""))</f>
        <v/>
      </c>
      <c r="H77" s="64">
        <f>IF($F77="","",INDEX('WORK PACKAGES'!$E$2:$E$100,MATCH($F77,'WORK PACKAGES'!$D$2:$D$100,0)))</f>
        <v/>
      </c>
      <c r="I77" s="78" t="n"/>
      <c r="J77" s="78" t="n"/>
      <c r="K77" s="78" t="n"/>
      <c r="L77" s="66" t="n"/>
      <c r="M77" s="67" t="n"/>
      <c r="N77" s="79" t="n"/>
      <c r="O77" s="78" t="n"/>
      <c r="P77" s="79" t="n"/>
      <c r="R77" s="63">
        <f>IF(Q77="","",IF(Q77="Open",TODAY()-N77,"--"))</f>
        <v/>
      </c>
      <c r="S77" s="63">
        <f>IF(Q77="","",IF(Q77="Closed",P77-N77,"--"))</f>
        <v/>
      </c>
      <c r="T77" s="56" t="n"/>
      <c r="W77" s="50" t="n"/>
    </row>
    <row r="78" ht="15" customHeight="1" s="130">
      <c r="B78" s="64">
        <f>IF(C78="","",B77+1)</f>
        <v/>
      </c>
      <c r="C78" s="77" t="n"/>
      <c r="D78" s="65" t="n"/>
      <c r="E78" s="82" t="n"/>
      <c r="F78" s="77" t="n"/>
      <c r="G78" s="64">
        <f>IF($F78="","",IFERROR(INDEX('WORK PACKAGES'!$A$2:$A$100,MATCH($F78,'WORK PACKAGES'!$D$2:$D$100,0)),""))</f>
        <v/>
      </c>
      <c r="H78" s="64">
        <f>IF($F78="","",INDEX('WORK PACKAGES'!$E$2:$E$100,MATCH($F78,'WORK PACKAGES'!$D$2:$D$100,0)))</f>
        <v/>
      </c>
      <c r="I78" s="78" t="n"/>
      <c r="J78" s="78" t="n"/>
      <c r="K78" s="78" t="n"/>
      <c r="L78" s="66" t="n"/>
      <c r="M78" s="67" t="n"/>
      <c r="N78" s="79" t="n"/>
      <c r="O78" s="67" t="n"/>
      <c r="P78" s="79" t="n"/>
      <c r="R78" s="63">
        <f>IF(Q78="","",IF(Q78="Open",TODAY()-N78,"--"))</f>
        <v/>
      </c>
      <c r="S78" s="63">
        <f>IF(Q78="","",IF(Q78="Closed",P78-N78,"--"))</f>
        <v/>
      </c>
      <c r="T78" s="56" t="n"/>
      <c r="W78" s="50" t="n"/>
    </row>
    <row r="79" ht="15" customHeight="1" s="130">
      <c r="B79" s="64">
        <f>IF(C79="","",B78+1)</f>
        <v/>
      </c>
      <c r="C79" s="77" t="n"/>
      <c r="D79" s="65" t="n"/>
      <c r="E79" s="66" t="n"/>
      <c r="F79" s="77" t="n"/>
      <c r="G79" s="64">
        <f>IF($F79="","",IFERROR(INDEX('WORK PACKAGES'!$A$2:$A$100,MATCH($F79,'WORK PACKAGES'!$D$2:$D$100,0)),""))</f>
        <v/>
      </c>
      <c r="H79" s="64">
        <f>IF($F79="","",INDEX('WORK PACKAGES'!$E$2:$E$100,MATCH($F79,'WORK PACKAGES'!$D$2:$D$100,0)))</f>
        <v/>
      </c>
      <c r="I79" s="78" t="n"/>
      <c r="J79" s="78" t="n"/>
      <c r="K79" s="78" t="n"/>
      <c r="L79" s="66" t="n"/>
      <c r="M79" s="67" t="n"/>
      <c r="N79" s="79" t="n"/>
      <c r="O79" s="67" t="n"/>
      <c r="P79" s="79" t="n"/>
      <c r="R79" s="63">
        <f>IF(Q79="","",IF(Q79="Open",TODAY()-N79,"--"))</f>
        <v/>
      </c>
      <c r="S79" s="63">
        <f>IF(Q79="","",IF(Q79="Closed",P79-N79,"--"))</f>
        <v/>
      </c>
      <c r="T79" s="56" t="n"/>
      <c r="W79" s="50" t="n"/>
    </row>
    <row r="80" ht="15" customHeight="1" s="130">
      <c r="B80" s="64">
        <f>IF(C80="","",B79+1)</f>
        <v/>
      </c>
      <c r="C80" s="77" t="n"/>
      <c r="D80" s="65" t="n"/>
      <c r="E80" s="66" t="n"/>
      <c r="F80" s="77" t="n"/>
      <c r="G80" s="64">
        <f>IF($F80="","",IFERROR(INDEX('WORK PACKAGES'!$A$2:$A$100,MATCH($F80,'WORK PACKAGES'!$D$2:$D$100,0)),""))</f>
        <v/>
      </c>
      <c r="H80" s="64">
        <f>IF($F80="","",INDEX('WORK PACKAGES'!$E$2:$E$100,MATCH($F80,'WORK PACKAGES'!$D$2:$D$100,0)))</f>
        <v/>
      </c>
      <c r="I80" s="78" t="n"/>
      <c r="J80" s="78" t="n"/>
      <c r="K80" s="78" t="n"/>
      <c r="L80" s="66" t="n"/>
      <c r="M80" s="67" t="n"/>
      <c r="N80" s="79" t="n"/>
      <c r="O80" s="67" t="n"/>
      <c r="P80" s="79" t="n"/>
      <c r="R80" s="63">
        <f>IF(Q80="","",IF(Q80="Open",TODAY()-N80,"--"))</f>
        <v/>
      </c>
      <c r="S80" s="63">
        <f>IF(Q80="","",IF(Q80="Closed",P80-N80,"--"))</f>
        <v/>
      </c>
      <c r="W80" s="50" t="n"/>
    </row>
    <row r="81" ht="15" customHeight="1" s="130">
      <c r="B81" s="64">
        <f>IF(C81="","",B80+1)</f>
        <v/>
      </c>
      <c r="C81" s="77" t="n"/>
      <c r="D81" s="65" t="n"/>
      <c r="E81" s="82" t="n"/>
      <c r="F81" s="77" t="n"/>
      <c r="G81" s="64">
        <f>IF($F81="","",IFERROR(INDEX('WORK PACKAGES'!$A$2:$A$100,MATCH($F81,'WORK PACKAGES'!$D$2:$D$100,0)),""))</f>
        <v/>
      </c>
      <c r="H81" s="64">
        <f>IF($F81="","",INDEX('WORK PACKAGES'!$E$2:$E$100,MATCH($F81,'WORK PACKAGES'!$D$2:$D$100,0)))</f>
        <v/>
      </c>
      <c r="I81" s="78" t="n"/>
      <c r="J81" s="78" t="n"/>
      <c r="K81" s="78" t="n"/>
      <c r="L81" s="66" t="n"/>
      <c r="M81" s="67" t="n"/>
      <c r="N81" s="79" t="n"/>
      <c r="O81" s="67" t="n"/>
      <c r="P81" s="79" t="n"/>
      <c r="R81" s="63">
        <f>IF(Q81="","",IF(Q81="Open",TODAY()-N81,"--"))</f>
        <v/>
      </c>
      <c r="S81" s="63">
        <f>IF(Q81="","",IF(Q81="Closed",P81-N81,"--"))</f>
        <v/>
      </c>
      <c r="W81" s="50" t="n"/>
    </row>
    <row r="82" ht="15" customHeight="1" s="130">
      <c r="B82" s="64">
        <f>IF(C82="","",B81+1)</f>
        <v/>
      </c>
      <c r="C82" s="77" t="n"/>
      <c r="D82" s="65" t="n"/>
      <c r="E82" s="66" t="n"/>
      <c r="F82" s="77" t="n"/>
      <c r="G82" s="64">
        <f>IF($F82="","",IFERROR(INDEX('WORK PACKAGES'!$A$2:$A$100,MATCH($F82,'WORK PACKAGES'!$D$2:$D$100,0)),""))</f>
        <v/>
      </c>
      <c r="H82" s="64">
        <f>IF($F82="","",INDEX('WORK PACKAGES'!$E$2:$E$100,MATCH($F82,'WORK PACKAGES'!$D$2:$D$100,0)))</f>
        <v/>
      </c>
      <c r="I82" s="78" t="n"/>
      <c r="J82" s="78" t="n"/>
      <c r="K82" s="78" t="n"/>
      <c r="L82" s="66" t="n"/>
      <c r="M82" s="67" t="n"/>
      <c r="N82" s="79" t="n"/>
      <c r="O82" s="67" t="n"/>
      <c r="P82" s="79" t="n"/>
      <c r="R82" s="63">
        <f>IF(Q82="","",IF(Q82="Open",TODAY()-N82,"--"))</f>
        <v/>
      </c>
      <c r="S82" s="63">
        <f>IF(Q82="","",IF(Q82="Closed",P82-N82,"--"))</f>
        <v/>
      </c>
      <c r="W82" s="50" t="n"/>
    </row>
    <row r="83" ht="15" customHeight="1" s="130">
      <c r="B83" s="64">
        <f>IF(C83="","",B82+1)</f>
        <v/>
      </c>
      <c r="C83" s="77" t="n"/>
      <c r="D83" s="77" t="n"/>
      <c r="E83" s="66" t="n"/>
      <c r="F83" s="77" t="n"/>
      <c r="G83" s="64">
        <f>IF($F83="","",IFERROR(INDEX('WORK PACKAGES'!$A$2:$A$100,MATCH($F83,'WORK PACKAGES'!$D$2:$D$100,0)),""))</f>
        <v/>
      </c>
      <c r="H83" s="64">
        <f>IF($F83="","",INDEX('WORK PACKAGES'!$E$2:$E$100,MATCH($F83,'WORK PACKAGES'!$D$2:$D$100,0)))</f>
        <v/>
      </c>
      <c r="I83" s="78" t="n"/>
      <c r="J83" s="78" t="n"/>
      <c r="K83" s="78" t="n"/>
      <c r="L83" s="66" t="n"/>
      <c r="M83" s="67" t="n"/>
      <c r="N83" s="79" t="n"/>
      <c r="O83" s="67" t="n"/>
      <c r="P83" s="79" t="n"/>
      <c r="R83" s="63">
        <f>IF(Q83="","",IF(Q83="Open",TODAY()-N83,"--"))</f>
        <v/>
      </c>
      <c r="S83" s="63">
        <f>IF(Q83="","",IF(Q83="Closed",P83-N83,"--"))</f>
        <v/>
      </c>
      <c r="W83" s="50" t="n"/>
    </row>
    <row r="84" ht="15" customHeight="1" s="130">
      <c r="B84" s="64">
        <f>IF(C84="","",B83+1)</f>
        <v/>
      </c>
      <c r="C84" s="65" t="n"/>
      <c r="D84" s="65" t="n"/>
      <c r="E84" s="66" t="n"/>
      <c r="F84" s="77" t="n"/>
      <c r="G84" s="64">
        <f>IF($F84="","",IFERROR(INDEX('WORK PACKAGES'!$A$2:$A$100,MATCH($F84,'WORK PACKAGES'!$D$2:$D$100,0)),""))</f>
        <v/>
      </c>
      <c r="H84" s="64">
        <f>IF($F84="","",INDEX('WORK PACKAGES'!$E$2:$E$100,MATCH($F84,'WORK PACKAGES'!$D$2:$D$100,0)))</f>
        <v/>
      </c>
      <c r="I84" s="78" t="n"/>
      <c r="J84" s="78" t="n"/>
      <c r="K84" s="78" t="n"/>
      <c r="L84" s="66" t="n"/>
      <c r="M84" s="67" t="n"/>
      <c r="N84" s="79" t="n"/>
      <c r="O84" s="78" t="n"/>
      <c r="P84" s="79" t="n"/>
      <c r="R84" s="63">
        <f>IF(Q84="","",IF(Q84="Open",TODAY()-N84,"--"))</f>
        <v/>
      </c>
      <c r="S84" s="63">
        <f>IF(Q84="","",IF(Q84="Closed",P84-N84,"--"))</f>
        <v/>
      </c>
      <c r="W84" s="50" t="n"/>
    </row>
    <row r="85" ht="15" customHeight="1" s="130">
      <c r="B85" s="64">
        <f>IF(C85="","",B84+1)</f>
        <v/>
      </c>
      <c r="C85" s="65" t="n"/>
      <c r="D85" s="77" t="n"/>
      <c r="E85" s="66" t="n"/>
      <c r="F85" s="77" t="n"/>
      <c r="G85" s="64">
        <f>IF($F85="","",IFERROR(INDEX('WORK PACKAGES'!$A$2:$A$100,MATCH($F85,'WORK PACKAGES'!$D$2:$D$100,0)),""))</f>
        <v/>
      </c>
      <c r="H85" s="64">
        <f>IF($F85="","",INDEX('WORK PACKAGES'!$E$2:$E$100,MATCH($F85,'WORK PACKAGES'!$D$2:$D$100,0)))</f>
        <v/>
      </c>
      <c r="I85" s="78" t="n"/>
      <c r="J85" s="78" t="n"/>
      <c r="K85" s="78" t="n"/>
      <c r="L85" s="82" t="n"/>
      <c r="M85" s="67" t="n"/>
      <c r="N85" s="79" t="n"/>
      <c r="O85" s="78" t="n"/>
      <c r="P85" s="79" t="n"/>
      <c r="R85" s="63">
        <f>IF(Q85="","",IF(Q85="Open",TODAY()-N85,"--"))</f>
        <v/>
      </c>
      <c r="S85" s="63">
        <f>IF(Q85="","",IF(Q85="Closed",P85-N85,"--"))</f>
        <v/>
      </c>
      <c r="W85" s="50" t="n"/>
    </row>
    <row r="86" ht="15" customHeight="1" s="130">
      <c r="B86" s="64">
        <f>IF(C86="","",B85+1)</f>
        <v/>
      </c>
      <c r="C86" s="77" t="n"/>
      <c r="D86" s="77" t="n"/>
      <c r="E86" s="82" t="n"/>
      <c r="F86" s="77" t="n"/>
      <c r="G86" s="64">
        <f>IF($F86="","",IFERROR(INDEX('WORK PACKAGES'!$A$2:$A$100,MATCH($F86,'WORK PACKAGES'!$D$2:$D$100,0)),""))</f>
        <v/>
      </c>
      <c r="H86" s="64">
        <f>IF($F86="","",INDEX('WORK PACKAGES'!$E$2:$E$100,MATCH($F86,'WORK PACKAGES'!$D$2:$D$100,0)))</f>
        <v/>
      </c>
      <c r="I86" s="78" t="n"/>
      <c r="J86" s="78" t="n"/>
      <c r="K86" s="78" t="n"/>
      <c r="L86" s="82" t="n"/>
      <c r="M86" s="78" t="n"/>
      <c r="N86" s="79" t="n"/>
      <c r="O86" s="78" t="n"/>
      <c r="P86" s="79" t="n"/>
      <c r="R86" s="63">
        <f>IF(Q86="","",IF(Q86="Open",TODAY()-N86,"--"))</f>
        <v/>
      </c>
      <c r="S86" s="63">
        <f>IF(Q86="","",IF(Q86="Closed",P86-N86,"--"))</f>
        <v/>
      </c>
      <c r="W86" s="50" t="n"/>
    </row>
    <row r="87" ht="15" customHeight="1" s="130">
      <c r="B87" s="64">
        <f>IF(C87="","",B86+1)</f>
        <v/>
      </c>
      <c r="C87" s="77" t="n"/>
      <c r="D87" s="77" t="n"/>
      <c r="E87" s="82" t="n"/>
      <c r="F87" s="77" t="n"/>
      <c r="G87" s="64">
        <f>IF($F87="","",IFERROR(INDEX('WORK PACKAGES'!$A$2:$A$100,MATCH($F87,'WORK PACKAGES'!$D$2:$D$100,0)),""))</f>
        <v/>
      </c>
      <c r="H87" s="64">
        <f>IF($F87="","",INDEX('WORK PACKAGES'!$E$2:$E$100,MATCH($F87,'WORK PACKAGES'!$D$2:$D$100,0)))</f>
        <v/>
      </c>
      <c r="I87" s="78" t="n"/>
      <c r="J87" s="78" t="n"/>
      <c r="K87" s="78" t="n"/>
      <c r="L87" s="82" t="n"/>
      <c r="M87" s="78" t="n"/>
      <c r="N87" s="79" t="n"/>
      <c r="O87" s="78" t="n"/>
      <c r="P87" s="79" t="n"/>
      <c r="R87" s="63">
        <f>IF(Q87="","",IF(Q87="Open",TODAY()-N87,"--"))</f>
        <v/>
      </c>
      <c r="S87" s="63">
        <f>IF(Q87="","",IF(Q87="Closed",P87-N87,"--"))</f>
        <v/>
      </c>
      <c r="W87" s="50" t="n"/>
    </row>
    <row r="88" ht="15" customHeight="1" s="130">
      <c r="B88" s="64">
        <f>IF(C88="","",B87+1)</f>
        <v/>
      </c>
      <c r="C88" s="77" t="n"/>
      <c r="D88" s="77" t="n"/>
      <c r="E88" s="82" t="n"/>
      <c r="F88" s="77" t="n"/>
      <c r="G88" s="64">
        <f>IF($F88="","",IFERROR(INDEX('WORK PACKAGES'!$A$2:$A$100,MATCH($F88,'WORK PACKAGES'!$D$2:$D$100,0)),""))</f>
        <v/>
      </c>
      <c r="H88" s="64">
        <f>IF($F88="","",INDEX('WORK PACKAGES'!$E$2:$E$100,MATCH($F88,'WORK PACKAGES'!$D$2:$D$100,0)))</f>
        <v/>
      </c>
      <c r="I88" s="78" t="n"/>
      <c r="J88" s="78" t="n"/>
      <c r="K88" s="78" t="n"/>
      <c r="L88" s="82" t="n"/>
      <c r="M88" s="78" t="n"/>
      <c r="N88" s="79" t="n"/>
      <c r="O88" s="78" t="n"/>
      <c r="P88" s="79" t="n"/>
      <c r="R88" s="63">
        <f>IF(Q88="","",IF(Q88="Open",TODAY()-N88,"--"))</f>
        <v/>
      </c>
      <c r="S88" s="63">
        <f>IF(Q88="","",IF(Q88="Closed",P88-N88,"--"))</f>
        <v/>
      </c>
      <c r="W88" s="50" t="n"/>
    </row>
    <row r="89" ht="15" customHeight="1" s="130">
      <c r="B89" s="64">
        <f>IF(C89="","",B88+1)</f>
        <v/>
      </c>
      <c r="C89" s="77" t="n"/>
      <c r="D89" s="77" t="n"/>
      <c r="E89" s="66" t="n"/>
      <c r="F89" s="77" t="n"/>
      <c r="G89" s="64">
        <f>IF($F89="","",IFERROR(INDEX('WORK PACKAGES'!$A$2:$A$100,MATCH($F89,'WORK PACKAGES'!$D$2:$D$100,0)),""))</f>
        <v/>
      </c>
      <c r="H89" s="64">
        <f>IF($F89="","",INDEX('WORK PACKAGES'!$E$2:$E$100,MATCH($F89,'WORK PACKAGES'!$D$2:$D$100,0)))</f>
        <v/>
      </c>
      <c r="I89" s="78" t="n"/>
      <c r="J89" s="78" t="n"/>
      <c r="K89" s="78" t="n"/>
      <c r="L89" s="66" t="n"/>
      <c r="M89" s="67" t="n"/>
      <c r="N89" s="79" t="n"/>
      <c r="O89" s="78" t="n"/>
      <c r="P89" s="79" t="n"/>
      <c r="R89" s="63">
        <f>IF(Q89="","",IF(Q89="Open",TODAY()-N89,"--"))</f>
        <v/>
      </c>
      <c r="S89" s="63">
        <f>IF(Q89="","",IF(Q89="Closed",P89-N89,"--"))</f>
        <v/>
      </c>
      <c r="W89" s="50" t="n"/>
    </row>
    <row r="90" ht="15" customHeight="1" s="130">
      <c r="B90" s="64">
        <f>IF(C90="","",B89+1)</f>
        <v/>
      </c>
      <c r="C90" s="77" t="n"/>
      <c r="D90" s="77" t="n"/>
      <c r="E90" s="66" t="n"/>
      <c r="F90" s="77" t="n"/>
      <c r="G90" s="64">
        <f>IF($F90="","",IFERROR(INDEX('WORK PACKAGES'!$A$2:$A$100,MATCH($F90,'WORK PACKAGES'!$D$2:$D$100,0)),""))</f>
        <v/>
      </c>
      <c r="H90" s="64">
        <f>IF($F90="","",INDEX('WORK PACKAGES'!$E$2:$E$100,MATCH($F90,'WORK PACKAGES'!$D$2:$D$100,0)))</f>
        <v/>
      </c>
      <c r="I90" s="78" t="n"/>
      <c r="J90" s="78" t="n"/>
      <c r="K90" s="78" t="n"/>
      <c r="L90" s="66" t="n"/>
      <c r="M90" s="67" t="n"/>
      <c r="N90" s="79" t="n"/>
      <c r="O90" s="78" t="n"/>
      <c r="P90" s="79" t="n"/>
      <c r="R90" s="63">
        <f>IF(Q90="","",IF(Q90="Open",TODAY()-N90,"--"))</f>
        <v/>
      </c>
      <c r="S90" s="63">
        <f>IF(Q90="","",IF(Q90="Closed",P90-N90,"--"))</f>
        <v/>
      </c>
      <c r="W90" s="50" t="n"/>
    </row>
    <row r="91" ht="15" customHeight="1" s="130">
      <c r="B91" s="64">
        <f>IF(C91="","",B90+1)</f>
        <v/>
      </c>
      <c r="C91" s="77" t="n"/>
      <c r="D91" s="77" t="n"/>
      <c r="E91" s="66" t="n"/>
      <c r="F91" s="77" t="n"/>
      <c r="G91" s="64">
        <f>IF($F91="","",IFERROR(INDEX('WORK PACKAGES'!$A$2:$A$100,MATCH($F91,'WORK PACKAGES'!$D$2:$D$100,0)),""))</f>
        <v/>
      </c>
      <c r="H91" s="64">
        <f>IF($F91="","",INDEX('WORK PACKAGES'!$E$2:$E$100,MATCH($F91,'WORK PACKAGES'!$D$2:$D$100,0)))</f>
        <v/>
      </c>
      <c r="I91" s="78" t="n"/>
      <c r="J91" s="78" t="n"/>
      <c r="K91" s="78" t="n"/>
      <c r="L91" s="66" t="n"/>
      <c r="M91" s="67" t="n"/>
      <c r="N91" s="79" t="n"/>
      <c r="O91" s="78" t="n"/>
      <c r="P91" s="79" t="n"/>
      <c r="R91" s="63">
        <f>IF(Q91="","",IF(Q91="Open",TODAY()-N91,"--"))</f>
        <v/>
      </c>
      <c r="S91" s="63">
        <f>IF(Q91="","",IF(Q91="Closed",P91-N91,"--"))</f>
        <v/>
      </c>
      <c r="W91" s="50" t="n"/>
    </row>
    <row r="92" ht="15" customHeight="1" s="130">
      <c r="B92" s="64">
        <f>IF(C92="","",B91+1)</f>
        <v/>
      </c>
      <c r="C92" s="65" t="n"/>
      <c r="D92" s="65" t="n"/>
      <c r="E92" s="82" t="n"/>
      <c r="F92" s="77" t="n"/>
      <c r="G92" s="64">
        <f>IF($F92="","",IFERROR(INDEX('WORK PACKAGES'!$A$2:$A$100,MATCH($F92,'WORK PACKAGES'!$D$2:$D$100,0)),""))</f>
        <v/>
      </c>
      <c r="H92" s="64">
        <f>IF($F92="","",INDEX('WORK PACKAGES'!$E$2:$E$100,MATCH($F92,'WORK PACKAGES'!$D$2:$D$100,0)))</f>
        <v/>
      </c>
      <c r="I92" s="78" t="n"/>
      <c r="J92" s="78" t="n"/>
      <c r="K92" s="78" t="n"/>
      <c r="L92" s="66" t="n"/>
      <c r="M92" s="78" t="n"/>
      <c r="N92" s="79" t="n"/>
      <c r="O92" s="67" t="n"/>
      <c r="P92" s="79" t="n"/>
      <c r="R92" s="63">
        <f>IF(Q92="","",IF(Q92="Open",TODAY()-N92,"--"))</f>
        <v/>
      </c>
      <c r="S92" s="63">
        <f>IF(Q92="","",IF(Q92="Closed",P92-N92,"--"))</f>
        <v/>
      </c>
      <c r="W92" s="50" t="n"/>
    </row>
    <row r="93" ht="15" customHeight="1" s="130">
      <c r="B93" s="64">
        <f>IF(C93="","",B92+1)</f>
        <v/>
      </c>
      <c r="C93" s="65" t="n"/>
      <c r="D93" s="65" t="n"/>
      <c r="E93" s="82" t="n"/>
      <c r="F93" s="77" t="n"/>
      <c r="G93" s="64">
        <f>IF($F93="","",IFERROR(INDEX('WORK PACKAGES'!$A$2:$A$100,MATCH($F93,'WORK PACKAGES'!$D$2:$D$100,0)),""))</f>
        <v/>
      </c>
      <c r="H93" s="64">
        <f>IF($F93="","",INDEX('WORK PACKAGES'!$E$2:$E$100,MATCH($F93,'WORK PACKAGES'!$D$2:$D$100,0)))</f>
        <v/>
      </c>
      <c r="I93" s="78" t="n"/>
      <c r="J93" s="78" t="n"/>
      <c r="K93" s="78" t="n"/>
      <c r="L93" s="66" t="n"/>
      <c r="M93" s="78" t="n"/>
      <c r="N93" s="79" t="n"/>
      <c r="O93" s="78" t="n"/>
      <c r="P93" s="79" t="n"/>
      <c r="R93" s="63">
        <f>IF(Q93="","",IF(Q93="Open",TODAY()-N93,"--"))</f>
        <v/>
      </c>
      <c r="S93" s="63">
        <f>IF(Q93="","",IF(Q93="Closed",P93-N93,"--"))</f>
        <v/>
      </c>
      <c r="W93" s="50" t="n"/>
    </row>
    <row r="94" ht="15" customHeight="1" s="130">
      <c r="B94" s="64">
        <f>IF(C94="","",B93+1)</f>
        <v/>
      </c>
      <c r="C94" s="77" t="n"/>
      <c r="D94" s="77" t="n"/>
      <c r="E94" s="82" t="n"/>
      <c r="F94" s="77" t="n"/>
      <c r="G94" s="64">
        <f>IF($F94="","",IFERROR(INDEX('WORK PACKAGES'!$A$2:$A$100,MATCH($F94,'WORK PACKAGES'!$D$2:$D$100,0)),""))</f>
        <v/>
      </c>
      <c r="H94" s="64">
        <f>IF($F94="","",INDEX('WORK PACKAGES'!$E$2:$E$100,MATCH($F94,'WORK PACKAGES'!$D$2:$D$100,0)))</f>
        <v/>
      </c>
      <c r="I94" s="78" t="n"/>
      <c r="J94" s="78" t="n"/>
      <c r="K94" s="78" t="n"/>
      <c r="L94" s="82" t="n"/>
      <c r="M94" s="78" t="n"/>
      <c r="N94" s="79" t="n"/>
      <c r="O94" s="78" t="n"/>
      <c r="P94" s="79" t="n"/>
      <c r="R94" s="63">
        <f>IF(Q94="","",IF(Q94="Open",TODAY()-N94,"--"))</f>
        <v/>
      </c>
      <c r="S94" s="63">
        <f>IF(Q94="","",IF(Q94="Closed",P94-N94,"--"))</f>
        <v/>
      </c>
      <c r="W94" s="50" t="n"/>
    </row>
    <row r="95" ht="15" customHeight="1" s="130">
      <c r="B95" s="64">
        <f>IF(C95="","",B94+1)</f>
        <v/>
      </c>
      <c r="C95" s="77" t="n"/>
      <c r="D95" s="77" t="n"/>
      <c r="E95" s="82" t="n"/>
      <c r="F95" s="77" t="n"/>
      <c r="G95" s="64">
        <f>IF($F95="","",IFERROR(INDEX('WORK PACKAGES'!$A$2:$A$100,MATCH($F95,'WORK PACKAGES'!$D$2:$D$100,0)),""))</f>
        <v/>
      </c>
      <c r="H95" s="64">
        <f>IF($F95="","",INDEX('WORK PACKAGES'!$E$2:$E$100,MATCH($F95,'WORK PACKAGES'!$D$2:$D$100,0)))</f>
        <v/>
      </c>
      <c r="I95" s="78" t="n"/>
      <c r="J95" s="78" t="n"/>
      <c r="K95" s="78" t="n"/>
      <c r="L95" s="66" t="n"/>
      <c r="M95" s="78" t="n"/>
      <c r="N95" s="79" t="n"/>
      <c r="O95" s="67" t="n"/>
      <c r="P95" s="79" t="n"/>
      <c r="R95" s="63">
        <f>IF(Q95="","",IF(Q95="Open",TODAY()-N95,"--"))</f>
        <v/>
      </c>
      <c r="S95" s="63">
        <f>IF(Q95="","",IF(Q95="Closed",P95-N95,"--"))</f>
        <v/>
      </c>
      <c r="W95" s="50" t="n"/>
    </row>
    <row r="96" ht="15" customHeight="1" s="130">
      <c r="B96" s="64">
        <f>IF(C96="","",B95+1)</f>
        <v/>
      </c>
      <c r="C96" s="77" t="n"/>
      <c r="D96" s="77" t="n"/>
      <c r="E96" s="82" t="n"/>
      <c r="F96" s="77" t="n"/>
      <c r="G96" s="64">
        <f>IF($F96="","",IFERROR(INDEX('WORK PACKAGES'!$A$2:$A$100,MATCH($F96,'WORK PACKAGES'!$D$2:$D$100,0)),""))</f>
        <v/>
      </c>
      <c r="H96" s="64">
        <f>IF($F96="","",INDEX('WORK PACKAGES'!$E$2:$E$100,MATCH($F96,'WORK PACKAGES'!$D$2:$D$100,0)))</f>
        <v/>
      </c>
      <c r="I96" s="78" t="n"/>
      <c r="J96" s="78" t="n"/>
      <c r="K96" s="78" t="n"/>
      <c r="L96" s="82" t="n"/>
      <c r="M96" s="78" t="n"/>
      <c r="N96" s="79" t="n"/>
      <c r="O96" s="78" t="n"/>
      <c r="P96" s="79" t="n"/>
      <c r="R96" s="63">
        <f>IF(Q96="","",IF(Q96="Open",TODAY()-N96,"--"))</f>
        <v/>
      </c>
      <c r="S96" s="63">
        <f>IF(Q96="","",IF(Q96="Closed",P96-N96,"--"))</f>
        <v/>
      </c>
      <c r="W96" s="50" t="n"/>
    </row>
    <row r="97" ht="15" customHeight="1" s="130">
      <c r="B97" s="64">
        <f>IF(C97="","",B96+1)</f>
        <v/>
      </c>
      <c r="C97" s="77" t="n"/>
      <c r="D97" s="77" t="n"/>
      <c r="E97" s="82" t="n"/>
      <c r="F97" s="77" t="n"/>
      <c r="G97" s="64">
        <f>IF($F97="","",IFERROR(INDEX('WORK PACKAGES'!$A$2:$A$100,MATCH($F97,'WORK PACKAGES'!$D$2:$D$100,0)),""))</f>
        <v/>
      </c>
      <c r="H97" s="64">
        <f>IF($F97="","",INDEX('WORK PACKAGES'!$E$2:$E$100,MATCH($F97,'WORK PACKAGES'!$D$2:$D$100,0)))</f>
        <v/>
      </c>
      <c r="I97" s="78" t="n"/>
      <c r="J97" s="78" t="n"/>
      <c r="K97" s="78" t="n"/>
      <c r="L97" s="82" t="n"/>
      <c r="M97" s="78" t="n"/>
      <c r="N97" s="79" t="n"/>
      <c r="O97" s="78" t="n"/>
      <c r="P97" s="79" t="n"/>
      <c r="R97" s="63">
        <f>IF(Q97="","",IF(Q97="Open",TODAY()-N97,"--"))</f>
        <v/>
      </c>
      <c r="S97" s="63">
        <f>IF(Q97="","",IF(Q97="Closed",P97-N97,"--"))</f>
        <v/>
      </c>
      <c r="W97" s="50" t="n"/>
    </row>
    <row r="98" ht="15" customHeight="1" s="130">
      <c r="B98" s="64">
        <f>IF(C98="","",B97+1)</f>
        <v/>
      </c>
      <c r="C98" s="77" t="n"/>
      <c r="D98" s="77" t="n"/>
      <c r="E98" s="82" t="n"/>
      <c r="F98" s="77" t="n"/>
      <c r="G98" s="64">
        <f>IF($F98="","",IFERROR(INDEX('WORK PACKAGES'!$A$2:$A$100,MATCH($F98,'WORK PACKAGES'!$D$2:$D$100,0)),""))</f>
        <v/>
      </c>
      <c r="H98" s="64">
        <f>IF($F98="","",INDEX('WORK PACKAGES'!$E$2:$E$100,MATCH($F98,'WORK PACKAGES'!$D$2:$D$100,0)))</f>
        <v/>
      </c>
      <c r="I98" s="78" t="n"/>
      <c r="J98" s="78" t="n"/>
      <c r="K98" s="78" t="n"/>
      <c r="L98" s="82" t="n"/>
      <c r="M98" s="78" t="n"/>
      <c r="N98" s="79" t="n"/>
      <c r="O98" s="78" t="n"/>
      <c r="P98" s="79" t="n"/>
      <c r="R98" s="63">
        <f>IF(Q98="","",IF(Q98="Open",TODAY()-N98,"--"))</f>
        <v/>
      </c>
      <c r="S98" s="63">
        <f>IF(Q98="","",IF(Q98="Closed",P98-N98,"--"))</f>
        <v/>
      </c>
      <c r="W98" s="50" t="n"/>
    </row>
    <row r="99" ht="15" customHeight="1" s="130">
      <c r="B99" s="64">
        <f>IF(C99="","",B98+1)</f>
        <v/>
      </c>
      <c r="C99" s="77" t="n"/>
      <c r="D99" s="77" t="n"/>
      <c r="E99" s="82" t="n"/>
      <c r="F99" s="77" t="n"/>
      <c r="G99" s="64">
        <f>IF($F99="","",IFERROR(INDEX('WORK PACKAGES'!$A$2:$A$100,MATCH($F99,'WORK PACKAGES'!$D$2:$D$100,0)),""))</f>
        <v/>
      </c>
      <c r="H99" s="64">
        <f>IF($F99="","",INDEX('WORK PACKAGES'!$E$2:$E$100,MATCH($F99,'WORK PACKAGES'!$D$2:$D$100,0)))</f>
        <v/>
      </c>
      <c r="I99" s="78" t="n"/>
      <c r="J99" s="78" t="n"/>
      <c r="K99" s="78" t="n"/>
      <c r="L99" s="82" t="n"/>
      <c r="M99" s="78" t="n"/>
      <c r="N99" s="79" t="n"/>
      <c r="O99" s="78" t="n"/>
      <c r="P99" s="79" t="n"/>
      <c r="R99" s="63">
        <f>IF(Q99="","",IF(Q99="Open",TODAY()-N99,"--"))</f>
        <v/>
      </c>
      <c r="S99" s="63">
        <f>IF(Q99="","",IF(Q99="Closed",P99-N99,"--"))</f>
        <v/>
      </c>
      <c r="W99" s="50" t="n"/>
    </row>
    <row r="100" ht="15" customHeight="1" s="130">
      <c r="B100" s="64">
        <f>IF(C100="","",B99+1)</f>
        <v/>
      </c>
      <c r="C100" s="77" t="n"/>
      <c r="D100" s="77" t="n"/>
      <c r="E100" s="82" t="n"/>
      <c r="F100" s="77" t="n"/>
      <c r="G100" s="64">
        <f>IF($F100="","",IFERROR(INDEX('WORK PACKAGES'!$A$2:$A$100,MATCH($F100,'WORK PACKAGES'!$D$2:$D$100,0)),""))</f>
        <v/>
      </c>
      <c r="H100" s="64">
        <f>IF($F100="","",INDEX('WORK PACKAGES'!$E$2:$E$100,MATCH($F100,'WORK PACKAGES'!$D$2:$D$100,0)))</f>
        <v/>
      </c>
      <c r="I100" s="78" t="n"/>
      <c r="J100" s="78" t="n"/>
      <c r="K100" s="78" t="n"/>
      <c r="L100" s="82" t="n"/>
      <c r="M100" s="78" t="n"/>
      <c r="N100" s="79" t="n"/>
      <c r="O100" s="78" t="n"/>
      <c r="P100" s="79" t="n"/>
      <c r="R100" s="63">
        <f>IF(Q100="","",IF(Q100="Open",TODAY()-N100,"--"))</f>
        <v/>
      </c>
      <c r="S100" s="63">
        <f>IF(Q100="","",IF(Q100="Closed",P100-N100,"--"))</f>
        <v/>
      </c>
      <c r="W100" s="50" t="n"/>
    </row>
    <row r="101" ht="15" customHeight="1" s="130">
      <c r="B101" s="64">
        <f>IF(C101="","",B100+1)</f>
        <v/>
      </c>
      <c r="C101" s="77" t="n"/>
      <c r="D101" s="77" t="n"/>
      <c r="E101" s="82" t="n"/>
      <c r="F101" s="77" t="n"/>
      <c r="G101" s="64">
        <f>IF($F101="","",IFERROR(INDEX('WORK PACKAGES'!$A$2:$A$100,MATCH($F101,'WORK PACKAGES'!$D$2:$D$100,0)),""))</f>
        <v/>
      </c>
      <c r="H101" s="64">
        <f>IF($F101="","",INDEX('WORK PACKAGES'!$E$2:$E$100,MATCH($F101,'WORK PACKAGES'!$D$2:$D$100,0)))</f>
        <v/>
      </c>
      <c r="I101" s="78" t="n"/>
      <c r="J101" s="78" t="n"/>
      <c r="K101" s="78" t="n"/>
      <c r="L101" s="82" t="n"/>
      <c r="M101" s="78" t="n"/>
      <c r="N101" s="79" t="n"/>
      <c r="O101" s="78" t="n"/>
      <c r="P101" s="79" t="n"/>
      <c r="R101" s="63">
        <f>IF(Q101="","",IF(Q101="Open",TODAY()-N101,"--"))</f>
        <v/>
      </c>
      <c r="S101" s="63">
        <f>IF(Q101="","",IF(Q101="Closed",P101-N101,"--"))</f>
        <v/>
      </c>
      <c r="W101" s="50" t="n"/>
    </row>
    <row r="102" ht="15" customHeight="1" s="130">
      <c r="B102" s="64">
        <f>IF(C102="","",B101+1)</f>
        <v/>
      </c>
      <c r="C102" s="77" t="n"/>
      <c r="D102" s="77" t="n"/>
      <c r="E102" s="82" t="n"/>
      <c r="F102" s="77" t="n"/>
      <c r="G102" s="64">
        <f>IF($F102="","",IFERROR(INDEX('WORK PACKAGES'!$A$2:$A$100,MATCH($F102,'WORK PACKAGES'!$D$2:$D$100,0)),""))</f>
        <v/>
      </c>
      <c r="H102" s="64">
        <f>IF($F102="","",INDEX('WORK PACKAGES'!$E$2:$E$100,MATCH($F102,'WORK PACKAGES'!$D$2:$D$100,0)))</f>
        <v/>
      </c>
      <c r="I102" s="78" t="n"/>
      <c r="J102" s="78" t="n"/>
      <c r="K102" s="78" t="n"/>
      <c r="L102" s="82" t="n"/>
      <c r="M102" s="78" t="n"/>
      <c r="N102" s="79" t="n"/>
      <c r="O102" s="78" t="n"/>
      <c r="P102" s="79" t="n"/>
      <c r="R102" s="63">
        <f>IF(Q102="","",IF(Q102="Open",TODAY()-N102,"--"))</f>
        <v/>
      </c>
      <c r="S102" s="63">
        <f>IF(Q102="","",IF(Q102="Closed",P102-N102,"--"))</f>
        <v/>
      </c>
      <c r="W102" s="50" t="n"/>
    </row>
    <row r="103" ht="15" customHeight="1" s="130">
      <c r="B103" s="64">
        <f>IF(C103="","",B102+1)</f>
        <v/>
      </c>
      <c r="C103" s="77" t="n"/>
      <c r="D103" s="77" t="n"/>
      <c r="E103" s="82" t="n"/>
      <c r="F103" s="77" t="n"/>
      <c r="G103" s="64">
        <f>IF($F103="","",IFERROR(INDEX('WORK PACKAGES'!$A$2:$A$100,MATCH($F103,'WORK PACKAGES'!$D$2:$D$100,0)),""))</f>
        <v/>
      </c>
      <c r="H103" s="64">
        <f>IF($F103="","",INDEX('WORK PACKAGES'!$E$2:$E$100,MATCH($F103,'WORK PACKAGES'!$D$2:$D$100,0)))</f>
        <v/>
      </c>
      <c r="I103" s="78" t="n"/>
      <c r="J103" s="78" t="n"/>
      <c r="K103" s="78" t="n"/>
      <c r="L103" s="82" t="n"/>
      <c r="M103" s="78" t="n"/>
      <c r="N103" s="79" t="n"/>
      <c r="O103" s="78" t="n"/>
      <c r="P103" s="79" t="n"/>
      <c r="R103" s="63">
        <f>IF(Q103="","",IF(Q103="Open",TODAY()-N103,"--"))</f>
        <v/>
      </c>
      <c r="S103" s="63">
        <f>IF(Q103="","",IF(Q103="Closed",P103-N103,"--"))</f>
        <v/>
      </c>
      <c r="W103" s="50" t="n"/>
    </row>
    <row r="104" ht="15" customHeight="1" s="130">
      <c r="B104" s="64">
        <f>IF(C104="","",B103+1)</f>
        <v/>
      </c>
      <c r="C104" s="77" t="n"/>
      <c r="D104" s="77" t="n"/>
      <c r="E104" s="82" t="n"/>
      <c r="F104" s="77" t="n"/>
      <c r="G104" s="64">
        <f>IF($F104="","",IFERROR(INDEX('WORK PACKAGES'!$A$2:$A$100,MATCH($F104,'WORK PACKAGES'!$D$2:$D$100,0)),""))</f>
        <v/>
      </c>
      <c r="H104" s="64">
        <f>IF($F104="","",INDEX('WORK PACKAGES'!$E$2:$E$100,MATCH($F104,'WORK PACKAGES'!$D$2:$D$100,0)))</f>
        <v/>
      </c>
      <c r="I104" s="78" t="n"/>
      <c r="J104" s="78" t="n"/>
      <c r="K104" s="78" t="n"/>
      <c r="L104" s="82" t="n"/>
      <c r="M104" s="78" t="n"/>
      <c r="N104" s="79" t="n"/>
      <c r="O104" s="78" t="n"/>
      <c r="P104" s="79" t="n"/>
      <c r="R104" s="63">
        <f>IF(Q104="","",IF(Q104="Open",TODAY()-N104,"--"))</f>
        <v/>
      </c>
      <c r="S104" s="63">
        <f>IF(Q104="","",IF(Q104="Closed",P104-N104,"--"))</f>
        <v/>
      </c>
      <c r="W104" s="50" t="n"/>
    </row>
    <row r="105" ht="15" customHeight="1" s="130">
      <c r="B105" s="64">
        <f>IF(C105="","",B104+1)</f>
        <v/>
      </c>
      <c r="C105" s="77" t="n"/>
      <c r="D105" s="77" t="n"/>
      <c r="E105" s="82" t="n"/>
      <c r="F105" s="77" t="n"/>
      <c r="G105" s="64">
        <f>IF($F105="","",IFERROR(INDEX('WORK PACKAGES'!$A$2:$A$100,MATCH($F105,'WORK PACKAGES'!$D$2:$D$100,0)),""))</f>
        <v/>
      </c>
      <c r="H105" s="64">
        <f>IF($F105="","",INDEX('WORK PACKAGES'!$E$2:$E$100,MATCH($F105,'WORK PACKAGES'!$D$2:$D$100,0)))</f>
        <v/>
      </c>
      <c r="I105" s="78" t="n"/>
      <c r="J105" s="78" t="n"/>
      <c r="K105" s="78" t="n"/>
      <c r="L105" s="82" t="n"/>
      <c r="M105" s="78" t="n"/>
      <c r="N105" s="79" t="n"/>
      <c r="O105" s="78" t="n"/>
      <c r="P105" s="79" t="n"/>
      <c r="R105" s="63">
        <f>IF(Q105="","",IF(Q105="Open",TODAY()-N105,"--"))</f>
        <v/>
      </c>
      <c r="S105" s="63">
        <f>IF(Q105="","",IF(Q105="Closed",P105-N105,"--"))</f>
        <v/>
      </c>
      <c r="W105" s="50" t="n"/>
    </row>
    <row r="106" ht="15" customHeight="1" s="130">
      <c r="B106" s="64">
        <f>IF(C106="","",B105+1)</f>
        <v/>
      </c>
      <c r="C106" s="77" t="n"/>
      <c r="D106" s="77" t="n"/>
      <c r="E106" s="82" t="n"/>
      <c r="F106" s="77" t="n"/>
      <c r="G106" s="64">
        <f>IF($F106="","",IFERROR(INDEX('WORK PACKAGES'!$A$2:$A$100,MATCH($F106,'WORK PACKAGES'!$D$2:$D$100,0)),""))</f>
        <v/>
      </c>
      <c r="H106" s="64">
        <f>IF($F106="","",INDEX('WORK PACKAGES'!$E$2:$E$100,MATCH($F106,'WORK PACKAGES'!$D$2:$D$100,0)))</f>
        <v/>
      </c>
      <c r="I106" s="78" t="n"/>
      <c r="J106" s="78" t="n"/>
      <c r="K106" s="78" t="n"/>
      <c r="L106" s="82" t="n"/>
      <c r="M106" s="78" t="n"/>
      <c r="N106" s="79" t="n"/>
      <c r="O106" s="78" t="n"/>
      <c r="P106" s="79" t="n"/>
      <c r="R106" s="63">
        <f>IF(Q106="","",IF(Q106="Open",TODAY()-N106,"--"))</f>
        <v/>
      </c>
      <c r="S106" s="63">
        <f>IF(Q106="","",IF(Q106="Closed",P106-N106,"--"))</f>
        <v/>
      </c>
      <c r="W106" s="50" t="n"/>
    </row>
    <row r="107" ht="15" customHeight="1" s="130">
      <c r="B107" s="64">
        <f>IF(C107="","",B106+1)</f>
        <v/>
      </c>
      <c r="C107" s="77" t="n"/>
      <c r="D107" s="77" t="n"/>
      <c r="E107" s="82" t="n"/>
      <c r="F107" s="77" t="n"/>
      <c r="G107" s="64">
        <f>IF($F107="","",IFERROR(INDEX('WORK PACKAGES'!$A$2:$A$100,MATCH($F107,'WORK PACKAGES'!$D$2:$D$100,0)),""))</f>
        <v/>
      </c>
      <c r="H107" s="64">
        <f>IF($F107="","",INDEX('WORK PACKAGES'!$E$2:$E$100,MATCH($F107,'WORK PACKAGES'!$D$2:$D$100,0)))</f>
        <v/>
      </c>
      <c r="I107" s="78" t="n"/>
      <c r="J107" s="78" t="n"/>
      <c r="K107" s="78" t="n"/>
      <c r="L107" s="82" t="n"/>
      <c r="M107" s="78" t="n"/>
      <c r="N107" s="79" t="n"/>
      <c r="O107" s="78" t="n"/>
      <c r="P107" s="79" t="n"/>
      <c r="R107" s="63">
        <f>IF(Q107="","",IF(Q107="Open",TODAY()-N107,"--"))</f>
        <v/>
      </c>
      <c r="S107" s="63">
        <f>IF(Q107="","",IF(Q107="Closed",P107-N107,"--"))</f>
        <v/>
      </c>
      <c r="W107" s="50" t="n"/>
    </row>
    <row r="108" ht="15" customHeight="1" s="130">
      <c r="B108" s="64">
        <f>IF(C108="","",B107+1)</f>
        <v/>
      </c>
      <c r="C108" s="77" t="n"/>
      <c r="D108" s="77" t="n"/>
      <c r="E108" s="82" t="n"/>
      <c r="F108" s="77" t="n"/>
      <c r="G108" s="64">
        <f>IF($F108="","",IFERROR(INDEX('WORK PACKAGES'!$A$2:$A$100,MATCH($F108,'WORK PACKAGES'!$D$2:$D$100,0)),""))</f>
        <v/>
      </c>
      <c r="H108" s="64">
        <f>IF($F108="","",INDEX('WORK PACKAGES'!$E$2:$E$100,MATCH($F108,'WORK PACKAGES'!$D$2:$D$100,0)))</f>
        <v/>
      </c>
      <c r="I108" s="78" t="n"/>
      <c r="J108" s="78" t="n"/>
      <c r="K108" s="78" t="n"/>
      <c r="L108" s="82" t="n"/>
      <c r="M108" s="78" t="n"/>
      <c r="N108" s="79" t="n"/>
      <c r="O108" s="78" t="n"/>
      <c r="P108" s="79" t="n"/>
      <c r="R108" s="63">
        <f>IF(Q108="","",IF(Q108="Open",TODAY()-N108,"--"))</f>
        <v/>
      </c>
      <c r="S108" s="63">
        <f>IF(Q108="","",IF(Q108="Closed",P108-N108,"--"))</f>
        <v/>
      </c>
      <c r="W108" s="50" t="n"/>
    </row>
    <row r="109" ht="15" customHeight="1" s="130">
      <c r="B109" s="64">
        <f>IF(C109="","",B108+1)</f>
        <v/>
      </c>
      <c r="C109" s="77" t="n"/>
      <c r="D109" s="77" t="n"/>
      <c r="E109" s="82" t="n"/>
      <c r="F109" s="77" t="n"/>
      <c r="G109" s="64">
        <f>IF($F109="","",IFERROR(INDEX('WORK PACKAGES'!$A$2:$A$100,MATCH($F109,'WORK PACKAGES'!$D$2:$D$100,0)),""))</f>
        <v/>
      </c>
      <c r="H109" s="64">
        <f>IF($F109="","",INDEX('WORK PACKAGES'!$E$2:$E$100,MATCH($F109,'WORK PACKAGES'!$D$2:$D$100,0)))</f>
        <v/>
      </c>
      <c r="I109" s="78" t="n"/>
      <c r="J109" s="78" t="n"/>
      <c r="K109" s="78" t="n"/>
      <c r="L109" s="82" t="n"/>
      <c r="M109" s="78" t="n"/>
      <c r="N109" s="79" t="n"/>
      <c r="O109" s="78" t="n"/>
      <c r="P109" s="79" t="n"/>
      <c r="R109" s="63">
        <f>IF(Q109="","",IF(Q109="Open",TODAY()-N109,"--"))</f>
        <v/>
      </c>
      <c r="S109" s="63">
        <f>IF(Q109="","",IF(Q109="Closed",P109-N109,"--"))</f>
        <v/>
      </c>
      <c r="W109" s="50" t="n"/>
    </row>
    <row r="110" ht="15" customHeight="1" s="130">
      <c r="B110" s="64">
        <f>IF(C110="","",B109+1)</f>
        <v/>
      </c>
      <c r="C110" s="77" t="n"/>
      <c r="D110" s="77" t="n"/>
      <c r="E110" s="82" t="n"/>
      <c r="F110" s="77" t="n"/>
      <c r="G110" s="64">
        <f>IF($F110="","",IFERROR(INDEX('WORK PACKAGES'!$A$2:$A$100,MATCH($F110,'WORK PACKAGES'!$D$2:$D$100,0)),""))</f>
        <v/>
      </c>
      <c r="H110" s="64">
        <f>IF($F110="","",INDEX('WORK PACKAGES'!$E$2:$E$100,MATCH($F110,'WORK PACKAGES'!$D$2:$D$100,0)))</f>
        <v/>
      </c>
      <c r="I110" s="78" t="n"/>
      <c r="J110" s="78" t="n"/>
      <c r="K110" s="78" t="n"/>
      <c r="L110" s="82" t="n"/>
      <c r="M110" s="78" t="n"/>
      <c r="N110" s="79" t="n"/>
      <c r="O110" s="78" t="n"/>
      <c r="P110" s="79" t="n"/>
      <c r="R110" s="63">
        <f>IF(Q110="","",IF(Q110="Open",TODAY()-N110,"--"))</f>
        <v/>
      </c>
      <c r="S110" s="63">
        <f>IF(Q110="","",IF(Q110="Closed",P110-N110,"--"))</f>
        <v/>
      </c>
      <c r="W110" s="50" t="n"/>
    </row>
    <row r="111" ht="15" customHeight="1" s="130">
      <c r="B111" s="64">
        <f>IF(C111="","",B110+1)</f>
        <v/>
      </c>
      <c r="C111" s="77" t="n"/>
      <c r="D111" s="77" t="n"/>
      <c r="E111" s="82" t="n"/>
      <c r="F111" s="77" t="n"/>
      <c r="G111" s="64">
        <f>IF($F111="","",IFERROR(INDEX('WORK PACKAGES'!$A$2:$A$100,MATCH($F111,'WORK PACKAGES'!$D$2:$D$100,0)),""))</f>
        <v/>
      </c>
      <c r="H111" s="64">
        <f>IF($F111="","",INDEX('WORK PACKAGES'!$E$2:$E$100,MATCH($F111,'WORK PACKAGES'!$D$2:$D$100,0)))</f>
        <v/>
      </c>
      <c r="I111" s="78" t="n"/>
      <c r="J111" s="78" t="n"/>
      <c r="K111" s="78" t="n"/>
      <c r="L111" s="82" t="n"/>
      <c r="M111" s="78" t="n"/>
      <c r="N111" s="79" t="n"/>
      <c r="O111" s="78" t="n"/>
      <c r="P111" s="79" t="n"/>
      <c r="R111" s="63">
        <f>IF(Q111="","",IF(Q111="Open",TODAY()-N111,"--"))</f>
        <v/>
      </c>
      <c r="S111" s="63">
        <f>IF(Q111="","",IF(Q111="Closed",P111-N111,"--"))</f>
        <v/>
      </c>
      <c r="W111" s="50" t="n"/>
    </row>
    <row r="112" ht="15" customHeight="1" s="130">
      <c r="B112" s="64">
        <f>IF(C112="","",B111+1)</f>
        <v/>
      </c>
      <c r="C112" s="77" t="n"/>
      <c r="D112" s="77" t="n"/>
      <c r="E112" s="82" t="n"/>
      <c r="F112" s="77" t="n"/>
      <c r="G112" s="64">
        <f>IF($F112="","",IFERROR(INDEX('WORK PACKAGES'!$A$2:$A$100,MATCH($F112,'WORK PACKAGES'!$D$2:$D$100,0)),""))</f>
        <v/>
      </c>
      <c r="H112" s="64">
        <f>IF($F112="","",INDEX('WORK PACKAGES'!$E$2:$E$100,MATCH($F112,'WORK PACKAGES'!$D$2:$D$100,0)))</f>
        <v/>
      </c>
      <c r="I112" s="78" t="n"/>
      <c r="J112" s="78" t="n"/>
      <c r="K112" s="78" t="n"/>
      <c r="L112" s="82" t="n"/>
      <c r="M112" s="78" t="n"/>
      <c r="N112" s="79" t="n"/>
      <c r="O112" s="78" t="n"/>
      <c r="P112" s="79" t="n"/>
      <c r="R112" s="63">
        <f>IF(Q112="","",IF(Q112="Open",TODAY()-N112,"--"))</f>
        <v/>
      </c>
      <c r="S112" s="63">
        <f>IF(Q112="","",IF(Q112="Closed",P112-N112,"--"))</f>
        <v/>
      </c>
      <c r="W112" s="50" t="n"/>
    </row>
    <row r="113" ht="15" customHeight="1" s="130">
      <c r="B113" s="64">
        <f>IF(C113="","",B112+1)</f>
        <v/>
      </c>
      <c r="C113" s="77" t="n"/>
      <c r="D113" s="77" t="n"/>
      <c r="E113" s="82" t="n"/>
      <c r="F113" s="77" t="n"/>
      <c r="G113" s="64">
        <f>IF($F113="","",IFERROR(INDEX('WORK PACKAGES'!$A$2:$A$100,MATCH($F113,'WORK PACKAGES'!$D$2:$D$100,0)),""))</f>
        <v/>
      </c>
      <c r="H113" s="64">
        <f>IF($F113="","",INDEX('WORK PACKAGES'!$E$2:$E$100,MATCH($F113,'WORK PACKAGES'!$D$2:$D$100,0)))</f>
        <v/>
      </c>
      <c r="I113" s="78" t="n"/>
      <c r="J113" s="78" t="n"/>
      <c r="K113" s="78" t="n"/>
      <c r="L113" s="82" t="n"/>
      <c r="M113" s="78" t="n"/>
      <c r="N113" s="79" t="n"/>
      <c r="O113" s="78" t="n"/>
      <c r="P113" s="79" t="n"/>
      <c r="R113" s="63">
        <f>IF(Q113="","",IF(Q113="Open",TODAY()-N113,"--"))</f>
        <v/>
      </c>
      <c r="S113" s="63">
        <f>IF(Q113="","",IF(Q113="Closed",P113-N113,"--"))</f>
        <v/>
      </c>
      <c r="W113" s="50" t="n"/>
    </row>
    <row r="114" ht="15" customHeight="1" s="130">
      <c r="B114" s="64">
        <f>IF(C114="","",B113+1)</f>
        <v/>
      </c>
      <c r="C114" s="77" t="n"/>
      <c r="D114" s="77" t="n"/>
      <c r="E114" s="82" t="n"/>
      <c r="F114" s="77" t="n"/>
      <c r="G114" s="64">
        <f>IF($F114="","",IFERROR(INDEX('WORK PACKAGES'!$A$2:$A$100,MATCH($F114,'WORK PACKAGES'!$D$2:$D$100,0)),""))</f>
        <v/>
      </c>
      <c r="H114" s="64">
        <f>IF($F114="","",INDEX('WORK PACKAGES'!$E$2:$E$100,MATCH($F114,'WORK PACKAGES'!$D$2:$D$100,0)))</f>
        <v/>
      </c>
      <c r="I114" s="78" t="n"/>
      <c r="J114" s="78" t="n"/>
      <c r="K114" s="78" t="n"/>
      <c r="L114" s="82" t="n"/>
      <c r="M114" s="78" t="n"/>
      <c r="N114" s="79" t="n"/>
      <c r="O114" s="78" t="n"/>
      <c r="P114" s="79" t="n"/>
      <c r="R114" s="63">
        <f>IF(Q114="","",IF(Q114="Open",TODAY()-N114,"--"))</f>
        <v/>
      </c>
      <c r="S114" s="63">
        <f>IF(Q114="","",IF(Q114="Closed",P114-N114,"--"))</f>
        <v/>
      </c>
      <c r="W114" s="50" t="n"/>
    </row>
    <row r="115" ht="15" customHeight="1" s="130">
      <c r="B115" s="64">
        <f>IF(C115="","",B114+1)</f>
        <v/>
      </c>
      <c r="C115" s="77" t="n"/>
      <c r="D115" s="77" t="n"/>
      <c r="E115" s="82" t="n"/>
      <c r="F115" s="77" t="n"/>
      <c r="G115" s="64">
        <f>IF($F115="","",IFERROR(INDEX('WORK PACKAGES'!$A$2:$A$100,MATCH($F115,'WORK PACKAGES'!$D$2:$D$100,0)),""))</f>
        <v/>
      </c>
      <c r="H115" s="64">
        <f>IF($F115="","",INDEX('WORK PACKAGES'!$E$2:$E$100,MATCH($F115,'WORK PACKAGES'!$D$2:$D$100,0)))</f>
        <v/>
      </c>
      <c r="I115" s="78" t="n"/>
      <c r="J115" s="78" t="n"/>
      <c r="K115" s="78" t="n"/>
      <c r="L115" s="82" t="n"/>
      <c r="M115" s="78" t="n"/>
      <c r="N115" s="79" t="n"/>
      <c r="O115" s="78" t="n"/>
      <c r="P115" s="79" t="n"/>
      <c r="R115" s="63">
        <f>IF(Q115="","",IF(Q115="Open",TODAY()-N115,"--"))</f>
        <v/>
      </c>
      <c r="S115" s="63">
        <f>IF(Q115="","",IF(Q115="Closed",P115-N115,"--"))</f>
        <v/>
      </c>
      <c r="W115" s="50" t="n"/>
    </row>
    <row r="116" ht="15" customHeight="1" s="130">
      <c r="B116" s="64">
        <f>IF(C116="","",B115+1)</f>
        <v/>
      </c>
      <c r="C116" s="77" t="n"/>
      <c r="D116" s="77" t="n"/>
      <c r="E116" s="82" t="n"/>
      <c r="F116" s="77" t="n"/>
      <c r="G116" s="64">
        <f>IF($F116="","",IFERROR(INDEX('WORK PACKAGES'!$A$2:$A$100,MATCH($F116,'WORK PACKAGES'!$D$2:$D$100,0)),""))</f>
        <v/>
      </c>
      <c r="H116" s="64">
        <f>IF($F116="","",INDEX('WORK PACKAGES'!$E$2:$E$100,MATCH($F116,'WORK PACKAGES'!$D$2:$D$100,0)))</f>
        <v/>
      </c>
      <c r="I116" s="78" t="n"/>
      <c r="J116" s="78" t="n"/>
      <c r="K116" s="78" t="n"/>
      <c r="L116" s="82" t="n"/>
      <c r="M116" s="78" t="n"/>
      <c r="N116" s="79" t="n"/>
      <c r="O116" s="78" t="n"/>
      <c r="P116" s="79" t="n"/>
      <c r="R116" s="63">
        <f>IF(Q116="","",IF(Q116="Open",TODAY()-N116,"--"))</f>
        <v/>
      </c>
      <c r="S116" s="63">
        <f>IF(Q116="","",IF(Q116="Closed",P116-N116,"--"))</f>
        <v/>
      </c>
      <c r="W116" s="50" t="n"/>
    </row>
    <row r="117" ht="15" customHeight="1" s="130">
      <c r="B117" s="64">
        <f>IF(C117="","",B116+1)</f>
        <v/>
      </c>
      <c r="C117" s="77" t="n"/>
      <c r="D117" s="77" t="n"/>
      <c r="E117" s="82" t="n"/>
      <c r="F117" s="77" t="n"/>
      <c r="G117" s="64">
        <f>IF($F117="","",IFERROR(INDEX('WORK PACKAGES'!$A$2:$A$100,MATCH($F117,'WORK PACKAGES'!$D$2:$D$100,0)),""))</f>
        <v/>
      </c>
      <c r="H117" s="64">
        <f>IF($F117="","",INDEX('WORK PACKAGES'!$E$2:$E$100,MATCH($F117,'WORK PACKAGES'!$D$2:$D$100,0)))</f>
        <v/>
      </c>
      <c r="I117" s="78" t="n"/>
      <c r="J117" s="78" t="n"/>
      <c r="K117" s="78" t="n"/>
      <c r="L117" s="82" t="n"/>
      <c r="M117" s="78" t="n"/>
      <c r="N117" s="79" t="n"/>
      <c r="O117" s="78" t="n"/>
      <c r="P117" s="79" t="n"/>
      <c r="R117" s="63">
        <f>IF(Q117="","",IF(Q117="Open",TODAY()-N117,"--"))</f>
        <v/>
      </c>
      <c r="S117" s="63">
        <f>IF(Q117="","",IF(Q117="Closed",P117-N117,"--"))</f>
        <v/>
      </c>
      <c r="W117" s="50" t="n"/>
    </row>
    <row r="118" ht="15" customHeight="1" s="130">
      <c r="B118" s="64">
        <f>IF(C118="","",B117+1)</f>
        <v/>
      </c>
      <c r="C118" s="77" t="n"/>
      <c r="D118" s="77" t="n"/>
      <c r="E118" s="82" t="n"/>
      <c r="F118" s="77" t="n"/>
      <c r="G118" s="64">
        <f>IF($F118="","",IFERROR(INDEX('WORK PACKAGES'!$A$2:$A$100,MATCH($F118,'WORK PACKAGES'!$D$2:$D$100,0)),""))</f>
        <v/>
      </c>
      <c r="H118" s="64">
        <f>IF($F118="","",INDEX('WORK PACKAGES'!$E$2:$E$100,MATCH($F118,'WORK PACKAGES'!$D$2:$D$100,0)))</f>
        <v/>
      </c>
      <c r="I118" s="78" t="n"/>
      <c r="J118" s="78" t="n"/>
      <c r="K118" s="78" t="n"/>
      <c r="L118" s="82" t="n"/>
      <c r="M118" s="78" t="n"/>
      <c r="N118" s="79" t="n"/>
      <c r="O118" s="78" t="n"/>
      <c r="P118" s="79" t="n"/>
      <c r="R118" s="63">
        <f>IF(Q118="","",IF(Q118="Open",TODAY()-N118,"--"))</f>
        <v/>
      </c>
      <c r="S118" s="63">
        <f>IF(Q118="","",IF(Q118="Closed",P118-N118,"--"))</f>
        <v/>
      </c>
      <c r="W118" s="50" t="n"/>
    </row>
    <row r="119" ht="15" customHeight="1" s="130">
      <c r="B119" s="64">
        <f>IF(C119="","",B118+1)</f>
        <v/>
      </c>
      <c r="C119" s="77" t="n"/>
      <c r="D119" s="77" t="n"/>
      <c r="E119" s="82" t="n"/>
      <c r="F119" s="77" t="n"/>
      <c r="G119" s="64">
        <f>IF($F119="","",IFERROR(INDEX('WORK PACKAGES'!$A$2:$A$100,MATCH($F119,'WORK PACKAGES'!$D$2:$D$100,0)),""))</f>
        <v/>
      </c>
      <c r="H119" s="64">
        <f>IF($F119="","",INDEX('WORK PACKAGES'!$E$2:$E$100,MATCH($F119,'WORK PACKAGES'!$D$2:$D$100,0)))</f>
        <v/>
      </c>
      <c r="I119" s="78" t="n"/>
      <c r="J119" s="78" t="n"/>
      <c r="K119" s="78" t="n"/>
      <c r="L119" s="82" t="n"/>
      <c r="M119" s="78" t="n"/>
      <c r="N119" s="79" t="n"/>
      <c r="O119" s="78" t="n"/>
      <c r="P119" s="79" t="n"/>
      <c r="R119" s="63">
        <f>IF(Q119="","",IF(Q119="Open",TODAY()-N119,"--"))</f>
        <v/>
      </c>
      <c r="S119" s="63">
        <f>IF(Q119="","",IF(Q119="Closed",P119-N119,"--"))</f>
        <v/>
      </c>
      <c r="W119" s="50" t="n"/>
    </row>
    <row r="120" ht="15" customHeight="1" s="130">
      <c r="B120" s="64">
        <f>IF(C120="","",B119+1)</f>
        <v/>
      </c>
      <c r="C120" s="77" t="n"/>
      <c r="D120" s="77" t="n"/>
      <c r="E120" s="82" t="n"/>
      <c r="F120" s="77" t="n"/>
      <c r="G120" s="64">
        <f>IF($F120="","",IFERROR(INDEX('WORK PACKAGES'!$A$2:$A$100,MATCH($F120,'WORK PACKAGES'!$D$2:$D$100,0)),""))</f>
        <v/>
      </c>
      <c r="H120" s="64">
        <f>IF($F120="","",INDEX('WORK PACKAGES'!$E$2:$E$100,MATCH($F120,'WORK PACKAGES'!$D$2:$D$100,0)))</f>
        <v/>
      </c>
      <c r="I120" s="78" t="n"/>
      <c r="J120" s="78" t="n"/>
      <c r="K120" s="78" t="n"/>
      <c r="L120" s="82" t="n"/>
      <c r="M120" s="78" t="n"/>
      <c r="N120" s="79" t="n"/>
      <c r="O120" s="78" t="n"/>
      <c r="P120" s="79" t="n"/>
      <c r="R120" s="63">
        <f>IF(Q120="","",IF(Q120="Open",TODAY()-N120,"--"))</f>
        <v/>
      </c>
      <c r="S120" s="63">
        <f>IF(Q120="","",IF(Q120="Closed",P120-N120,"--"))</f>
        <v/>
      </c>
      <c r="W120" s="50" t="n"/>
    </row>
    <row r="121" ht="15" customHeight="1" s="130">
      <c r="B121" s="64">
        <f>IF(C121="","",B120+1)</f>
        <v/>
      </c>
      <c r="C121" s="77" t="n"/>
      <c r="D121" s="77" t="n"/>
      <c r="E121" s="82" t="n"/>
      <c r="F121" s="77" t="n"/>
      <c r="G121" s="64">
        <f>IF($F121="","",IFERROR(INDEX('WORK PACKAGES'!$A$2:$A$100,MATCH($F121,'WORK PACKAGES'!$D$2:$D$100,0)),""))</f>
        <v/>
      </c>
      <c r="H121" s="64">
        <f>IF($F121="","",INDEX('WORK PACKAGES'!$E$2:$E$100,MATCH($F121,'WORK PACKAGES'!$D$2:$D$100,0)))</f>
        <v/>
      </c>
      <c r="I121" s="78" t="n"/>
      <c r="J121" s="78" t="n"/>
      <c r="K121" s="78" t="n"/>
      <c r="L121" s="82" t="n"/>
      <c r="M121" s="78" t="n"/>
      <c r="N121" s="79" t="n"/>
      <c r="O121" s="78" t="n"/>
      <c r="P121" s="79" t="n"/>
      <c r="R121" s="63">
        <f>IF(Q121="","",IF(Q121="Open",TODAY()-N121,"--"))</f>
        <v/>
      </c>
      <c r="S121" s="63">
        <f>IF(Q121="","",IF(Q121="Closed",P121-N121,"--"))</f>
        <v/>
      </c>
      <c r="W121" s="50" t="n"/>
    </row>
    <row r="122" ht="15" customHeight="1" s="130">
      <c r="B122" s="64">
        <f>IF(C122="","",B121+1)</f>
        <v/>
      </c>
      <c r="C122" s="77" t="n"/>
      <c r="D122" s="77" t="n"/>
      <c r="E122" s="82" t="n"/>
      <c r="F122" s="77" t="n"/>
      <c r="G122" s="64">
        <f>IF($F122="","",IFERROR(INDEX('WORK PACKAGES'!$A$2:$A$100,MATCH($F122,'WORK PACKAGES'!$D$2:$D$100,0)),""))</f>
        <v/>
      </c>
      <c r="H122" s="64">
        <f>IF($F122="","",INDEX('WORK PACKAGES'!$E$2:$E$100,MATCH($F122,'WORK PACKAGES'!$D$2:$D$100,0)))</f>
        <v/>
      </c>
      <c r="I122" s="78" t="n"/>
      <c r="J122" s="78" t="n"/>
      <c r="K122" s="78" t="n"/>
      <c r="L122" s="82" t="n"/>
      <c r="M122" s="78" t="n"/>
      <c r="N122" s="79" t="n"/>
      <c r="O122" s="78" t="n"/>
      <c r="P122" s="79" t="n"/>
      <c r="R122" s="63">
        <f>IF(Q122="","",IF(Q122="Open",TODAY()-N122,"--"))</f>
        <v/>
      </c>
      <c r="S122" s="63">
        <f>IF(Q122="","",IF(Q122="Closed",P122-N122,"--"))</f>
        <v/>
      </c>
      <c r="W122" s="50" t="n"/>
    </row>
    <row r="123" ht="15" customHeight="1" s="130">
      <c r="B123" s="64">
        <f>IF(C123="","",B122+1)</f>
        <v/>
      </c>
      <c r="C123" s="77" t="n"/>
      <c r="D123" s="77" t="n"/>
      <c r="E123" s="82" t="n"/>
      <c r="F123" s="77" t="n"/>
      <c r="G123" s="64">
        <f>IF($F123="","",IFERROR(INDEX('WORK PACKAGES'!$A$2:$A$100,MATCH($F123,'WORK PACKAGES'!$D$2:$D$100,0)),""))</f>
        <v/>
      </c>
      <c r="H123" s="64">
        <f>IF($F123="","",INDEX('WORK PACKAGES'!$E$2:$E$100,MATCH($F123,'WORK PACKAGES'!$D$2:$D$100,0)))</f>
        <v/>
      </c>
      <c r="I123" s="78" t="n"/>
      <c r="J123" s="78" t="n"/>
      <c r="K123" s="78" t="n"/>
      <c r="L123" s="82" t="n"/>
      <c r="M123" s="78" t="n"/>
      <c r="N123" s="79" t="n"/>
      <c r="O123" s="78" t="n"/>
      <c r="P123" s="79" t="n"/>
      <c r="R123" s="63">
        <f>IF(Q123="","",IF(Q123="Open",TODAY()-N123,"--"))</f>
        <v/>
      </c>
      <c r="S123" s="63">
        <f>IF(Q123="","",IF(Q123="Closed",P123-N123,"--"))</f>
        <v/>
      </c>
      <c r="W123" s="50" t="n"/>
    </row>
    <row r="124" ht="15" customHeight="1" s="130">
      <c r="B124" s="64">
        <f>IF(C124="","",B123+1)</f>
        <v/>
      </c>
      <c r="C124" s="77" t="n"/>
      <c r="D124" s="77" t="n"/>
      <c r="E124" s="82" t="n"/>
      <c r="F124" s="77" t="n"/>
      <c r="G124" s="64">
        <f>IF($F124="","",IFERROR(INDEX('WORK PACKAGES'!$A$2:$A$100,MATCH($F124,'WORK PACKAGES'!$D$2:$D$100,0)),""))</f>
        <v/>
      </c>
      <c r="H124" s="64">
        <f>IF($F124="","",INDEX('WORK PACKAGES'!$E$2:$E$100,MATCH($F124,'WORK PACKAGES'!$D$2:$D$100,0)))</f>
        <v/>
      </c>
      <c r="I124" s="78" t="n"/>
      <c r="J124" s="78" t="n"/>
      <c r="K124" s="78" t="n"/>
      <c r="L124" s="82" t="n"/>
      <c r="M124" s="78" t="n"/>
      <c r="N124" s="79" t="n"/>
      <c r="O124" s="78" t="n"/>
      <c r="P124" s="79" t="n"/>
      <c r="R124" s="63">
        <f>IF(Q124="","",IF(Q124="Open",TODAY()-N124,"--"))</f>
        <v/>
      </c>
      <c r="S124" s="63">
        <f>IF(Q124="","",IF(Q124="Closed",P124-N124,"--"))</f>
        <v/>
      </c>
      <c r="W124" s="50" t="n"/>
    </row>
    <row r="125" ht="15" customHeight="1" s="130">
      <c r="B125" s="64">
        <f>IF(C125="","",B124+1)</f>
        <v/>
      </c>
      <c r="C125" s="77" t="n"/>
      <c r="D125" s="77" t="n"/>
      <c r="E125" s="82" t="n"/>
      <c r="F125" s="77" t="n"/>
      <c r="G125" s="64">
        <f>IF($F125="","",IFERROR(INDEX('WORK PACKAGES'!$A$2:$A$100,MATCH($F125,'WORK PACKAGES'!$D$2:$D$100,0)),""))</f>
        <v/>
      </c>
      <c r="H125" s="64">
        <f>IF($F125="","",INDEX('WORK PACKAGES'!$E$2:$E$100,MATCH($F125,'WORK PACKAGES'!$D$2:$D$100,0)))</f>
        <v/>
      </c>
      <c r="I125" s="78" t="n"/>
      <c r="J125" s="78" t="n"/>
      <c r="K125" s="78" t="n"/>
      <c r="L125" s="82" t="n"/>
      <c r="M125" s="78" t="n"/>
      <c r="N125" s="79" t="n"/>
      <c r="O125" s="78" t="n"/>
      <c r="P125" s="79" t="n"/>
      <c r="R125" s="63">
        <f>IF(Q125="","",IF(Q125="Open",TODAY()-N125,"--"))</f>
        <v/>
      </c>
      <c r="S125" s="63">
        <f>IF(Q125="","",IF(Q125="Closed",P125-N125,"--"))</f>
        <v/>
      </c>
      <c r="W125" s="50" t="n"/>
    </row>
    <row r="126" ht="15" customHeight="1" s="130">
      <c r="B126" s="64">
        <f>IF(C126="","",B125+1)</f>
        <v/>
      </c>
      <c r="C126" s="77" t="n"/>
      <c r="D126" s="77" t="n"/>
      <c r="E126" s="82" t="n"/>
      <c r="F126" s="77" t="n"/>
      <c r="G126" s="64">
        <f>IF($F126="","",IFERROR(INDEX('WORK PACKAGES'!$A$2:$A$100,MATCH($F126,'WORK PACKAGES'!$D$2:$D$100,0)),""))</f>
        <v/>
      </c>
      <c r="H126" s="64">
        <f>IF($F126="","",INDEX('WORK PACKAGES'!$E$2:$E$100,MATCH($F126,'WORK PACKAGES'!$D$2:$D$100,0)))</f>
        <v/>
      </c>
      <c r="I126" s="78" t="n"/>
      <c r="J126" s="78" t="n"/>
      <c r="K126" s="78" t="n"/>
      <c r="L126" s="82" t="n"/>
      <c r="M126" s="78" t="n"/>
      <c r="N126" s="79" t="n"/>
      <c r="O126" s="78" t="n"/>
      <c r="P126" s="79" t="n"/>
      <c r="R126" s="63">
        <f>IF(Q126="","",IF(Q126="Open",TODAY()-N126,"--"))</f>
        <v/>
      </c>
      <c r="S126" s="63">
        <f>IF(Q126="","",IF(Q126="Closed",P126-N126,"--"))</f>
        <v/>
      </c>
      <c r="W126" s="50" t="n"/>
    </row>
    <row r="127" ht="15" customHeight="1" s="130">
      <c r="B127" s="64">
        <f>IF(C127="","",B126+1)</f>
        <v/>
      </c>
      <c r="C127" s="77" t="n"/>
      <c r="D127" s="77" t="n"/>
      <c r="E127" s="82" t="n"/>
      <c r="F127" s="77" t="n"/>
      <c r="G127" s="64">
        <f>IF($F127="","",IFERROR(INDEX('WORK PACKAGES'!$A$2:$A$100,MATCH($F127,'WORK PACKAGES'!$D$2:$D$100,0)),""))</f>
        <v/>
      </c>
      <c r="H127" s="64">
        <f>IF($F127="","",INDEX('WORK PACKAGES'!$E$2:$E$100,MATCH($F127,'WORK PACKAGES'!$D$2:$D$100,0)))</f>
        <v/>
      </c>
      <c r="I127" s="78" t="n"/>
      <c r="J127" s="78" t="n"/>
      <c r="K127" s="78" t="n"/>
      <c r="L127" s="82" t="n"/>
      <c r="M127" s="78" t="n"/>
      <c r="N127" s="79" t="n"/>
      <c r="O127" s="78" t="n"/>
      <c r="P127" s="79" t="n"/>
      <c r="R127" s="63">
        <f>IF(Q127="","",IF(Q127="Open",TODAY()-N127,"--"))</f>
        <v/>
      </c>
      <c r="S127" s="63">
        <f>IF(Q127="","",IF(Q127="Closed",P127-N127,"--"))</f>
        <v/>
      </c>
      <c r="W127" s="50" t="n"/>
    </row>
    <row r="128" ht="15" customHeight="1" s="130">
      <c r="B128" s="64">
        <f>IF(C128="","",B127+1)</f>
        <v/>
      </c>
      <c r="C128" s="77" t="n"/>
      <c r="D128" s="77" t="n"/>
      <c r="E128" s="82" t="n"/>
      <c r="F128" s="77" t="n"/>
      <c r="G128" s="64">
        <f>IF($F128="","",IFERROR(INDEX('WORK PACKAGES'!$A$2:$A$100,MATCH($F128,'WORK PACKAGES'!$D$2:$D$100,0)),""))</f>
        <v/>
      </c>
      <c r="H128" s="64">
        <f>IF($F128="","",INDEX('WORK PACKAGES'!$E$2:$E$100,MATCH($F128,'WORK PACKAGES'!$D$2:$D$100,0)))</f>
        <v/>
      </c>
      <c r="I128" s="78" t="n"/>
      <c r="J128" s="78" t="n"/>
      <c r="K128" s="78" t="n"/>
      <c r="L128" s="82" t="n"/>
      <c r="M128" s="78" t="n"/>
      <c r="N128" s="79" t="n"/>
      <c r="O128" s="78" t="n"/>
      <c r="P128" s="79" t="n"/>
      <c r="R128" s="63">
        <f>IF(Q128="","",IF(Q128="Open",TODAY()-N128,"--"))</f>
        <v/>
      </c>
      <c r="S128" s="63">
        <f>IF(Q128="","",IF(Q128="Closed",P128-N128,"--"))</f>
        <v/>
      </c>
      <c r="W128" s="50" t="n"/>
    </row>
    <row r="129" ht="15" customHeight="1" s="130">
      <c r="B129" s="64">
        <f>IF(C129="","",B128+1)</f>
        <v/>
      </c>
      <c r="C129" s="77" t="n"/>
      <c r="D129" s="77" t="n"/>
      <c r="E129" s="82" t="n"/>
      <c r="F129" s="77" t="n"/>
      <c r="G129" s="64">
        <f>IF($F129="","",IFERROR(INDEX('WORK PACKAGES'!$A$2:$A$100,MATCH($F129,'WORK PACKAGES'!$D$2:$D$100,0)),""))</f>
        <v/>
      </c>
      <c r="H129" s="64">
        <f>IF($F129="","",INDEX('WORK PACKAGES'!$E$2:$E$100,MATCH($F129,'WORK PACKAGES'!$D$2:$D$100,0)))</f>
        <v/>
      </c>
      <c r="I129" s="78" t="n"/>
      <c r="J129" s="67" t="n"/>
      <c r="K129" s="78" t="n"/>
      <c r="L129" s="82" t="n"/>
      <c r="M129" s="78" t="n"/>
      <c r="N129" s="79" t="n"/>
      <c r="O129" s="78" t="n"/>
      <c r="P129" s="79" t="n"/>
      <c r="R129" s="63">
        <f>IF(Q129="","",IF(Q129="Open",TODAY()-N129,"--"))</f>
        <v/>
      </c>
      <c r="S129" s="63">
        <f>IF(Q129="","",IF(Q129="Closed",P129-N129,"--"))</f>
        <v/>
      </c>
      <c r="W129" s="50" t="n"/>
    </row>
    <row r="130" ht="15" customHeight="1" s="130">
      <c r="B130" s="64">
        <f>IF(C130="","",B129+1)</f>
        <v/>
      </c>
      <c r="C130" s="77" t="n"/>
      <c r="D130" s="77" t="n"/>
      <c r="E130" s="82" t="n"/>
      <c r="F130" s="77" t="n"/>
      <c r="G130" s="64">
        <f>IF($F130="","",IFERROR(INDEX('WORK PACKAGES'!$A$2:$A$100,MATCH($F130,'WORK PACKAGES'!$D$2:$D$100,0)),""))</f>
        <v/>
      </c>
      <c r="H130" s="64">
        <f>IF($F130="","",INDEX('WORK PACKAGES'!$E$2:$E$100,MATCH($F130,'WORK PACKAGES'!$D$2:$D$100,0)))</f>
        <v/>
      </c>
      <c r="I130" s="78" t="n"/>
      <c r="J130" s="67" t="n"/>
      <c r="K130" s="78" t="n"/>
      <c r="L130" s="82" t="n"/>
      <c r="M130" s="78" t="n"/>
      <c r="N130" s="79" t="n"/>
      <c r="O130" s="78" t="n"/>
      <c r="P130" s="79" t="n"/>
      <c r="R130" s="63">
        <f>IF(Q130="","",IF(Q130="Open",TODAY()-N130,"--"))</f>
        <v/>
      </c>
      <c r="S130" s="63">
        <f>IF(Q130="","",IF(Q130="Closed",P130-N130,"--"))</f>
        <v/>
      </c>
      <c r="W130" s="50" t="n"/>
    </row>
    <row r="131" ht="15" customHeight="1" s="130">
      <c r="B131" s="64">
        <f>IF(C131="","",B130+1)</f>
        <v/>
      </c>
      <c r="C131" s="77" t="n"/>
      <c r="D131" s="77" t="n"/>
      <c r="E131" s="82" t="n"/>
      <c r="F131" s="77" t="n"/>
      <c r="G131" s="64">
        <f>IF($F131="","",IFERROR(INDEX('WORK PACKAGES'!$A$2:$A$100,MATCH($F131,'WORK PACKAGES'!$D$2:$D$100,0)),""))</f>
        <v/>
      </c>
      <c r="H131" s="64">
        <f>IF($F131="","",INDEX('WORK PACKAGES'!$E$2:$E$100,MATCH($F131,'WORK PACKAGES'!$D$2:$D$100,0)))</f>
        <v/>
      </c>
      <c r="I131" s="78" t="n"/>
      <c r="J131" s="67" t="n"/>
      <c r="K131" s="78" t="n"/>
      <c r="L131" s="82" t="n"/>
      <c r="M131" s="78" t="n"/>
      <c r="N131" s="79" t="n"/>
      <c r="O131" s="78" t="n"/>
      <c r="P131" s="79" t="n"/>
      <c r="R131" s="63">
        <f>IF(Q131="","",IF(Q131="Open",TODAY()-N131,"--"))</f>
        <v/>
      </c>
      <c r="S131" s="63">
        <f>IF(Q131="","",IF(Q131="Closed",P131-N131,"--"))</f>
        <v/>
      </c>
      <c r="W131" s="50" t="n"/>
    </row>
    <row r="132" ht="15" customHeight="1" s="130">
      <c r="B132" s="64">
        <f>IF(C132="","",B131+1)</f>
        <v/>
      </c>
      <c r="C132" s="77" t="n"/>
      <c r="D132" s="77" t="n"/>
      <c r="E132" s="82" t="n"/>
      <c r="F132" s="77" t="n"/>
      <c r="G132" s="64">
        <f>IF($F132="","",IFERROR(INDEX('WORK PACKAGES'!$A$2:$A$100,MATCH($F132,'WORK PACKAGES'!$D$2:$D$100,0)),""))</f>
        <v/>
      </c>
      <c r="H132" s="64">
        <f>IF($F132="","",INDEX('WORK PACKAGES'!$E$2:$E$100,MATCH($F132,'WORK PACKAGES'!$D$2:$D$100,0)))</f>
        <v/>
      </c>
      <c r="I132" s="78" t="n"/>
      <c r="J132" s="67" t="n"/>
      <c r="K132" s="78" t="n"/>
      <c r="L132" s="82" t="n"/>
      <c r="M132" s="78" t="n"/>
      <c r="N132" s="79" t="n"/>
      <c r="O132" s="78" t="n"/>
      <c r="P132" s="79" t="n"/>
      <c r="R132" s="63">
        <f>IF(Q132="","",IF(Q132="Open",TODAY()-N132,"--"))</f>
        <v/>
      </c>
      <c r="S132" s="63">
        <f>IF(Q132="","",IF(Q132="Closed",P132-N132,"--"))</f>
        <v/>
      </c>
      <c r="W132" s="50" t="n"/>
    </row>
    <row r="133" ht="15" customHeight="1" s="130">
      <c r="B133" s="64">
        <f>IF(C133="","",B132+1)</f>
        <v/>
      </c>
      <c r="C133" s="77" t="n"/>
      <c r="D133" s="77" t="n"/>
      <c r="E133" s="82" t="n"/>
      <c r="F133" s="77" t="n"/>
      <c r="G133" s="64">
        <f>IF($F133="","",IFERROR(INDEX('WORK PACKAGES'!$A$2:$A$100,MATCH($F133,'WORK PACKAGES'!$D$2:$D$100,0)),""))</f>
        <v/>
      </c>
      <c r="H133" s="64">
        <f>IF($F133="","",INDEX('WORK PACKAGES'!$E$2:$E$100,MATCH($F133,'WORK PACKAGES'!$D$2:$D$100,0)))</f>
        <v/>
      </c>
      <c r="I133" s="78" t="n"/>
      <c r="J133" s="67" t="n"/>
      <c r="K133" s="78" t="n"/>
      <c r="L133" s="82" t="n"/>
      <c r="M133" s="78" t="n"/>
      <c r="N133" s="79" t="n"/>
      <c r="O133" s="78" t="n"/>
      <c r="P133" s="79" t="n"/>
      <c r="R133" s="63">
        <f>IF(Q133="","",IF(Q133="Open",TODAY()-N133,"--"))</f>
        <v/>
      </c>
      <c r="S133" s="63">
        <f>IF(Q133="","",IF(Q133="Closed",P133-N133,"--"))</f>
        <v/>
      </c>
      <c r="W133" s="50" t="n"/>
    </row>
    <row r="134" ht="15" customHeight="1" s="130">
      <c r="B134" s="64">
        <f>IF(C134="","",B133+1)</f>
        <v/>
      </c>
      <c r="C134" s="77" t="n"/>
      <c r="D134" s="77" t="n"/>
      <c r="E134" s="82" t="n"/>
      <c r="F134" s="77" t="n"/>
      <c r="G134" s="64">
        <f>IF($F134="","",IFERROR(INDEX('WORK PACKAGES'!$A$2:$A$100,MATCH($F134,'WORK PACKAGES'!$D$2:$D$100,0)),""))</f>
        <v/>
      </c>
      <c r="H134" s="64">
        <f>IF($F134="","",INDEX('WORK PACKAGES'!$E$2:$E$100,MATCH($F134,'WORK PACKAGES'!$D$2:$D$100,0)))</f>
        <v/>
      </c>
      <c r="I134" s="78" t="n"/>
      <c r="J134" s="67" t="n"/>
      <c r="K134" s="78" t="n"/>
      <c r="L134" s="82" t="n"/>
      <c r="M134" s="78" t="n"/>
      <c r="N134" s="79" t="n"/>
      <c r="O134" s="78" t="n"/>
      <c r="P134" s="79" t="n"/>
      <c r="R134" s="63">
        <f>IF(Q134="","",IF(Q134="Open",TODAY()-N134,"--"))</f>
        <v/>
      </c>
      <c r="S134" s="63">
        <f>IF(Q134="","",IF(Q134="Closed",P134-N134,"--"))</f>
        <v/>
      </c>
      <c r="W134" s="50" t="n"/>
    </row>
    <row r="135" ht="15" customHeight="1" s="130">
      <c r="B135" s="64">
        <f>IF(C135="","",B134+1)</f>
        <v/>
      </c>
      <c r="C135" s="77" t="n"/>
      <c r="D135" s="77" t="n"/>
      <c r="E135" s="82" t="n"/>
      <c r="F135" s="77" t="n"/>
      <c r="G135" s="64">
        <f>IF($F135="","",IFERROR(INDEX('WORK PACKAGES'!$A$2:$A$100,MATCH($F135,'WORK PACKAGES'!$D$2:$D$100,0)),""))</f>
        <v/>
      </c>
      <c r="H135" s="64">
        <f>IF($F135="","",INDEX('WORK PACKAGES'!$E$2:$E$100,MATCH($F135,'WORK PACKAGES'!$D$2:$D$100,0)))</f>
        <v/>
      </c>
      <c r="I135" s="78" t="n"/>
      <c r="J135" s="67" t="n"/>
      <c r="K135" s="78" t="n"/>
      <c r="L135" s="82" t="n"/>
      <c r="M135" s="78" t="n"/>
      <c r="N135" s="79" t="n"/>
      <c r="O135" s="78" t="n"/>
      <c r="P135" s="79" t="n"/>
      <c r="R135" s="63">
        <f>IF(Q135="","",IF(Q135="Open",TODAY()-N135,"--"))</f>
        <v/>
      </c>
      <c r="S135" s="63">
        <f>IF(Q135="","",IF(Q135="Closed",P135-N135,"--"))</f>
        <v/>
      </c>
      <c r="W135" s="50" t="n"/>
    </row>
    <row r="136" ht="15" customHeight="1" s="130">
      <c r="B136" s="64">
        <f>IF(C136="","",B135+1)</f>
        <v/>
      </c>
      <c r="C136" s="77" t="n"/>
      <c r="D136" s="77" t="n"/>
      <c r="E136" s="82" t="n"/>
      <c r="F136" s="77" t="n"/>
      <c r="G136" s="64">
        <f>IF($F136="","",IFERROR(INDEX('WORK PACKAGES'!$A$2:$A$100,MATCH($F136,'WORK PACKAGES'!$D$2:$D$100,0)),""))</f>
        <v/>
      </c>
      <c r="H136" s="64">
        <f>IF($F136="","",INDEX('WORK PACKAGES'!$E$2:$E$100,MATCH($F136,'WORK PACKAGES'!$D$2:$D$100,0)))</f>
        <v/>
      </c>
      <c r="I136" s="78" t="n"/>
      <c r="J136" s="78" t="n"/>
      <c r="K136" s="78" t="n"/>
      <c r="L136" s="82" t="n"/>
      <c r="M136" s="78" t="n"/>
      <c r="N136" s="79" t="n"/>
      <c r="O136" s="78" t="n"/>
      <c r="P136" s="79" t="n"/>
      <c r="R136" s="63">
        <f>IF(Q136="","",IF(Q136="Open",TODAY()-N136,"--"))</f>
        <v/>
      </c>
      <c r="S136" s="63">
        <f>IF(Q136="","",IF(Q136="Closed",P136-N136,"--"))</f>
        <v/>
      </c>
      <c r="W136" s="50" t="n"/>
    </row>
    <row r="137" ht="15" customHeight="1" s="130">
      <c r="B137" s="64">
        <f>IF(C137="","",B136+1)</f>
        <v/>
      </c>
      <c r="C137" s="77" t="n"/>
      <c r="D137" s="77" t="n"/>
      <c r="E137" s="82" t="n"/>
      <c r="F137" s="77" t="n"/>
      <c r="G137" s="64">
        <f>IF($F137="","",IFERROR(INDEX('WORK PACKAGES'!$A$2:$A$100,MATCH($F137,'WORK PACKAGES'!$D$2:$D$100,0)),""))</f>
        <v/>
      </c>
      <c r="H137" s="64">
        <f>IF($F137="","",INDEX('WORK PACKAGES'!$E$2:$E$100,MATCH($F137,'WORK PACKAGES'!$D$2:$D$100,0)))</f>
        <v/>
      </c>
      <c r="I137" s="78" t="n"/>
      <c r="J137" s="78" t="n"/>
      <c r="K137" s="78" t="n"/>
      <c r="L137" s="82" t="n"/>
      <c r="M137" s="78" t="n"/>
      <c r="N137" s="79" t="n"/>
      <c r="O137" s="78" t="n"/>
      <c r="P137" s="79" t="n"/>
      <c r="R137" s="63">
        <f>IF(Q137="","",IF(Q137="Open",TODAY()-N137,"--"))</f>
        <v/>
      </c>
      <c r="S137" s="63">
        <f>IF(Q137="","",IF(Q137="Closed",P137-N137,"--"))</f>
        <v/>
      </c>
      <c r="W137" s="50" t="n"/>
    </row>
    <row r="138" ht="15" customHeight="1" s="130">
      <c r="B138" s="64">
        <f>IF(C138="","",B137+1)</f>
        <v/>
      </c>
      <c r="C138" s="77" t="n"/>
      <c r="D138" s="77" t="n"/>
      <c r="E138" s="82" t="n"/>
      <c r="F138" s="77" t="n"/>
      <c r="G138" s="64">
        <f>IF($F138="","",IFERROR(INDEX('WORK PACKAGES'!$A$2:$A$100,MATCH($F138,'WORK PACKAGES'!$D$2:$D$100,0)),""))</f>
        <v/>
      </c>
      <c r="H138" s="64">
        <f>IF($F138="","",INDEX('WORK PACKAGES'!$E$2:$E$100,MATCH($F138,'WORK PACKAGES'!$D$2:$D$100,0)))</f>
        <v/>
      </c>
      <c r="I138" s="78" t="n"/>
      <c r="J138" s="78" t="n"/>
      <c r="K138" s="78" t="n"/>
      <c r="L138" s="82" t="n"/>
      <c r="M138" s="78" t="n"/>
      <c r="N138" s="79" t="n"/>
      <c r="O138" s="78" t="n"/>
      <c r="P138" s="79" t="n"/>
      <c r="R138" s="63">
        <f>IF(Q138="","",IF(Q138="Open",TODAY()-N138,"--"))</f>
        <v/>
      </c>
      <c r="S138" s="63">
        <f>IF(Q138="","",IF(Q138="Closed",P138-N138,"--"))</f>
        <v/>
      </c>
      <c r="W138" s="50" t="n"/>
    </row>
    <row r="139" ht="15" customHeight="1" s="130">
      <c r="B139" s="64">
        <f>IF(C139="","",B138+1)</f>
        <v/>
      </c>
      <c r="C139" s="77" t="n"/>
      <c r="D139" s="77" t="n"/>
      <c r="E139" s="82" t="n"/>
      <c r="F139" s="77" t="n"/>
      <c r="G139" s="64">
        <f>IF($F139="","",IFERROR(INDEX('WORK PACKAGES'!$A$2:$A$100,MATCH($F139,'WORK PACKAGES'!$D$2:$D$100,0)),""))</f>
        <v/>
      </c>
      <c r="H139" s="64">
        <f>IF($F139="","",INDEX('WORK PACKAGES'!$E$2:$E$100,MATCH($F139,'WORK PACKAGES'!$D$2:$D$100,0)))</f>
        <v/>
      </c>
      <c r="I139" s="78" t="n"/>
      <c r="J139" s="78" t="n"/>
      <c r="K139" s="78" t="n"/>
      <c r="L139" s="82" t="n"/>
      <c r="M139" s="78" t="n"/>
      <c r="N139" s="79" t="n"/>
      <c r="O139" s="78" t="n"/>
      <c r="P139" s="79" t="n"/>
      <c r="R139" s="63">
        <f>IF(Q139="","",IF(Q139="Open",TODAY()-N139,"--"))</f>
        <v/>
      </c>
      <c r="S139" s="63">
        <f>IF(Q139="","",IF(Q139="Closed",P139-N139,"--"))</f>
        <v/>
      </c>
      <c r="W139" s="50" t="n"/>
    </row>
    <row r="140" ht="15" customHeight="1" s="130">
      <c r="B140" s="64">
        <f>IF(C140="","",B139+1)</f>
        <v/>
      </c>
      <c r="C140" s="77" t="n"/>
      <c r="D140" s="77" t="n"/>
      <c r="E140" s="82" t="n"/>
      <c r="F140" s="77" t="n"/>
      <c r="G140" s="64">
        <f>IF($F140="","",IFERROR(INDEX('WORK PACKAGES'!$A$2:$A$100,MATCH($F140,'WORK PACKAGES'!$D$2:$D$100,0)),""))</f>
        <v/>
      </c>
      <c r="H140" s="64">
        <f>IF($F140="","",INDEX('WORK PACKAGES'!$E$2:$E$100,MATCH($F140,'WORK PACKAGES'!$D$2:$D$100,0)))</f>
        <v/>
      </c>
      <c r="I140" s="78" t="n"/>
      <c r="J140" s="78" t="n"/>
      <c r="K140" s="78" t="n"/>
      <c r="L140" s="82" t="n"/>
      <c r="M140" s="78" t="n"/>
      <c r="N140" s="79" t="n"/>
      <c r="O140" s="78" t="n"/>
      <c r="P140" s="79" t="n"/>
      <c r="R140" s="63">
        <f>IF(Q140="","",IF(Q140="Open",TODAY()-N140,"--"))</f>
        <v/>
      </c>
      <c r="S140" s="63">
        <f>IF(Q140="","",IF(Q140="Closed",P140-N140,"--"))</f>
        <v/>
      </c>
      <c r="W140" s="50" t="n"/>
    </row>
    <row r="141" ht="15" customHeight="1" s="130">
      <c r="B141" s="64">
        <f>IF(C141="","",B140+1)</f>
        <v/>
      </c>
      <c r="C141" s="77" t="n"/>
      <c r="D141" s="77" t="n"/>
      <c r="E141" s="82" t="n"/>
      <c r="F141" s="77" t="n"/>
      <c r="G141" s="64">
        <f>IF($F141="","",IFERROR(INDEX('WORK PACKAGES'!$A$2:$A$100,MATCH($F141,'WORK PACKAGES'!$D$2:$D$100,0)),""))</f>
        <v/>
      </c>
      <c r="H141" s="64">
        <f>IF($F141="","",INDEX('WORK PACKAGES'!$E$2:$E$100,MATCH($F141,'WORK PACKAGES'!$D$2:$D$100,0)))</f>
        <v/>
      </c>
      <c r="I141" s="78" t="n"/>
      <c r="J141" s="78" t="n"/>
      <c r="K141" s="78" t="n"/>
      <c r="L141" s="82" t="n"/>
      <c r="M141" s="78" t="n"/>
      <c r="N141" s="79" t="n"/>
      <c r="O141" s="78" t="n"/>
      <c r="P141" s="79" t="n"/>
      <c r="R141" s="63">
        <f>IF(Q141="","",IF(Q141="Open",TODAY()-N141,"--"))</f>
        <v/>
      </c>
      <c r="S141" s="63">
        <f>IF(Q141="","",IF(Q141="Closed",P141-N141,"--"))</f>
        <v/>
      </c>
      <c r="W141" s="50" t="n"/>
    </row>
    <row r="142" ht="15" customHeight="1" s="130">
      <c r="B142" s="64">
        <f>IF(C142="","",B141+1)</f>
        <v/>
      </c>
      <c r="C142" s="77" t="n"/>
      <c r="D142" s="77" t="n"/>
      <c r="E142" s="82" t="n"/>
      <c r="F142" s="77" t="n"/>
      <c r="G142" s="64">
        <f>IF($F142="","",IFERROR(INDEX('WORK PACKAGES'!$A$2:$A$100,MATCH($F142,'WORK PACKAGES'!$D$2:$D$100,0)),""))</f>
        <v/>
      </c>
      <c r="H142" s="64">
        <f>IF($F142="","",INDEX('WORK PACKAGES'!$E$2:$E$100,MATCH($F142,'WORK PACKAGES'!$D$2:$D$100,0)))</f>
        <v/>
      </c>
      <c r="I142" s="78" t="n"/>
      <c r="J142" s="78" t="n"/>
      <c r="K142" s="78" t="n"/>
      <c r="L142" s="82" t="n"/>
      <c r="M142" s="78" t="n"/>
      <c r="N142" s="79" t="n"/>
      <c r="O142" s="78" t="n"/>
      <c r="P142" s="79" t="n"/>
      <c r="R142" s="63">
        <f>IF(Q142="","",IF(Q142="Open",TODAY()-N142,"--"))</f>
        <v/>
      </c>
      <c r="S142" s="63">
        <f>IF(Q142="","",IF(Q142="Closed",P142-N142,"--"))</f>
        <v/>
      </c>
      <c r="W142" s="50" t="n"/>
    </row>
    <row r="143" ht="15" customHeight="1" s="130">
      <c r="B143" s="64">
        <f>IF(C143="","",B142+1)</f>
        <v/>
      </c>
      <c r="C143" s="77" t="n"/>
      <c r="D143" s="77" t="n"/>
      <c r="E143" s="82" t="n"/>
      <c r="F143" s="77" t="n"/>
      <c r="G143" s="64">
        <f>IF($F143="","",IFERROR(INDEX('WORK PACKAGES'!$A$2:$A$100,MATCH($F143,'WORK PACKAGES'!$D$2:$D$100,0)),""))</f>
        <v/>
      </c>
      <c r="H143" s="64">
        <f>IF($F143="","",INDEX('WORK PACKAGES'!$E$2:$E$100,MATCH($F143,'WORK PACKAGES'!$D$2:$D$100,0)))</f>
        <v/>
      </c>
      <c r="I143" s="78" t="n"/>
      <c r="J143" s="78" t="n"/>
      <c r="K143" s="78" t="n"/>
      <c r="L143" s="82" t="n"/>
      <c r="M143" s="78" t="n"/>
      <c r="N143" s="79" t="n"/>
      <c r="O143" s="78" t="n"/>
      <c r="P143" s="79" t="n"/>
      <c r="R143" s="63">
        <f>IF(Q143="","",IF(Q143="Open",TODAY()-N143,"--"))</f>
        <v/>
      </c>
      <c r="S143" s="63">
        <f>IF(Q143="","",IF(Q143="Closed",P143-N143,"--"))</f>
        <v/>
      </c>
      <c r="W143" s="50" t="n"/>
    </row>
    <row r="144" ht="15" customHeight="1" s="130">
      <c r="B144" s="64">
        <f>IF(C144="","",B143+1)</f>
        <v/>
      </c>
      <c r="C144" s="77" t="n"/>
      <c r="D144" s="77" t="n"/>
      <c r="E144" s="82" t="n"/>
      <c r="F144" s="77" t="n"/>
      <c r="G144" s="64">
        <f>IF($F144="","",IFERROR(INDEX('WORK PACKAGES'!$A$2:$A$100,MATCH($F144,'WORK PACKAGES'!$D$2:$D$100,0)),""))</f>
        <v/>
      </c>
      <c r="H144" s="64">
        <f>IF($F144="","",INDEX('WORK PACKAGES'!$E$2:$E$100,MATCH($F144,'WORK PACKAGES'!$D$2:$D$100,0)))</f>
        <v/>
      </c>
      <c r="I144" s="78" t="n"/>
      <c r="J144" s="78" t="n"/>
      <c r="K144" s="78" t="n"/>
      <c r="L144" s="82" t="n"/>
      <c r="M144" s="78" t="n"/>
      <c r="N144" s="79" t="n"/>
      <c r="O144" s="78" t="n"/>
      <c r="P144" s="79" t="n"/>
      <c r="R144" s="63">
        <f>IF(Q144="","",IF(Q144="Open",TODAY()-N144,"--"))</f>
        <v/>
      </c>
      <c r="S144" s="63">
        <f>IF(Q144="","",IF(Q144="Closed",P144-N144,"--"))</f>
        <v/>
      </c>
      <c r="W144" s="50" t="n"/>
    </row>
    <row r="145" ht="15" customHeight="1" s="130">
      <c r="B145" s="64">
        <f>IF(C145="","",B144+1)</f>
        <v/>
      </c>
      <c r="C145" s="77" t="n"/>
      <c r="D145" s="77" t="n"/>
      <c r="E145" s="82" t="n"/>
      <c r="F145" s="77" t="n"/>
      <c r="G145" s="64">
        <f>IF($F145="","",IFERROR(INDEX('WORK PACKAGES'!$A$2:$A$100,MATCH($F145,'WORK PACKAGES'!$D$2:$D$100,0)),""))</f>
        <v/>
      </c>
      <c r="H145" s="64">
        <f>IF($F145="","",INDEX('WORK PACKAGES'!$E$2:$E$100,MATCH($F145,'WORK PACKAGES'!$D$2:$D$100,0)))</f>
        <v/>
      </c>
      <c r="I145" s="78" t="n"/>
      <c r="J145" s="78" t="n"/>
      <c r="K145" s="78" t="n"/>
      <c r="L145" s="66" t="n"/>
      <c r="M145" s="78" t="n"/>
      <c r="N145" s="79" t="n"/>
      <c r="O145" s="78" t="n"/>
      <c r="P145" s="79" t="n"/>
      <c r="R145" s="63">
        <f>IF(Q145="","",IF(Q145="Open",TODAY()-N145,"--"))</f>
        <v/>
      </c>
      <c r="S145" s="63">
        <f>IF(Q145="","",IF(Q145="Closed",P145-N145,"--"))</f>
        <v/>
      </c>
      <c r="W145" s="50" t="n"/>
    </row>
    <row r="146" ht="15" customHeight="1" s="130">
      <c r="B146" s="64">
        <f>IF(C146="","",B145+1)</f>
        <v/>
      </c>
      <c r="C146" s="77" t="n"/>
      <c r="D146" s="77" t="n"/>
      <c r="E146" s="82" t="n"/>
      <c r="F146" s="77" t="n"/>
      <c r="G146" s="64">
        <f>IF($F146="","",IFERROR(INDEX('WORK PACKAGES'!$A$2:$A$100,MATCH($F146,'WORK PACKAGES'!$D$2:$D$100,0)),""))</f>
        <v/>
      </c>
      <c r="H146" s="64">
        <f>IF($F146="","",INDEX('WORK PACKAGES'!$E$2:$E$100,MATCH($F146,'WORK PACKAGES'!$D$2:$D$100,0)))</f>
        <v/>
      </c>
      <c r="I146" s="78" t="n"/>
      <c r="J146" s="78" t="n"/>
      <c r="K146" s="78" t="n"/>
      <c r="L146" s="66" t="n"/>
      <c r="M146" s="78" t="n"/>
      <c r="N146" s="79" t="n"/>
      <c r="O146" s="78" t="n"/>
      <c r="P146" s="79" t="n"/>
      <c r="R146" s="63">
        <f>IF(Q146="","",IF(Q146="Open",TODAY()-N146,"--"))</f>
        <v/>
      </c>
      <c r="S146" s="63">
        <f>IF(Q146="","",IF(Q146="Closed",P146-N146,"--"))</f>
        <v/>
      </c>
      <c r="W146" s="50" t="n"/>
    </row>
    <row r="147" ht="15" customHeight="1" s="130">
      <c r="B147" s="64">
        <f>IF(C147="","",B146+1)</f>
        <v/>
      </c>
      <c r="C147" s="77" t="n"/>
      <c r="D147" s="77" t="n"/>
      <c r="E147" s="82" t="n"/>
      <c r="F147" s="77" t="n"/>
      <c r="G147" s="64">
        <f>IF($F147="","",IFERROR(INDEX('WORK PACKAGES'!$A$2:$A$100,MATCH($F147,'WORK PACKAGES'!$D$2:$D$100,0)),""))</f>
        <v/>
      </c>
      <c r="H147" s="64">
        <f>IF($F147="","",INDEX('WORK PACKAGES'!$E$2:$E$100,MATCH($F147,'WORK PACKAGES'!$D$2:$D$100,0)))</f>
        <v/>
      </c>
      <c r="I147" s="78" t="n"/>
      <c r="J147" s="78" t="n"/>
      <c r="K147" s="78" t="n"/>
      <c r="L147" s="66" t="n"/>
      <c r="M147" s="78" t="n"/>
      <c r="N147" s="79" t="n"/>
      <c r="O147" s="78" t="n"/>
      <c r="P147" s="79" t="n"/>
      <c r="R147" s="63">
        <f>IF(Q147="","",IF(Q147="Open",TODAY()-N147,"--"))</f>
        <v/>
      </c>
      <c r="S147" s="63">
        <f>IF(Q147="","",IF(Q147="Closed",P147-N147,"--"))</f>
        <v/>
      </c>
      <c r="W147" s="50" t="n"/>
    </row>
    <row r="148" ht="15" customHeight="1" s="130">
      <c r="B148" s="64">
        <f>IF(C148="","",B147+1)</f>
        <v/>
      </c>
      <c r="C148" s="77" t="n"/>
      <c r="D148" s="77" t="n"/>
      <c r="E148" s="82" t="n"/>
      <c r="F148" s="77" t="n"/>
      <c r="G148" s="64">
        <f>IF($F148="","",IFERROR(INDEX('WORK PACKAGES'!$A$2:$A$100,MATCH($F148,'WORK PACKAGES'!$D$2:$D$100,0)),""))</f>
        <v/>
      </c>
      <c r="H148" s="64">
        <f>IF($F148="","",INDEX('WORK PACKAGES'!$E$2:$E$100,MATCH($F148,'WORK PACKAGES'!$D$2:$D$100,0)))</f>
        <v/>
      </c>
      <c r="I148" s="78" t="n"/>
      <c r="J148" s="78" t="n"/>
      <c r="K148" s="78" t="n"/>
      <c r="L148" s="66" t="n"/>
      <c r="M148" s="78" t="n"/>
      <c r="N148" s="79" t="n"/>
      <c r="O148" s="78" t="n"/>
      <c r="P148" s="79" t="n"/>
      <c r="R148" s="63">
        <f>IF(Q148="","",IF(Q148="Open",TODAY()-N148,"--"))</f>
        <v/>
      </c>
      <c r="S148" s="63">
        <f>IF(Q148="","",IF(Q148="Closed",P148-N148,"--"))</f>
        <v/>
      </c>
      <c r="W148" s="50" t="n"/>
    </row>
    <row r="149" ht="15" customHeight="1" s="130">
      <c r="B149" s="64">
        <f>IF(C149="","",B148+1)</f>
        <v/>
      </c>
      <c r="C149" s="77" t="n"/>
      <c r="D149" s="77" t="n"/>
      <c r="E149" s="82" t="n"/>
      <c r="F149" s="77" t="n"/>
      <c r="G149" s="64">
        <f>IF($F149="","",IFERROR(INDEX('WORK PACKAGES'!$A$2:$A$100,MATCH($F149,'WORK PACKAGES'!$D$2:$D$100,0)),""))</f>
        <v/>
      </c>
      <c r="H149" s="64">
        <f>IF($F149="","",INDEX('WORK PACKAGES'!$E$2:$E$100,MATCH($F149,'WORK PACKAGES'!$D$2:$D$100,0)))</f>
        <v/>
      </c>
      <c r="I149" s="78" t="n"/>
      <c r="J149" s="78" t="n"/>
      <c r="K149" s="78" t="n"/>
      <c r="L149" s="66" t="n"/>
      <c r="M149" s="78" t="n"/>
      <c r="N149" s="79" t="n"/>
      <c r="O149" s="78" t="n"/>
      <c r="P149" s="79" t="n"/>
      <c r="R149" s="63">
        <f>IF(Q149="","",IF(Q149="Open",TODAY()-N149,"--"))</f>
        <v/>
      </c>
      <c r="S149" s="63">
        <f>IF(Q149="","",IF(Q149="Closed",P149-N149,"--"))</f>
        <v/>
      </c>
      <c r="W149" s="50" t="n"/>
    </row>
    <row r="150" ht="15" customHeight="1" s="130">
      <c r="B150" s="64">
        <f>IF(C150="","",B149+1)</f>
        <v/>
      </c>
      <c r="C150" s="77" t="n"/>
      <c r="D150" s="77" t="n"/>
      <c r="E150" s="82" t="n"/>
      <c r="F150" s="77" t="n"/>
      <c r="G150" s="64">
        <f>IF($F150="","",IFERROR(INDEX('WORK PACKAGES'!$A$2:$A$100,MATCH($F150,'WORK PACKAGES'!$D$2:$D$100,0)),""))</f>
        <v/>
      </c>
      <c r="H150" s="64">
        <f>IF($F150="","",INDEX('WORK PACKAGES'!$E$2:$E$100,MATCH($F150,'WORK PACKAGES'!$D$2:$D$100,0)))</f>
        <v/>
      </c>
      <c r="I150" s="78" t="n"/>
      <c r="J150" s="78" t="n"/>
      <c r="K150" s="78" t="n"/>
      <c r="L150" s="82" t="n"/>
      <c r="M150" s="78" t="n"/>
      <c r="N150" s="79" t="n"/>
      <c r="O150" s="78" t="n"/>
      <c r="P150" s="79" t="n"/>
      <c r="R150" s="63">
        <f>IF(Q150="","",IF(Q150="Open",TODAY()-N150,"--"))</f>
        <v/>
      </c>
      <c r="S150" s="63">
        <f>IF(Q150="","",IF(Q150="Closed",P150-N150,"--"))</f>
        <v/>
      </c>
      <c r="W150" s="50" t="n"/>
    </row>
    <row r="151" ht="15" customHeight="1" s="130">
      <c r="B151" s="64">
        <f>IF(C151="","",B150+1)</f>
        <v/>
      </c>
      <c r="C151" s="77" t="n"/>
      <c r="D151" s="77" t="n"/>
      <c r="E151" s="82" t="n"/>
      <c r="F151" s="77" t="n"/>
      <c r="G151" s="64">
        <f>IF($F151="","",IFERROR(INDEX('WORK PACKAGES'!$A$2:$A$100,MATCH($F151,'WORK PACKAGES'!$D$2:$D$100,0)),""))</f>
        <v/>
      </c>
      <c r="H151" s="64">
        <f>IF($F151="","",INDEX('WORK PACKAGES'!$E$2:$E$100,MATCH($F151,'WORK PACKAGES'!$D$2:$D$100,0)))</f>
        <v/>
      </c>
      <c r="I151" s="78" t="n"/>
      <c r="J151" s="78" t="n"/>
      <c r="K151" s="78" t="n"/>
      <c r="L151" s="82" t="n"/>
      <c r="M151" s="78" t="n"/>
      <c r="N151" s="79" t="n"/>
      <c r="O151" s="78" t="n"/>
      <c r="P151" s="79" t="n"/>
      <c r="R151" s="63">
        <f>IF(Q151="","",IF(Q151="Open",TODAY()-N151,"--"))</f>
        <v/>
      </c>
      <c r="S151" s="63">
        <f>IF(Q151="","",IF(Q151="Closed",P151-N151,"--"))</f>
        <v/>
      </c>
      <c r="W151" s="50" t="n"/>
    </row>
    <row r="152" ht="15" customHeight="1" s="130">
      <c r="B152" s="64">
        <f>IF(C152="","",B151+1)</f>
        <v/>
      </c>
      <c r="C152" s="77" t="n"/>
      <c r="D152" s="77" t="n"/>
      <c r="E152" s="82" t="n"/>
      <c r="F152" s="77" t="n"/>
      <c r="G152" s="64">
        <f>IF($F152="","",IFERROR(INDEX('WORK PACKAGES'!$A$2:$A$100,MATCH($F152,'WORK PACKAGES'!$D$2:$D$100,0)),""))</f>
        <v/>
      </c>
      <c r="H152" s="64">
        <f>IF($F152="","",INDEX('WORK PACKAGES'!$E$2:$E$100,MATCH($F152,'WORK PACKAGES'!$D$2:$D$100,0)))</f>
        <v/>
      </c>
      <c r="I152" s="78" t="n"/>
      <c r="J152" s="78" t="n"/>
      <c r="K152" s="78" t="n"/>
      <c r="L152" s="82" t="n"/>
      <c r="M152" s="78" t="n"/>
      <c r="N152" s="79" t="n"/>
      <c r="O152" s="78" t="n"/>
      <c r="P152" s="79" t="n"/>
      <c r="R152" s="63">
        <f>IF(Q152="","",IF(Q152="Open",TODAY()-N152,"--"))</f>
        <v/>
      </c>
      <c r="S152" s="63">
        <f>IF(Q152="","",IF(Q152="Closed",P152-N152,"--"))</f>
        <v/>
      </c>
      <c r="W152" s="50" t="n"/>
    </row>
    <row r="153" ht="15" customHeight="1" s="130">
      <c r="B153" s="64">
        <f>IF(C153="","",B152+1)</f>
        <v/>
      </c>
      <c r="C153" s="77" t="n"/>
      <c r="D153" s="77" t="n"/>
      <c r="E153" s="82" t="n"/>
      <c r="F153" s="77" t="n"/>
      <c r="G153" s="64">
        <f>IF($F153="","",IFERROR(INDEX('WORK PACKAGES'!$A$2:$A$100,MATCH($F153,'WORK PACKAGES'!$D$2:$D$100,0)),""))</f>
        <v/>
      </c>
      <c r="H153" s="64">
        <f>IF($F153="","",INDEX('WORK PACKAGES'!$E$2:$E$100,MATCH($F153,'WORK PACKAGES'!$D$2:$D$100,0)))</f>
        <v/>
      </c>
      <c r="I153" s="78" t="n"/>
      <c r="J153" s="78" t="n"/>
      <c r="K153" s="78" t="n"/>
      <c r="L153" s="82" t="n"/>
      <c r="M153" s="78" t="n"/>
      <c r="N153" s="79" t="n"/>
      <c r="O153" s="78" t="n"/>
      <c r="P153" s="79" t="n"/>
      <c r="R153" s="63">
        <f>IF(Q153="","",IF(Q153="Open",TODAY()-N153,"--"))</f>
        <v/>
      </c>
      <c r="S153" s="63">
        <f>IF(Q153="","",IF(Q153="Closed",P153-N153,"--"))</f>
        <v/>
      </c>
      <c r="W153" s="50" t="n"/>
    </row>
    <row r="154" ht="15" customHeight="1" s="130">
      <c r="B154" s="64">
        <f>IF(C154="","",B153+1)</f>
        <v/>
      </c>
      <c r="C154" s="77" t="n"/>
      <c r="D154" s="77" t="n"/>
      <c r="E154" s="82" t="n"/>
      <c r="F154" s="77" t="n"/>
      <c r="G154" s="64">
        <f>IF($F154="","",IFERROR(INDEX('WORK PACKAGES'!$A$2:$A$100,MATCH($F154,'WORK PACKAGES'!$D$2:$D$100,0)),""))</f>
        <v/>
      </c>
      <c r="H154" s="64">
        <f>IF($F154="","",INDEX('WORK PACKAGES'!$E$2:$E$100,MATCH($F154,'WORK PACKAGES'!$D$2:$D$100,0)))</f>
        <v/>
      </c>
      <c r="I154" s="78" t="n"/>
      <c r="J154" s="78" t="n"/>
      <c r="K154" s="78" t="n"/>
      <c r="L154" s="82" t="n"/>
      <c r="M154" s="78" t="n"/>
      <c r="N154" s="79" t="n"/>
      <c r="O154" s="78" t="n"/>
      <c r="P154" s="79" t="n"/>
      <c r="R154" s="63">
        <f>IF(Q154="","",IF(Q154="Open",TODAY()-N154,"--"))</f>
        <v/>
      </c>
      <c r="S154" s="63">
        <f>IF(Q154="","",IF(Q154="Closed",P154-N154,"--"))</f>
        <v/>
      </c>
      <c r="W154" s="50" t="n"/>
    </row>
    <row r="155" ht="15" customHeight="1" s="130">
      <c r="B155" s="64">
        <f>IF(C155="","",B154+1)</f>
        <v/>
      </c>
      <c r="C155" s="77" t="n"/>
      <c r="D155" s="77" t="n"/>
      <c r="E155" s="82" t="n"/>
      <c r="F155" s="77" t="n"/>
      <c r="G155" s="64">
        <f>IF($F155="","",IFERROR(INDEX('WORK PACKAGES'!$A$2:$A$100,MATCH($F155,'WORK PACKAGES'!$D$2:$D$100,0)),""))</f>
        <v/>
      </c>
      <c r="H155" s="64">
        <f>IF($F155="","",INDEX('WORK PACKAGES'!$E$2:$E$100,MATCH($F155,'WORK PACKAGES'!$D$2:$D$100,0)))</f>
        <v/>
      </c>
      <c r="I155" s="78" t="n"/>
      <c r="J155" s="78" t="n"/>
      <c r="K155" s="78" t="n"/>
      <c r="L155" s="82" t="n"/>
      <c r="M155" s="78" t="n"/>
      <c r="N155" s="79" t="n"/>
      <c r="O155" s="78" t="n"/>
      <c r="P155" s="79" t="n"/>
      <c r="R155" s="63">
        <f>IF(Q155="","",IF(Q155="Open",TODAY()-N155,"--"))</f>
        <v/>
      </c>
      <c r="S155" s="63">
        <f>IF(Q155="","",IF(Q155="Closed",P155-N155,"--"))</f>
        <v/>
      </c>
      <c r="W155" s="50" t="n"/>
    </row>
    <row r="156" ht="15" customHeight="1" s="130">
      <c r="B156" s="64">
        <f>IF(C156="","",B155+1)</f>
        <v/>
      </c>
      <c r="C156" s="77" t="n"/>
      <c r="D156" s="65" t="n"/>
      <c r="E156" s="82" t="n"/>
      <c r="F156" s="77" t="n"/>
      <c r="G156" s="64">
        <f>IF($F156="","",IFERROR(INDEX('WORK PACKAGES'!$A$2:$A$100,MATCH($F156,'WORK PACKAGES'!$D$2:$D$100,0)),""))</f>
        <v/>
      </c>
      <c r="H156" s="64">
        <f>IF($F156="","",INDEX('WORK PACKAGES'!$E$2:$E$100,MATCH($F156,'WORK PACKAGES'!$D$2:$D$100,0)))</f>
        <v/>
      </c>
      <c r="I156" s="78" t="n"/>
      <c r="J156" s="78" t="n"/>
      <c r="K156" s="78" t="n"/>
      <c r="L156" s="82" t="n"/>
      <c r="M156" s="78" t="n"/>
      <c r="N156" s="79" t="n"/>
      <c r="O156" s="78" t="n"/>
      <c r="P156" s="79" t="n"/>
      <c r="R156" s="63">
        <f>IF(Q156="","",IF(Q156="Open",TODAY()-N156,"--"))</f>
        <v/>
      </c>
      <c r="S156" s="63">
        <f>IF(Q156="","",IF(Q156="Closed",P156-N156,"--"))</f>
        <v/>
      </c>
      <c r="W156" s="50" t="n"/>
    </row>
    <row r="157" ht="15" customHeight="1" s="130">
      <c r="B157" s="64">
        <f>IF(C157="","",B156+1)</f>
        <v/>
      </c>
      <c r="C157" s="77" t="n"/>
      <c r="D157" s="65" t="n"/>
      <c r="E157" s="82" t="n"/>
      <c r="F157" s="77" t="n"/>
      <c r="G157" s="64">
        <f>IF($F157="","",IFERROR(INDEX('WORK PACKAGES'!$A$2:$A$100,MATCH($F157,'WORK PACKAGES'!$D$2:$D$100,0)),""))</f>
        <v/>
      </c>
      <c r="H157" s="64">
        <f>IF($F157="","",INDEX('WORK PACKAGES'!$E$2:$E$100,MATCH($F157,'WORK PACKAGES'!$D$2:$D$100,0)))</f>
        <v/>
      </c>
      <c r="I157" s="78" t="n"/>
      <c r="J157" s="78" t="n"/>
      <c r="K157" s="78" t="n"/>
      <c r="L157" s="82" t="n"/>
      <c r="M157" s="78" t="n"/>
      <c r="N157" s="79" t="n"/>
      <c r="O157" s="78" t="n"/>
      <c r="P157" s="79" t="n"/>
      <c r="R157" s="63">
        <f>IF(Q157="","",IF(Q157="Open",TODAY()-N157,"--"))</f>
        <v/>
      </c>
      <c r="S157" s="63">
        <f>IF(Q157="","",IF(Q157="Closed",P157-N157,"--"))</f>
        <v/>
      </c>
      <c r="W157" s="50" t="n"/>
    </row>
    <row r="158" ht="15" customHeight="1" s="130">
      <c r="B158" s="64">
        <f>IF(C158="","",B157+1)</f>
        <v/>
      </c>
      <c r="C158" s="77" t="n"/>
      <c r="D158" s="77" t="n"/>
      <c r="E158" s="82" t="n"/>
      <c r="F158" s="77" t="n"/>
      <c r="G158" s="64">
        <f>IF($F158="","",IFERROR(INDEX('WORK PACKAGES'!$A$2:$A$100,MATCH($F158,'WORK PACKAGES'!$D$2:$D$100,0)),""))</f>
        <v/>
      </c>
      <c r="H158" s="64">
        <f>IF($F158="","",INDEX('WORK PACKAGES'!$E$2:$E$100,MATCH($F158,'WORK PACKAGES'!$D$2:$D$100,0)))</f>
        <v/>
      </c>
      <c r="I158" s="78" t="n"/>
      <c r="J158" s="78" t="n"/>
      <c r="K158" s="78" t="n"/>
      <c r="L158" s="82" t="n"/>
      <c r="M158" s="78" t="n"/>
      <c r="N158" s="79" t="n"/>
      <c r="O158" s="67" t="n"/>
      <c r="P158" s="79" t="n"/>
      <c r="R158" s="63">
        <f>IF(Q158="","",IF(Q158="Open",TODAY()-N158,"--"))</f>
        <v/>
      </c>
      <c r="S158" s="63">
        <f>IF(Q158="","",IF(Q158="Closed",P158-N158,"--"))</f>
        <v/>
      </c>
      <c r="W158" s="50" t="n"/>
    </row>
    <row r="159" ht="15" customHeight="1" s="130">
      <c r="B159" s="64">
        <f>IF(C159="","",B158+1)</f>
        <v/>
      </c>
      <c r="C159" s="77" t="n"/>
      <c r="D159" s="77" t="n"/>
      <c r="E159" s="82" t="n"/>
      <c r="F159" s="77" t="n"/>
      <c r="G159" s="64">
        <f>IF($F159="","",IFERROR(INDEX('WORK PACKAGES'!$A$2:$A$100,MATCH($F159,'WORK PACKAGES'!$D$2:$D$100,0)),""))</f>
        <v/>
      </c>
      <c r="H159" s="64">
        <f>IF($F159="","",INDEX('WORK PACKAGES'!$E$2:$E$100,MATCH($F159,'WORK PACKAGES'!$D$2:$D$100,0)))</f>
        <v/>
      </c>
      <c r="I159" s="78" t="n"/>
      <c r="J159" s="78" t="n"/>
      <c r="K159" s="78" t="n"/>
      <c r="L159" s="66" t="n"/>
      <c r="M159" s="78" t="n"/>
      <c r="N159" s="79" t="n"/>
      <c r="O159" s="78" t="n"/>
      <c r="P159" s="79" t="n"/>
      <c r="R159" s="63">
        <f>IF(Q159="","",IF(Q159="Open",TODAY()-N159,"--"))</f>
        <v/>
      </c>
      <c r="S159" s="63">
        <f>IF(Q159="","",IF(Q159="Closed",P159-N159,"--"))</f>
        <v/>
      </c>
      <c r="W159" s="50" t="n"/>
    </row>
    <row r="160" ht="15" customHeight="1" s="130">
      <c r="B160" s="64">
        <f>IF(C160="","",B159+1)</f>
        <v/>
      </c>
      <c r="C160" s="77" t="n"/>
      <c r="D160" s="77" t="n"/>
      <c r="E160" s="82" t="n"/>
      <c r="F160" s="77" t="n"/>
      <c r="G160" s="64">
        <f>IF($F160="","",IFERROR(INDEX('WORK PACKAGES'!$A$2:$A$100,MATCH($F160,'WORK PACKAGES'!$D$2:$D$100,0)),""))</f>
        <v/>
      </c>
      <c r="H160" s="64">
        <f>IF($F160="","",INDEX('WORK PACKAGES'!$E$2:$E$100,MATCH($F160,'WORK PACKAGES'!$D$2:$D$100,0)))</f>
        <v/>
      </c>
      <c r="I160" s="78" t="n"/>
      <c r="J160" s="78" t="n"/>
      <c r="K160" s="78" t="n"/>
      <c r="L160" s="66" t="n"/>
      <c r="M160" s="78" t="n"/>
      <c r="N160" s="79" t="n"/>
      <c r="O160" s="78" t="n"/>
      <c r="P160" s="79" t="n"/>
      <c r="R160" s="63">
        <f>IF(Q160="","",IF(Q160="Open",TODAY()-N160,"--"))</f>
        <v/>
      </c>
      <c r="S160" s="63">
        <f>IF(Q160="","",IF(Q160="Closed",P160-N160,"--"))</f>
        <v/>
      </c>
      <c r="W160" s="50" t="n"/>
    </row>
    <row r="161" ht="15" customHeight="1" s="130">
      <c r="B161" s="64">
        <f>IF(C161="","",B160+1)</f>
        <v/>
      </c>
      <c r="C161" s="77" t="n"/>
      <c r="D161" s="77" t="n"/>
      <c r="E161" s="82" t="n"/>
      <c r="F161" s="77" t="n"/>
      <c r="G161" s="64">
        <f>IF($F161="","",IFERROR(INDEX('WORK PACKAGES'!$A$2:$A$100,MATCH($F161,'WORK PACKAGES'!$D$2:$D$100,0)),""))</f>
        <v/>
      </c>
      <c r="H161" s="64">
        <f>IF($F161="","",INDEX('WORK PACKAGES'!$E$2:$E$100,MATCH($F161,'WORK PACKAGES'!$D$2:$D$100,0)))</f>
        <v/>
      </c>
      <c r="I161" s="78" t="n"/>
      <c r="J161" s="78" t="n"/>
      <c r="K161" s="78" t="n"/>
      <c r="L161" s="66" t="n"/>
      <c r="M161" s="78" t="n"/>
      <c r="N161" s="79" t="n"/>
      <c r="O161" s="78" t="n"/>
      <c r="P161" s="79" t="n"/>
      <c r="R161" s="63">
        <f>IF(Q161="","",IF(Q161="Open",TODAY()-N161,"--"))</f>
        <v/>
      </c>
      <c r="S161" s="63">
        <f>IF(Q161="","",IF(Q161="Closed",P161-N161,"--"))</f>
        <v/>
      </c>
      <c r="W161" s="50" t="n"/>
    </row>
    <row r="162" ht="15" customHeight="1" s="130">
      <c r="B162" s="64">
        <f>IF(C162="","",B161+1)</f>
        <v/>
      </c>
      <c r="C162" s="77" t="n"/>
      <c r="D162" s="77" t="n"/>
      <c r="E162" s="82" t="n"/>
      <c r="F162" s="77" t="n"/>
      <c r="G162" s="64">
        <f>IF($F162="","",IFERROR(INDEX('WORK PACKAGES'!$A$2:$A$100,MATCH($F162,'WORK PACKAGES'!$D$2:$D$100,0)),""))</f>
        <v/>
      </c>
      <c r="H162" s="64">
        <f>IF($F162="","",INDEX('WORK PACKAGES'!$E$2:$E$100,MATCH($F162,'WORK PACKAGES'!$D$2:$D$100,0)))</f>
        <v/>
      </c>
      <c r="I162" s="78" t="n"/>
      <c r="J162" s="78" t="n"/>
      <c r="K162" s="78" t="n"/>
      <c r="L162" s="66" t="n"/>
      <c r="M162" s="78" t="n"/>
      <c r="N162" s="79" t="n"/>
      <c r="O162" s="78" t="n"/>
      <c r="P162" s="79" t="n"/>
      <c r="R162" s="63">
        <f>IF(Q162="","",IF(Q162="Open",TODAY()-N162,"--"))</f>
        <v/>
      </c>
      <c r="S162" s="63">
        <f>IF(Q162="","",IF(Q162="Closed",P162-N162,"--"))</f>
        <v/>
      </c>
      <c r="W162" s="50" t="n"/>
    </row>
    <row r="163" ht="15" customHeight="1" s="130">
      <c r="B163" s="64">
        <f>IF(C163="","",B162+1)</f>
        <v/>
      </c>
      <c r="C163" s="77" t="n"/>
      <c r="D163" s="65" t="n"/>
      <c r="E163" s="82" t="n"/>
      <c r="F163" s="77" t="n"/>
      <c r="G163" s="64">
        <f>IF($F163="","",IFERROR(INDEX('WORK PACKAGES'!$A$2:$A$100,MATCH($F163,'WORK PACKAGES'!$D$2:$D$100,0)),""))</f>
        <v/>
      </c>
      <c r="H163" s="64">
        <f>IF($F163="","",INDEX('WORK PACKAGES'!$E$2:$E$100,MATCH($F163,'WORK PACKAGES'!$D$2:$D$100,0)))</f>
        <v/>
      </c>
      <c r="I163" s="78" t="n"/>
      <c r="J163" s="78" t="n"/>
      <c r="K163" s="78" t="n"/>
      <c r="L163" s="66" t="n"/>
      <c r="M163" s="78" t="n"/>
      <c r="N163" s="79" t="n"/>
      <c r="O163" s="67" t="n"/>
      <c r="P163" s="79" t="n"/>
      <c r="R163" s="63">
        <f>IF(Q163="","",IF(Q163="Open",TODAY()-N163,"--"))</f>
        <v/>
      </c>
      <c r="S163" s="63">
        <f>IF(Q163="","",IF(Q163="Closed",P163-N163,"--"))</f>
        <v/>
      </c>
      <c r="W163" s="50" t="n"/>
    </row>
    <row r="164" ht="15" customHeight="1" s="130">
      <c r="B164" s="64">
        <f>IF(C164="","",B163+1)</f>
        <v/>
      </c>
      <c r="C164" s="77" t="n"/>
      <c r="D164" s="77" t="n"/>
      <c r="E164" s="66" t="n"/>
      <c r="F164" s="77" t="n"/>
      <c r="G164" s="64">
        <f>IF($F164="","",IFERROR(INDEX('WORK PACKAGES'!$A$2:$A$100,MATCH($F164,'WORK PACKAGES'!$D$2:$D$100,0)),""))</f>
        <v/>
      </c>
      <c r="H164" s="64">
        <f>IF($F164="","",INDEX('WORK PACKAGES'!$E$2:$E$100,MATCH($F164,'WORK PACKAGES'!$D$2:$D$100,0)))</f>
        <v/>
      </c>
      <c r="I164" s="78" t="n"/>
      <c r="J164" s="78" t="n"/>
      <c r="K164" s="67" t="n"/>
      <c r="L164" s="66" t="n"/>
      <c r="M164" s="78" t="n"/>
      <c r="N164" s="79" t="n"/>
      <c r="O164" s="67" t="n"/>
      <c r="P164" s="79" t="n"/>
      <c r="R164" s="63">
        <f>IF(Q164="","",IF(Q164="Open",TODAY()-N164,"--"))</f>
        <v/>
      </c>
      <c r="S164" s="63">
        <f>IF(Q164="","",IF(Q164="Closed",P164-N164,"--"))</f>
        <v/>
      </c>
      <c r="W164" s="50" t="n"/>
    </row>
    <row r="165" ht="15" customHeight="1" s="130">
      <c r="B165" s="64">
        <f>IF(C165="","",B164+1)</f>
        <v/>
      </c>
      <c r="C165" s="77" t="n"/>
      <c r="D165" s="77" t="n"/>
      <c r="E165" s="66" t="n"/>
      <c r="F165" s="77" t="n"/>
      <c r="G165" s="64">
        <f>IF($F165="","",IFERROR(INDEX('WORK PACKAGES'!$A$2:$A$100,MATCH($F165,'WORK PACKAGES'!$D$2:$D$100,0)),""))</f>
        <v/>
      </c>
      <c r="H165" s="64">
        <f>IF($F165="","",INDEX('WORK PACKAGES'!$E$2:$E$100,MATCH($F165,'WORK PACKAGES'!$D$2:$D$100,0)))</f>
        <v/>
      </c>
      <c r="I165" s="78" t="n"/>
      <c r="J165" s="78" t="n"/>
      <c r="K165" s="67" t="n"/>
      <c r="L165" s="66" t="n"/>
      <c r="M165" s="78" t="n"/>
      <c r="N165" s="79" t="n"/>
      <c r="O165" s="67" t="n"/>
      <c r="P165" s="79" t="n"/>
      <c r="R165" s="63">
        <f>IF(Q165="","",IF(Q165="Open",TODAY()-N165,"--"))</f>
        <v/>
      </c>
      <c r="S165" s="63">
        <f>IF(Q165="","",IF(Q165="Closed",P165-N165,"--"))</f>
        <v/>
      </c>
      <c r="W165" s="50" t="n"/>
    </row>
    <row r="166" ht="15" customHeight="1" s="130">
      <c r="B166" s="64">
        <f>IF(C166="","",B165+1)</f>
        <v/>
      </c>
      <c r="C166" s="77" t="n"/>
      <c r="D166" s="77" t="n"/>
      <c r="E166" s="66" t="n"/>
      <c r="F166" s="77" t="n"/>
      <c r="G166" s="64">
        <f>IF($F166="","",IFERROR(INDEX('WORK PACKAGES'!$A$2:$A$100,MATCH($F166,'WORK PACKAGES'!$D$2:$D$100,0)),""))</f>
        <v/>
      </c>
      <c r="H166" s="64">
        <f>IF($F166="","",INDEX('WORK PACKAGES'!$E$2:$E$100,MATCH($F166,'WORK PACKAGES'!$D$2:$D$100,0)))</f>
        <v/>
      </c>
      <c r="I166" s="78" t="n"/>
      <c r="J166" s="78" t="n"/>
      <c r="K166" s="67" t="n"/>
      <c r="L166" s="66" t="n"/>
      <c r="M166" s="78" t="n"/>
      <c r="N166" s="79" t="n"/>
      <c r="O166" s="67" t="n"/>
      <c r="P166" s="79" t="n"/>
      <c r="R166" s="63">
        <f>IF(Q166="","",IF(Q166="Open",TODAY()-N166,"--"))</f>
        <v/>
      </c>
      <c r="S166" s="63">
        <f>IF(Q166="","",IF(Q166="Closed",P166-N166,"--"))</f>
        <v/>
      </c>
      <c r="W166" s="50" t="n"/>
    </row>
    <row r="167" ht="15" customHeight="1" s="130">
      <c r="B167" s="64">
        <f>IF(C167="","",B166+1)</f>
        <v/>
      </c>
      <c r="C167" s="77" t="n"/>
      <c r="D167" s="77" t="n"/>
      <c r="E167" s="66" t="n"/>
      <c r="F167" s="77" t="n"/>
      <c r="G167" s="64">
        <f>IF($F167="","",IFERROR(INDEX('WORK PACKAGES'!$A$2:$A$100,MATCH($F167,'WORK PACKAGES'!$D$2:$D$100,0)),""))</f>
        <v/>
      </c>
      <c r="H167" s="64">
        <f>IF($F167="","",INDEX('WORK PACKAGES'!$E$2:$E$100,MATCH($F167,'WORK PACKAGES'!$D$2:$D$100,0)))</f>
        <v/>
      </c>
      <c r="I167" s="78" t="n"/>
      <c r="J167" s="78" t="n"/>
      <c r="K167" s="67" t="n"/>
      <c r="L167" s="66" t="n"/>
      <c r="M167" s="78" t="n"/>
      <c r="N167" s="79" t="n"/>
      <c r="O167" s="78" t="n"/>
      <c r="P167" s="79" t="n"/>
      <c r="R167" s="63">
        <f>IF(Q167="","",IF(Q167="Open",TODAY()-N167,"--"))</f>
        <v/>
      </c>
      <c r="S167" s="63">
        <f>IF(Q167="","",IF(Q167="Closed",P167-N167,"--"))</f>
        <v/>
      </c>
      <c r="W167" s="50" t="n"/>
    </row>
    <row r="168" ht="15" customHeight="1" s="130">
      <c r="B168" s="64">
        <f>IF(C168="","",B167+1)</f>
        <v/>
      </c>
      <c r="C168" s="77" t="n"/>
      <c r="D168" s="77" t="n"/>
      <c r="E168" s="66" t="n"/>
      <c r="F168" s="77" t="n"/>
      <c r="G168" s="64">
        <f>IF($F168="","",IFERROR(INDEX('WORK PACKAGES'!$A$2:$A$100,MATCH($F168,'WORK PACKAGES'!$D$2:$D$100,0)),""))</f>
        <v/>
      </c>
      <c r="H168" s="64">
        <f>IF($F168="","",INDEX('WORK PACKAGES'!$E$2:$E$100,MATCH($F168,'WORK PACKAGES'!$D$2:$D$100,0)))</f>
        <v/>
      </c>
      <c r="I168" s="78" t="n"/>
      <c r="J168" s="78" t="n"/>
      <c r="K168" s="78" t="n"/>
      <c r="L168" s="82" t="n"/>
      <c r="M168" s="78" t="n"/>
      <c r="N168" s="79" t="n"/>
      <c r="O168" s="67" t="n"/>
      <c r="P168" s="79" t="n"/>
      <c r="R168" s="63">
        <f>IF(Q168="","",IF(Q168="Open",TODAY()-N168,"--"))</f>
        <v/>
      </c>
      <c r="S168" s="63">
        <f>IF(Q168="","",IF(Q168="Closed",P168-N168,"--"))</f>
        <v/>
      </c>
      <c r="W168" s="50" t="n"/>
    </row>
    <row r="169" ht="15" customHeight="1" s="130">
      <c r="B169" s="64">
        <f>IF(C169="","",B168+1)</f>
        <v/>
      </c>
      <c r="C169" s="77" t="n"/>
      <c r="D169" s="77" t="n"/>
      <c r="E169" s="66" t="n"/>
      <c r="F169" s="77" t="n"/>
      <c r="G169" s="64">
        <f>IF($F169="","",IFERROR(INDEX('WORK PACKAGES'!$A$2:$A$100,MATCH($F169,'WORK PACKAGES'!$D$2:$D$100,0)),""))</f>
        <v/>
      </c>
      <c r="H169" s="64">
        <f>IF($F169="","",INDEX('WORK PACKAGES'!$E$2:$E$100,MATCH($F169,'WORK PACKAGES'!$D$2:$D$100,0)))</f>
        <v/>
      </c>
      <c r="I169" s="78" t="n"/>
      <c r="J169" s="78" t="n"/>
      <c r="K169" s="78" t="n"/>
      <c r="L169" s="82" t="n"/>
      <c r="M169" s="78" t="n"/>
      <c r="N169" s="79" t="n"/>
      <c r="O169" s="67" t="n"/>
      <c r="P169" s="79" t="n"/>
      <c r="R169" s="63">
        <f>IF(Q169="","",IF(Q169="Open",TODAY()-N169,"--"))</f>
        <v/>
      </c>
      <c r="S169" s="63">
        <f>IF(Q169="","",IF(Q169="Closed",P169-N169,"--"))</f>
        <v/>
      </c>
      <c r="W169" s="50" t="n"/>
    </row>
    <row r="170" ht="15" customHeight="1" s="130">
      <c r="B170" s="64">
        <f>IF(C170="","",B169+1)</f>
        <v/>
      </c>
      <c r="C170" s="77" t="n"/>
      <c r="D170" s="77" t="n"/>
      <c r="E170" s="82" t="n"/>
      <c r="F170" s="77" t="n"/>
      <c r="G170" s="64">
        <f>IF($F170="","",IFERROR(INDEX('WORK PACKAGES'!$A$2:$A$100,MATCH($F170,'WORK PACKAGES'!$D$2:$D$100,0)),""))</f>
        <v/>
      </c>
      <c r="H170" s="64">
        <f>IF($F170="","",INDEX('WORK PACKAGES'!$E$2:$E$100,MATCH($F170,'WORK PACKAGES'!$D$2:$D$100,0)))</f>
        <v/>
      </c>
      <c r="I170" s="78" t="n"/>
      <c r="J170" s="78" t="n"/>
      <c r="K170" s="67" t="n"/>
      <c r="L170" s="66" t="n"/>
      <c r="M170" s="78" t="n"/>
      <c r="N170" s="79" t="n"/>
      <c r="O170" s="67" t="n"/>
      <c r="P170" s="79" t="n"/>
      <c r="R170" s="63">
        <f>IF(Q170="","",IF(Q170="Open",TODAY()-N170,"--"))</f>
        <v/>
      </c>
      <c r="S170" s="63">
        <f>IF(Q170="","",IF(Q170="Closed",P170-N170,"--"))</f>
        <v/>
      </c>
      <c r="W170" s="50" t="n"/>
    </row>
    <row r="171" ht="15" customHeight="1" s="130">
      <c r="B171" s="64">
        <f>IF(C171="","",B170+1)</f>
        <v/>
      </c>
      <c r="C171" s="77" t="n"/>
      <c r="D171" s="77" t="n"/>
      <c r="E171" s="82" t="n"/>
      <c r="F171" s="77" t="n"/>
      <c r="G171" s="64">
        <f>IF($F171="","",IFERROR(INDEX('WORK PACKAGES'!$A$2:$A$100,MATCH($F171,'WORK PACKAGES'!$D$2:$D$100,0)),""))</f>
        <v/>
      </c>
      <c r="H171" s="64">
        <f>IF($F171="","",INDEX('WORK PACKAGES'!$E$2:$E$100,MATCH($F171,'WORK PACKAGES'!$D$2:$D$100,0)))</f>
        <v/>
      </c>
      <c r="I171" s="78" t="n"/>
      <c r="J171" s="78" t="n"/>
      <c r="K171" s="67" t="n"/>
      <c r="L171" s="66" t="n"/>
      <c r="M171" s="78" t="n"/>
      <c r="N171" s="79" t="n"/>
      <c r="O171" s="79" t="n"/>
      <c r="P171" s="79" t="n"/>
      <c r="R171" s="63">
        <f>IF(Q171="","",IF(Q171="Open",TODAY()-N171,"--"))</f>
        <v/>
      </c>
      <c r="S171" s="63">
        <f>IF(Q171="","",IF(Q171="Closed",P171-N171,"--"))</f>
        <v/>
      </c>
      <c r="W171" s="50" t="n"/>
    </row>
    <row r="172" ht="15" customHeight="1" s="130">
      <c r="B172" s="64">
        <f>IF(C172="","",B171+1)</f>
        <v/>
      </c>
      <c r="C172" s="77" t="n"/>
      <c r="D172" s="77" t="n"/>
      <c r="E172" s="82" t="n"/>
      <c r="F172" s="77" t="n"/>
      <c r="G172" s="64">
        <f>IF($F172="","",IFERROR(INDEX('WORK PACKAGES'!$A$2:$A$100,MATCH($F172,'WORK PACKAGES'!$D$2:$D$100,0)),""))</f>
        <v/>
      </c>
      <c r="H172" s="64">
        <f>IF($F172="","",INDEX('WORK PACKAGES'!$E$2:$E$100,MATCH($F172,'WORK PACKAGES'!$D$2:$D$100,0)))</f>
        <v/>
      </c>
      <c r="I172" s="78" t="n"/>
      <c r="J172" s="78" t="n"/>
      <c r="K172" s="78" t="n"/>
      <c r="L172" s="66" t="n"/>
      <c r="M172" s="78" t="n"/>
      <c r="N172" s="79" t="n"/>
      <c r="O172" s="67" t="n"/>
      <c r="P172" s="79" t="n"/>
      <c r="R172" s="63">
        <f>IF(Q172="","",IF(Q172="Open",TODAY()-N172,"--"))</f>
        <v/>
      </c>
      <c r="S172" s="63">
        <f>IF(Q172="","",IF(Q172="Closed",P172-N172,"--"))</f>
        <v/>
      </c>
      <c r="W172" s="50" t="n"/>
    </row>
    <row r="173" ht="15" customHeight="1" s="130">
      <c r="B173" s="64">
        <f>IF(C173="","",B172+1)</f>
        <v/>
      </c>
      <c r="C173" s="77" t="n"/>
      <c r="D173" s="77" t="n"/>
      <c r="E173" s="82" t="n"/>
      <c r="F173" s="77" t="n"/>
      <c r="G173" s="64">
        <f>IF($F173="","",IFERROR(INDEX('WORK PACKAGES'!$A$2:$A$100,MATCH($F173,'WORK PACKAGES'!$D$2:$D$100,0)),""))</f>
        <v/>
      </c>
      <c r="H173" s="64">
        <f>IF($F173="","",INDEX('WORK PACKAGES'!$E$2:$E$100,MATCH($F173,'WORK PACKAGES'!$D$2:$D$100,0)))</f>
        <v/>
      </c>
      <c r="I173" s="78" t="n"/>
      <c r="J173" s="78" t="n"/>
      <c r="K173" s="78" t="n"/>
      <c r="L173" s="66" t="n"/>
      <c r="M173" s="78" t="n"/>
      <c r="N173" s="79" t="n"/>
      <c r="O173" s="67" t="n"/>
      <c r="P173" s="79" t="n"/>
      <c r="R173" s="63">
        <f>IF(Q173="","",IF(Q173="Open",TODAY()-N173,"--"))</f>
        <v/>
      </c>
      <c r="S173" s="63">
        <f>IF(Q173="","",IF(Q173="Closed",P173-N173,"--"))</f>
        <v/>
      </c>
      <c r="W173" s="50" t="n"/>
    </row>
    <row r="174" ht="15" customHeight="1" s="130">
      <c r="B174" s="64">
        <f>IF(C174="","",B173+1)</f>
        <v/>
      </c>
      <c r="C174" s="65" t="n"/>
      <c r="D174" s="77" t="n"/>
      <c r="E174" s="82" t="n"/>
      <c r="F174" s="77" t="n"/>
      <c r="G174" s="64">
        <f>IF($F174="","",IFERROR(INDEX('WORK PACKAGES'!$A$2:$A$100,MATCH($F174,'WORK PACKAGES'!$D$2:$D$100,0)),""))</f>
        <v/>
      </c>
      <c r="H174" s="64">
        <f>IF($F174="","",INDEX('WORK PACKAGES'!$E$2:$E$100,MATCH($F174,'WORK PACKAGES'!$D$2:$D$100,0)))</f>
        <v/>
      </c>
      <c r="I174" s="78" t="n"/>
      <c r="J174" s="78" t="n"/>
      <c r="K174" s="78" t="n"/>
      <c r="L174" s="66" t="n"/>
      <c r="M174" s="78" t="n"/>
      <c r="N174" s="79" t="n"/>
      <c r="O174" s="67" t="n"/>
      <c r="P174" s="79" t="n"/>
      <c r="R174" s="63">
        <f>IF(Q174="","",IF(Q174="Open",TODAY()-N174,"--"))</f>
        <v/>
      </c>
      <c r="S174" s="63">
        <f>IF(Q174="","",IF(Q174="Closed",P174-N174,"--"))</f>
        <v/>
      </c>
      <c r="W174" s="50" t="n"/>
    </row>
    <row r="175" ht="15" customHeight="1" s="130">
      <c r="B175" s="64">
        <f>IF(C175="","",B174+1)</f>
        <v/>
      </c>
      <c r="C175" s="77" t="n"/>
      <c r="D175" s="65" t="n"/>
      <c r="E175" s="66" t="n"/>
      <c r="F175" s="77" t="n"/>
      <c r="G175" s="64">
        <f>IF($F175="","",IFERROR(INDEX('WORK PACKAGES'!$A$2:$A$100,MATCH($F175,'WORK PACKAGES'!$D$2:$D$100,0)),""))</f>
        <v/>
      </c>
      <c r="H175" s="64">
        <f>IF($F175="","",INDEX('WORK PACKAGES'!$E$2:$E$100,MATCH($F175,'WORK PACKAGES'!$D$2:$D$100,0)))</f>
        <v/>
      </c>
      <c r="I175" s="78" t="n"/>
      <c r="J175" s="78" t="n"/>
      <c r="K175" s="78" t="n"/>
      <c r="L175" s="66" t="n"/>
      <c r="M175" s="78" t="n"/>
      <c r="N175" s="79" t="n"/>
      <c r="O175" s="78" t="n"/>
      <c r="P175" s="79" t="n"/>
      <c r="R175" s="63">
        <f>IF(Q175="","",IF(Q175="Open",TODAY()-N175,"--"))</f>
        <v/>
      </c>
      <c r="S175" s="63">
        <f>IF(Q175="","",IF(Q175="Closed",P175-N175,"--"))</f>
        <v/>
      </c>
      <c r="W175" s="50" t="n"/>
    </row>
    <row r="176" ht="15" customHeight="1" s="130">
      <c r="B176" s="64">
        <f>IF(C176="","",B175+1)</f>
        <v/>
      </c>
      <c r="C176" s="77" t="n"/>
      <c r="D176" s="77" t="n"/>
      <c r="E176" s="82" t="n"/>
      <c r="F176" s="77" t="n"/>
      <c r="G176" s="64">
        <f>IF($F176="","",IFERROR(INDEX('WORK PACKAGES'!$A$2:$A$100,MATCH($F176,'WORK PACKAGES'!$D$2:$D$100,0)),""))</f>
        <v/>
      </c>
      <c r="H176" s="64">
        <f>IF($F176="","",INDEX('WORK PACKAGES'!$E$2:$E$100,MATCH($F176,'WORK PACKAGES'!$D$2:$D$100,0)))</f>
        <v/>
      </c>
      <c r="I176" s="78" t="n"/>
      <c r="J176" s="78" t="n"/>
      <c r="K176" s="78" t="n"/>
      <c r="L176" s="66" t="n"/>
      <c r="M176" s="78" t="n"/>
      <c r="N176" s="79" t="n"/>
      <c r="O176" s="67" t="n"/>
      <c r="P176" s="79" t="n"/>
      <c r="R176" s="63">
        <f>IF(Q176="","",IF(Q176="Open",TODAY()-N176,"--"))</f>
        <v/>
      </c>
      <c r="S176" s="63">
        <f>IF(Q176="","",IF(Q176="Closed",P176-N176,"--"))</f>
        <v/>
      </c>
      <c r="W176" s="50" t="n"/>
    </row>
    <row r="177" ht="15" customHeight="1" s="130">
      <c r="B177" s="64">
        <f>IF(C177="","",B176+1)</f>
        <v/>
      </c>
      <c r="C177" s="77" t="n"/>
      <c r="D177" s="77" t="n"/>
      <c r="E177" s="82" t="n"/>
      <c r="F177" s="77" t="n"/>
      <c r="G177" s="64">
        <f>IF($F177="","",IFERROR(INDEX('WORK PACKAGES'!$A$2:$A$100,MATCH($F177,'WORK PACKAGES'!$D$2:$D$100,0)),""))</f>
        <v/>
      </c>
      <c r="H177" s="64" t="n"/>
      <c r="I177" s="78" t="n"/>
      <c r="J177" s="78" t="n"/>
      <c r="K177" s="67" t="n"/>
      <c r="L177" s="66" t="n"/>
      <c r="M177" s="78" t="n"/>
      <c r="N177" s="79" t="n"/>
      <c r="O177" s="78" t="n"/>
      <c r="P177" s="79" t="n"/>
      <c r="R177" s="63">
        <f>IF(Q177="","",IF(Q177="Open",TODAY()-N177,"--"))</f>
        <v/>
      </c>
      <c r="S177" s="63">
        <f>IF(Q177="","",IF(Q177="Closed",P177-N177,"--"))</f>
        <v/>
      </c>
      <c r="W177" s="50" t="n"/>
    </row>
    <row r="178" ht="15" customHeight="1" s="130">
      <c r="B178" s="64">
        <f>IF(C178="","",B177+1)</f>
        <v/>
      </c>
      <c r="C178" s="77" t="n"/>
      <c r="D178" s="77" t="n"/>
      <c r="E178" s="82" t="n"/>
      <c r="F178" s="77" t="n"/>
      <c r="G178" s="64">
        <f>IF($F178="","",IFERROR(INDEX('WORK PACKAGES'!$A$2:$A$100,MATCH($F178,'WORK PACKAGES'!$D$2:$D$100,0)),""))</f>
        <v/>
      </c>
      <c r="H178" s="64" t="n"/>
      <c r="I178" s="78" t="n"/>
      <c r="J178" s="78" t="n"/>
      <c r="K178" s="78" t="n"/>
      <c r="L178" s="82" t="n"/>
      <c r="M178" s="78" t="n"/>
      <c r="N178" s="79" t="n"/>
      <c r="O178" s="78" t="n"/>
      <c r="P178" s="79" t="n"/>
      <c r="R178" s="63">
        <f>IF(Q178="","",IF(Q178="Open",TODAY()-N178,"--"))</f>
        <v/>
      </c>
      <c r="S178" s="63">
        <f>IF(Q178="","",IF(Q178="Closed",P178-N178,"--"))</f>
        <v/>
      </c>
      <c r="W178" s="50" t="n"/>
    </row>
    <row r="179" ht="15" customHeight="1" s="130">
      <c r="B179" s="64">
        <f>IF(C179="","",B178+1)</f>
        <v/>
      </c>
      <c r="C179" s="77" t="n"/>
      <c r="D179" s="77" t="n"/>
      <c r="E179" s="82" t="n"/>
      <c r="F179" s="77" t="n"/>
      <c r="G179" s="64">
        <f>IF($F179="","",IFERROR(INDEX('WORK PACKAGES'!$A$2:$A$100,MATCH($F179,'WORK PACKAGES'!$D$2:$D$100,0)),""))</f>
        <v/>
      </c>
      <c r="H179" s="64" t="n"/>
      <c r="I179" s="78" t="n"/>
      <c r="J179" s="78" t="n"/>
      <c r="K179" s="78" t="n"/>
      <c r="L179" s="82" t="n"/>
      <c r="M179" s="78" t="n"/>
      <c r="N179" s="79" t="n"/>
      <c r="O179" s="78" t="n"/>
      <c r="P179" s="79" t="n"/>
      <c r="R179" s="63">
        <f>IF(Q179="","",IF(Q179="Open",TODAY()-N179,"--"))</f>
        <v/>
      </c>
      <c r="S179" s="63">
        <f>IF(Q179="","",IF(Q179="Closed",P179-N179,"--"))</f>
        <v/>
      </c>
      <c r="W179" s="50" t="n"/>
    </row>
    <row r="180" ht="15" customHeight="1" s="130">
      <c r="B180" s="64">
        <f>IF(C180="","",B179+1)</f>
        <v/>
      </c>
      <c r="C180" s="77" t="n"/>
      <c r="D180" s="77" t="n"/>
      <c r="E180" s="82" t="n"/>
      <c r="F180" s="77" t="n"/>
      <c r="G180" s="64">
        <f>IF($F180="","",IFERROR(INDEX('WORK PACKAGES'!$A$2:$A$100,MATCH($F180,'WORK PACKAGES'!$D$2:$D$100,0)),""))</f>
        <v/>
      </c>
      <c r="H180" s="64" t="n"/>
      <c r="I180" s="78" t="n"/>
      <c r="J180" s="78" t="n"/>
      <c r="K180" s="78" t="n"/>
      <c r="L180" s="82" t="n"/>
      <c r="M180" s="78" t="n"/>
      <c r="N180" s="79" t="n"/>
      <c r="O180" s="78" t="n"/>
      <c r="P180" s="79" t="n"/>
      <c r="R180" s="63">
        <f>IF(Q180="","",IF(Q180="Open",TODAY()-N180,"--"))</f>
        <v/>
      </c>
      <c r="S180" s="63">
        <f>IF(Q180="","",IF(Q180="Closed",P180-N180,"--"))</f>
        <v/>
      </c>
      <c r="W180" s="50" t="n"/>
    </row>
    <row r="181" ht="15" customHeight="1" s="130">
      <c r="B181" s="64">
        <f>IF(C181="","",B180+1)</f>
        <v/>
      </c>
      <c r="C181" s="77" t="n"/>
      <c r="D181" s="65" t="n"/>
      <c r="E181" s="82" t="n"/>
      <c r="F181" s="77" t="n"/>
      <c r="G181" s="64">
        <f>IF($F181="","",IFERROR(INDEX('WORK PACKAGES'!$A$2:$A$100,MATCH($F181,'WORK PACKAGES'!$D$2:$D$100,0)),""))</f>
        <v/>
      </c>
      <c r="H181" s="64" t="n"/>
      <c r="I181" s="78" t="n"/>
      <c r="J181" s="78" t="n"/>
      <c r="K181" s="78" t="n"/>
      <c r="L181" s="82" t="n"/>
      <c r="M181" s="78" t="n"/>
      <c r="N181" s="79" t="n"/>
      <c r="O181" s="89" t="n"/>
      <c r="P181" s="79" t="n"/>
      <c r="R181" s="63">
        <f>IF(Q181="","",IF(Q181="Open",TODAY()-N181,"--"))</f>
        <v/>
      </c>
      <c r="S181" s="63">
        <f>IF(Q181="","",IF(Q181="Closed",P181-N181,"--"))</f>
        <v/>
      </c>
      <c r="W181" s="50" t="n"/>
    </row>
    <row r="182" ht="15" customHeight="1" s="130">
      <c r="B182" s="64">
        <f>IF(C182="","",B181+1)</f>
        <v/>
      </c>
      <c r="C182" s="77" t="n"/>
      <c r="D182" s="77" t="n"/>
      <c r="E182" s="82" t="n"/>
      <c r="F182" s="77" t="n"/>
      <c r="G182" s="64">
        <f>IF($F182="","",IFERROR(INDEX('WORK PACKAGES'!$A$2:$A$100,MATCH($F182,'WORK PACKAGES'!$D$2:$D$100,0)),""))</f>
        <v/>
      </c>
      <c r="H182" s="64" t="n"/>
      <c r="I182" s="78" t="n"/>
      <c r="J182" s="78" t="n"/>
      <c r="K182" s="78" t="n"/>
      <c r="L182" s="82" t="n"/>
      <c r="M182" s="78" t="n"/>
      <c r="N182" s="79" t="n"/>
      <c r="O182" s="78" t="n"/>
      <c r="P182" s="79" t="n"/>
      <c r="R182" s="63">
        <f>IF(Q182="","",IF(Q182="Open",TODAY()-N182,"--"))</f>
        <v/>
      </c>
      <c r="S182" s="63">
        <f>IF(Q182="","",IF(Q182="Closed",P182-N182,"--"))</f>
        <v/>
      </c>
      <c r="W182" s="50" t="n"/>
    </row>
    <row r="183" ht="15" customHeight="1" s="130">
      <c r="B183" s="64">
        <f>IF(C183="","",B182+1)</f>
        <v/>
      </c>
      <c r="C183" s="90" t="n"/>
      <c r="D183" s="77" t="n"/>
      <c r="E183" s="82" t="n"/>
      <c r="F183" s="77" t="n"/>
      <c r="G183" s="64">
        <f>IF($F183="","",IFERROR(INDEX('WORK PACKAGES'!$A$2:$A$100,MATCH($F183,'WORK PACKAGES'!$D$2:$D$100,0)),""))</f>
        <v/>
      </c>
      <c r="H183" s="64" t="n"/>
      <c r="I183" s="78" t="n"/>
      <c r="J183" s="78" t="n"/>
      <c r="K183" s="81" t="n"/>
      <c r="L183" s="91" t="n"/>
      <c r="M183" s="78" t="n"/>
      <c r="N183" s="79" t="n"/>
      <c r="O183" s="78" t="n"/>
      <c r="P183" s="79" t="n"/>
      <c r="R183" s="63">
        <f>IF(Q183="","",IF(Q183="Open",TODAY()-N183,"--"))</f>
        <v/>
      </c>
      <c r="S183" s="63">
        <f>IF(Q183="","",IF(Q183="Closed",P183-N183,"--"))</f>
        <v/>
      </c>
      <c r="W183" s="50" t="n"/>
    </row>
    <row r="184" ht="15" customHeight="1" s="130">
      <c r="B184" s="64">
        <f>IF(C184="","",B183+1)</f>
        <v/>
      </c>
      <c r="C184" s="65" t="n"/>
      <c r="D184" s="77" t="n"/>
      <c r="E184" s="82" t="n"/>
      <c r="F184" s="77" t="n"/>
      <c r="G184" s="64">
        <f>IF($F184="","",IFERROR(INDEX('WORK PACKAGES'!$A$2:$A$100,MATCH($F184,'WORK PACKAGES'!$D$2:$D$100,0)),""))</f>
        <v/>
      </c>
      <c r="H184" s="64" t="n"/>
      <c r="I184" s="78" t="n"/>
      <c r="J184" s="78" t="n"/>
      <c r="K184" s="78" t="n"/>
      <c r="L184" s="66" t="n"/>
      <c r="M184" s="78" t="n"/>
      <c r="N184" s="79" t="n"/>
      <c r="O184" s="78" t="n"/>
      <c r="P184" s="79" t="n"/>
      <c r="R184" s="63">
        <f>IF(Q184="","",IF(Q184="Open",TODAY()-N184,"--"))</f>
        <v/>
      </c>
      <c r="S184" s="63">
        <f>IF(Q184="","",IF(Q184="Closed",P184-N184,"--"))</f>
        <v/>
      </c>
      <c r="W184" s="50" t="n"/>
    </row>
    <row r="185" ht="15" customHeight="1" s="130">
      <c r="B185" s="64">
        <f>IF(C185="","",B184+1)</f>
        <v/>
      </c>
      <c r="C185" s="77" t="n"/>
      <c r="D185" s="65" t="n"/>
      <c r="E185" s="66" t="n"/>
      <c r="F185" s="77" t="n"/>
      <c r="G185" s="64">
        <f>IF($F185="","",IFERROR(INDEX('WORK PACKAGES'!$A$2:$A$100,MATCH($F185,'WORK PACKAGES'!$D$2:$D$100,0)),""))</f>
        <v/>
      </c>
      <c r="H185" s="64" t="n"/>
      <c r="I185" s="78" t="n"/>
      <c r="J185" s="78" t="n"/>
      <c r="K185" s="78" t="n"/>
      <c r="L185" s="66" t="n"/>
      <c r="M185" s="78" t="n"/>
      <c r="N185" s="79" t="n"/>
      <c r="O185" s="78" t="n"/>
      <c r="P185" s="79" t="n"/>
      <c r="R185" s="63">
        <f>IF(Q185="","",IF(Q185="Open",TODAY()-N185,"--"))</f>
        <v/>
      </c>
      <c r="S185" s="63">
        <f>IF(Q185="","",IF(Q185="Closed",P185-N185,"--"))</f>
        <v/>
      </c>
      <c r="W185" s="50" t="n"/>
    </row>
    <row r="186" ht="15" customHeight="1" s="130">
      <c r="B186" s="64">
        <f>IF(C186="","",B185+1)</f>
        <v/>
      </c>
      <c r="C186" s="65" t="n"/>
      <c r="D186" s="65" t="n"/>
      <c r="E186" s="66" t="n"/>
      <c r="F186" s="77" t="n"/>
      <c r="G186" s="64">
        <f>IF($F186="","",IFERROR(INDEX('WORK PACKAGES'!$A$2:$A$100,MATCH($F186,'WORK PACKAGES'!$D$2:$D$100,0)),""))</f>
        <v/>
      </c>
      <c r="H186" s="64" t="n"/>
      <c r="I186" s="67" t="n"/>
      <c r="J186" s="78" t="n"/>
      <c r="K186" s="78" t="n"/>
      <c r="L186" s="66" t="n"/>
      <c r="M186" s="78" t="n"/>
      <c r="N186" s="79" t="n"/>
      <c r="O186" s="67" t="n"/>
      <c r="P186" s="79" t="n"/>
      <c r="R186" s="63">
        <f>IF(Q186="","",IF(Q186="Open",TODAY()-N186,"--"))</f>
        <v/>
      </c>
      <c r="S186" s="63">
        <f>IF(Q186="","",IF(Q186="Closed",P186-N186,"--"))</f>
        <v/>
      </c>
      <c r="W186" s="50" t="n"/>
    </row>
    <row r="187" ht="15" customHeight="1" s="130">
      <c r="B187" s="64">
        <f>IF(C187="","",B186+1)</f>
        <v/>
      </c>
      <c r="C187" s="65" t="n"/>
      <c r="D187" s="65" t="n"/>
      <c r="E187" s="66" t="n"/>
      <c r="F187" s="77" t="n"/>
      <c r="G187" s="64">
        <f>IF($F187="","",IFERROR(INDEX('WORK PACKAGES'!$A$2:$A$100,MATCH($F187,'WORK PACKAGES'!$D$2:$D$100,0)),""))</f>
        <v/>
      </c>
      <c r="H187" s="64" t="n"/>
      <c r="I187" s="67" t="n"/>
      <c r="J187" s="78" t="n"/>
      <c r="K187" s="78" t="n"/>
      <c r="L187" s="82" t="n"/>
      <c r="M187" s="78" t="n"/>
      <c r="N187" s="79" t="n"/>
      <c r="O187" s="89" t="n"/>
      <c r="P187" s="79" t="n"/>
      <c r="R187" s="63">
        <f>IF(Q187="","",IF(Q187="Open",TODAY()-N187,"--"))</f>
        <v/>
      </c>
      <c r="S187" s="63">
        <f>IF(Q187="","",IF(Q187="Closed",P187-N187,"--"))</f>
        <v/>
      </c>
      <c r="W187" s="50" t="n"/>
    </row>
    <row r="188" ht="15" customHeight="1" s="130">
      <c r="B188" s="64">
        <f>IF(C188="","",B187+1)</f>
        <v/>
      </c>
      <c r="C188" s="65" t="n"/>
      <c r="D188" s="65" t="n"/>
      <c r="E188" s="66" t="n"/>
      <c r="F188" s="77" t="n"/>
      <c r="G188" s="64">
        <f>IF($F188="","",IFERROR(INDEX('WORK PACKAGES'!$A$2:$A$100,MATCH($F188,'WORK PACKAGES'!$D$2:$D$100,0)),""))</f>
        <v/>
      </c>
      <c r="H188" s="64" t="n"/>
      <c r="I188" s="78" t="n"/>
      <c r="J188" s="78" t="n"/>
      <c r="K188" s="78" t="n"/>
      <c r="L188" s="66" t="n"/>
      <c r="M188" s="78" t="n"/>
      <c r="N188" s="79" t="n"/>
      <c r="O188" s="78" t="n"/>
      <c r="P188" s="79" t="n"/>
      <c r="R188" s="63">
        <f>IF(Q188="","",IF(Q188="Open",TODAY()-N188,"--"))</f>
        <v/>
      </c>
      <c r="S188" s="63">
        <f>IF(Q188="","",IF(Q188="Closed",P188-N188,"--"))</f>
        <v/>
      </c>
      <c r="W188" s="50" t="n"/>
    </row>
    <row r="189" ht="15" customHeight="1" s="130">
      <c r="B189" s="64">
        <f>IF(C189="","",B188+1)</f>
        <v/>
      </c>
      <c r="C189" s="77" t="n"/>
      <c r="D189" s="77" t="n"/>
      <c r="E189" s="82" t="n"/>
      <c r="F189" s="77" t="n"/>
      <c r="G189" s="64">
        <f>IF($F189="","",IFERROR(INDEX('WORK PACKAGES'!$A$2:$A$100,MATCH($F189,'WORK PACKAGES'!$D$2:$D$100,0)),""))</f>
        <v/>
      </c>
      <c r="H189" s="64" t="n"/>
      <c r="I189" s="78" t="n"/>
      <c r="J189" s="78" t="n"/>
      <c r="K189" s="78" t="n"/>
      <c r="L189" s="91" t="n"/>
      <c r="M189" s="78" t="n"/>
      <c r="N189" s="79" t="n"/>
      <c r="O189" s="78" t="n"/>
      <c r="P189" s="79" t="n"/>
      <c r="R189" s="63">
        <f>IF(Q189="","",IF(Q189="Open",TODAY()-N189,"--"))</f>
        <v/>
      </c>
      <c r="S189" s="63">
        <f>IF(Q189="","",IF(Q189="Closed",P189-N189,"--"))</f>
        <v/>
      </c>
      <c r="W189" s="50" t="n"/>
    </row>
    <row r="190" ht="15" customHeight="1" s="130">
      <c r="B190" s="64">
        <f>IF(C190="","",B189+1)</f>
        <v/>
      </c>
      <c r="C190" s="77" t="n"/>
      <c r="D190" s="77" t="n"/>
      <c r="E190" s="82" t="n"/>
      <c r="F190" s="77" t="n"/>
      <c r="G190" s="64">
        <f>IF($F190="","",IFERROR(INDEX('WORK PACKAGES'!$A$2:$A$100,MATCH($F190,'WORK PACKAGES'!$D$2:$D$100,0)),""))</f>
        <v/>
      </c>
      <c r="H190" s="64" t="n"/>
      <c r="I190" s="78" t="n"/>
      <c r="J190" s="78" t="n"/>
      <c r="K190" s="78" t="n"/>
      <c r="L190" s="66" t="n"/>
      <c r="M190" s="78" t="n"/>
      <c r="N190" s="79" t="n"/>
      <c r="O190" s="78" t="n"/>
      <c r="P190" s="79" t="n"/>
      <c r="R190" s="63">
        <f>IF(Q190="","",IF(Q190="Open",TODAY()-N190,"--"))</f>
        <v/>
      </c>
      <c r="S190" s="63">
        <f>IF(Q190="","",IF(Q190="Closed",P190-N190,"--"))</f>
        <v/>
      </c>
      <c r="W190" s="50" t="n"/>
    </row>
    <row r="191" ht="15" customHeight="1" s="130">
      <c r="B191" s="64">
        <f>IF(C191="","",B190+1)</f>
        <v/>
      </c>
      <c r="C191" s="77" t="n"/>
      <c r="D191" s="77" t="n"/>
      <c r="E191" s="82" t="n"/>
      <c r="F191" s="77" t="n"/>
      <c r="G191" s="64">
        <f>IF($F191="","",IFERROR(INDEX('WORK PACKAGES'!$A$2:$A$100,MATCH($F191,'WORK PACKAGES'!$D$2:$D$100,0)),""))</f>
        <v/>
      </c>
      <c r="H191" s="64" t="n"/>
      <c r="I191" s="78" t="n"/>
      <c r="J191" s="78" t="n"/>
      <c r="K191" s="78" t="n"/>
      <c r="L191" s="82" t="n"/>
      <c r="M191" s="78" t="n"/>
      <c r="N191" s="79" t="n"/>
      <c r="O191" s="78" t="n"/>
      <c r="P191" s="79" t="n"/>
      <c r="R191" s="63">
        <f>IF(Q191="","",IF(Q191="Open",TODAY()-N191,"--"))</f>
        <v/>
      </c>
      <c r="S191" s="63">
        <f>IF(Q191="","",IF(Q191="Closed",P191-N191,"--"))</f>
        <v/>
      </c>
      <c r="W191" s="50" t="n"/>
    </row>
    <row r="192" ht="15" customHeight="1" s="130">
      <c r="B192" s="64">
        <f>IF(C192="","",B191+1)</f>
        <v/>
      </c>
      <c r="C192" s="77" t="n"/>
      <c r="D192" s="77" t="n"/>
      <c r="E192" s="82" t="n"/>
      <c r="F192" s="77" t="n"/>
      <c r="G192" s="64">
        <f>IF($F192="","",IFERROR(INDEX('WORK PACKAGES'!$A$2:$A$100,MATCH($F192,'WORK PACKAGES'!$D$2:$D$100,0)),""))</f>
        <v/>
      </c>
      <c r="H192" s="64" t="n"/>
      <c r="I192" s="78" t="n"/>
      <c r="J192" s="78" t="n"/>
      <c r="K192" s="78" t="n"/>
      <c r="L192" s="82" t="n"/>
      <c r="M192" s="78" t="n"/>
      <c r="N192" s="79" t="n"/>
      <c r="O192" s="78" t="n"/>
      <c r="P192" s="79" t="n"/>
      <c r="R192" s="63">
        <f>IF(Q192="","",IF(Q192="Open",TODAY()-N192,"--"))</f>
        <v/>
      </c>
      <c r="S192" s="63">
        <f>IF(Q192="","",IF(Q192="Closed",P192-N192,"--"))</f>
        <v/>
      </c>
      <c r="W192" s="50" t="n"/>
    </row>
    <row r="193" ht="15" customHeight="1" s="130">
      <c r="B193" s="64">
        <f>IF(C193="","",B192+1)</f>
        <v/>
      </c>
      <c r="C193" s="77" t="n"/>
      <c r="D193" s="77" t="n"/>
      <c r="E193" s="82" t="n"/>
      <c r="F193" s="77" t="n"/>
      <c r="G193" s="64">
        <f>IF($F193="","",IFERROR(INDEX('WORK PACKAGES'!$A$2:$A$100,MATCH($F193,'WORK PACKAGES'!$D$2:$D$100,0)),""))</f>
        <v/>
      </c>
      <c r="H193" s="64" t="n"/>
      <c r="I193" s="78" t="n"/>
      <c r="J193" s="78" t="n"/>
      <c r="K193" s="78" t="n"/>
      <c r="L193" s="82" t="n"/>
      <c r="M193" s="78" t="n"/>
      <c r="N193" s="79" t="n"/>
      <c r="O193" s="78" t="n"/>
      <c r="P193" s="79" t="n"/>
      <c r="R193" s="63">
        <f>IF(Q193="","",IF(Q193="Open",TODAY()-N193,"--"))</f>
        <v/>
      </c>
      <c r="S193" s="63">
        <f>IF(Q193="","",IF(Q193="Closed",P193-N193,"--"))</f>
        <v/>
      </c>
      <c r="W193" s="50" t="n"/>
    </row>
    <row r="194" ht="15" customHeight="1" s="130">
      <c r="B194" s="64">
        <f>IF(C194="","",B193+1)</f>
        <v/>
      </c>
      <c r="C194" s="77" t="n"/>
      <c r="D194" s="77" t="n"/>
      <c r="E194" s="82" t="n"/>
      <c r="F194" s="77" t="n"/>
      <c r="G194" s="64">
        <f>IF($F194="","",IFERROR(INDEX('WORK PACKAGES'!$A$2:$A$100,MATCH($F194,'WORK PACKAGES'!$D$2:$D$100,0)),""))</f>
        <v/>
      </c>
      <c r="H194" s="64" t="n"/>
      <c r="I194" s="78" t="n"/>
      <c r="J194" s="78" t="n"/>
      <c r="K194" s="78" t="n"/>
      <c r="L194" s="82" t="n"/>
      <c r="M194" s="78" t="n"/>
      <c r="N194" s="79" t="n"/>
      <c r="O194" s="78" t="n"/>
      <c r="P194" s="79" t="n"/>
      <c r="R194" s="63">
        <f>IF(Q194="","",IF(Q194="Open",TODAY()-N194,"--"))</f>
        <v/>
      </c>
      <c r="S194" s="63">
        <f>IF(Q194="","",IF(Q194="Closed",P194-N194,"--"))</f>
        <v/>
      </c>
      <c r="W194" s="50" t="n"/>
    </row>
    <row r="195" ht="15" customHeight="1" s="130">
      <c r="B195" s="64">
        <f>IF(C195="","",B194+1)</f>
        <v/>
      </c>
      <c r="C195" s="77" t="n"/>
      <c r="D195" s="77" t="n"/>
      <c r="E195" s="82" t="n"/>
      <c r="F195" s="77" t="n"/>
      <c r="G195" s="64">
        <f>IF($F195="","",IFERROR(INDEX('WORK PACKAGES'!$A$2:$A$100,MATCH($F195,'WORK PACKAGES'!$D$2:$D$100,0)),""))</f>
        <v/>
      </c>
      <c r="H195" s="64" t="n"/>
      <c r="I195" s="78" t="n"/>
      <c r="J195" s="78" t="n"/>
      <c r="K195" s="78" t="n"/>
      <c r="L195" s="82" t="n"/>
      <c r="M195" s="78" t="n"/>
      <c r="N195" s="79" t="n"/>
      <c r="O195" s="78" t="n"/>
      <c r="P195" s="79" t="n"/>
      <c r="R195" s="63">
        <f>IF(Q195="","",IF(Q195="Open",TODAY()-N195,"--"))</f>
        <v/>
      </c>
      <c r="S195" s="63">
        <f>IF(Q195="","",IF(Q195="Closed",P195-N195,"--"))</f>
        <v/>
      </c>
      <c r="W195" s="50" t="n"/>
    </row>
    <row r="196" ht="15" customHeight="1" s="130">
      <c r="B196" s="64">
        <f>IF(C196="","",B195+1)</f>
        <v/>
      </c>
      <c r="C196" s="77" t="n"/>
      <c r="D196" s="65" t="n"/>
      <c r="E196" s="82" t="n"/>
      <c r="F196" s="77" t="n"/>
      <c r="G196" s="64">
        <f>IF($F196="","",IFERROR(INDEX('WORK PACKAGES'!$A$2:$A$100,MATCH($F196,'WORK PACKAGES'!$D$2:$D$100,0)),""))</f>
        <v/>
      </c>
      <c r="H196" s="64" t="n"/>
      <c r="I196" s="78" t="n"/>
      <c r="J196" s="78" t="n"/>
      <c r="K196" s="78" t="n"/>
      <c r="L196" s="82" t="n"/>
      <c r="M196" s="78" t="n"/>
      <c r="N196" s="79" t="n"/>
      <c r="O196" s="78" t="n"/>
      <c r="P196" s="79" t="n"/>
      <c r="R196" s="63">
        <f>IF(Q196="","",IF(Q196="Open",TODAY()-N196,"--"))</f>
        <v/>
      </c>
      <c r="S196" s="63">
        <f>IF(Q196="","",IF(Q196="Closed",P196-N196,"--"))</f>
        <v/>
      </c>
      <c r="W196" s="50" t="n"/>
    </row>
    <row r="197" ht="15" customHeight="1" s="130">
      <c r="B197" s="64">
        <f>IF(C197="","",B196+1)</f>
        <v/>
      </c>
      <c r="C197" s="65" t="n"/>
      <c r="D197" s="77" t="n"/>
      <c r="E197" s="82" t="n"/>
      <c r="F197" s="77" t="n"/>
      <c r="G197" s="64">
        <f>IF($F197="","",IFERROR(INDEX('WORK PACKAGES'!$A$2:$A$100,MATCH($F197,'WORK PACKAGES'!$D$2:$D$100,0)),""))</f>
        <v/>
      </c>
      <c r="H197" s="64" t="n"/>
      <c r="I197" s="78" t="n"/>
      <c r="J197" s="78" t="n"/>
      <c r="K197" s="78" t="n"/>
      <c r="L197" s="66" t="n"/>
      <c r="M197" s="78" t="n"/>
      <c r="N197" s="79" t="n"/>
      <c r="O197" s="78" t="n"/>
      <c r="P197" s="79" t="n"/>
      <c r="R197" s="63">
        <f>IF(Q197="","",IF(Q197="Open",TODAY()-N197,"--"))</f>
        <v/>
      </c>
      <c r="S197" s="63">
        <f>IF(Q197="","",IF(Q197="Closed",P197-N197,"--"))</f>
        <v/>
      </c>
      <c r="W197" s="50" t="n"/>
    </row>
    <row r="198" ht="15" customHeight="1" s="130">
      <c r="B198" s="64">
        <f>IF(C198="","",B197+1)</f>
        <v/>
      </c>
      <c r="C198" s="65" t="n"/>
      <c r="D198" s="65" t="n"/>
      <c r="E198" s="82" t="n"/>
      <c r="F198" s="77" t="n"/>
      <c r="G198" s="64">
        <f>IF($F198="","",IFERROR(INDEX('WORK PACKAGES'!$A$2:$A$100,MATCH($F198,'WORK PACKAGES'!$D$2:$D$100,0)),""))</f>
        <v/>
      </c>
      <c r="H198" s="64" t="n"/>
      <c r="I198" s="78" t="n"/>
      <c r="J198" s="78" t="n"/>
      <c r="K198" s="78" t="n"/>
      <c r="L198" s="66" t="n"/>
      <c r="M198" s="78" t="n"/>
      <c r="N198" s="79" t="n"/>
      <c r="O198" s="78" t="n"/>
      <c r="P198" s="79" t="n"/>
      <c r="R198" s="63">
        <f>IF(Q198="","",IF(Q198="Open",TODAY()-N198,"--"))</f>
        <v/>
      </c>
      <c r="S198" s="63">
        <f>IF(Q198="","",IF(Q198="Closed",P198-N198,"--"))</f>
        <v/>
      </c>
      <c r="W198" s="50" t="n"/>
    </row>
    <row r="199" ht="15" customHeight="1" s="130">
      <c r="B199" s="64">
        <f>IF(C199="","",B198+1)</f>
        <v/>
      </c>
      <c r="C199" s="65" t="n"/>
      <c r="D199" s="65" t="n"/>
      <c r="E199" s="82" t="n"/>
      <c r="F199" s="77" t="n"/>
      <c r="G199" s="64">
        <f>IF($F199="","",IFERROR(INDEX('WORK PACKAGES'!$A$2:$A$100,MATCH($F199,'WORK PACKAGES'!$D$2:$D$100,0)),""))</f>
        <v/>
      </c>
      <c r="H199" s="64" t="n"/>
      <c r="I199" s="78" t="n"/>
      <c r="J199" s="78" t="n"/>
      <c r="K199" s="78" t="n"/>
      <c r="L199" s="66" t="n"/>
      <c r="M199" s="78" t="n"/>
      <c r="N199" s="79" t="n"/>
      <c r="O199" s="78" t="n"/>
      <c r="P199" s="79" t="n"/>
      <c r="R199" s="63">
        <f>IF(Q199="","",IF(Q199="Open",TODAY()-N199,"--"))</f>
        <v/>
      </c>
      <c r="S199" s="63">
        <f>IF(Q199="","",IF(Q199="Closed",P199-N199,"--"))</f>
        <v/>
      </c>
      <c r="W199" s="50" t="n"/>
    </row>
    <row r="200" ht="15" customHeight="1" s="130">
      <c r="B200" s="64">
        <f>IF(C200="","",B199+1)</f>
        <v/>
      </c>
      <c r="C200" s="65" t="n"/>
      <c r="D200" s="65" t="n"/>
      <c r="E200" s="82" t="n"/>
      <c r="F200" s="77" t="n"/>
      <c r="G200" s="64">
        <f>IF($F200="","",IFERROR(INDEX('WORK PACKAGES'!$A$2:$A$100,MATCH($F200,'WORK PACKAGES'!$D$2:$D$100,0)),""))</f>
        <v/>
      </c>
      <c r="H200" s="64" t="n"/>
      <c r="I200" s="78" t="n"/>
      <c r="J200" s="78" t="n"/>
      <c r="K200" s="78" t="n"/>
      <c r="L200" s="66" t="n"/>
      <c r="M200" s="78" t="n"/>
      <c r="N200" s="79" t="n"/>
      <c r="O200" s="78" t="n"/>
      <c r="P200" s="79" t="n"/>
      <c r="R200" s="63">
        <f>IF(Q200="","",IF(Q200="Open",TODAY()-N200,"--"))</f>
        <v/>
      </c>
      <c r="S200" s="63">
        <f>IF(Q200="","",IF(Q200="Closed",P200-N200,"--"))</f>
        <v/>
      </c>
      <c r="W200" s="50" t="n"/>
    </row>
    <row r="201" ht="15" customHeight="1" s="130">
      <c r="B201" s="64">
        <f>IF(C201="","",B200+1)</f>
        <v/>
      </c>
      <c r="C201" s="65" t="n"/>
      <c r="D201" s="77" t="n"/>
      <c r="E201" s="82" t="n"/>
      <c r="F201" s="77" t="n"/>
      <c r="G201" s="64">
        <f>IF($F201="","",IFERROR(INDEX('WORK PACKAGES'!$A$2:$A$100,MATCH($F201,'WORK PACKAGES'!$D$2:$D$100,0)),""))</f>
        <v/>
      </c>
      <c r="H201" s="64" t="n"/>
      <c r="I201" s="78" t="n"/>
      <c r="J201" s="78" t="n"/>
      <c r="K201" s="78" t="n"/>
      <c r="L201" s="66" t="n"/>
      <c r="M201" s="78" t="n"/>
      <c r="N201" s="79" t="n"/>
      <c r="O201" s="78" t="n"/>
      <c r="P201" s="79" t="n"/>
      <c r="R201" s="63">
        <f>IF(Q201="","",IF(Q201="Open",TODAY()-N201,"--"))</f>
        <v/>
      </c>
      <c r="S201" s="63">
        <f>IF(Q201="","",IF(Q201="Closed",P201-N201,"--"))</f>
        <v/>
      </c>
      <c r="W201" s="50" t="n"/>
    </row>
    <row r="202" ht="15" customHeight="1" s="130">
      <c r="B202" s="64" t="n"/>
      <c r="C202" s="65" t="n"/>
      <c r="D202" s="65" t="n"/>
      <c r="E202" s="82" t="n"/>
      <c r="F202" s="77" t="n"/>
      <c r="G202" s="64">
        <f>IF($F202="","",IFERROR(INDEX('WORK PACKAGES'!$A$2:$A$100,MATCH($F202,'WORK PACKAGES'!$D$2:$D$100,0)),""))</f>
        <v/>
      </c>
      <c r="H202" s="64" t="n"/>
      <c r="I202" s="67" t="n"/>
      <c r="J202" s="78" t="n"/>
      <c r="K202" s="78" t="n"/>
      <c r="L202" s="82" t="n"/>
      <c r="M202" s="67" t="n"/>
      <c r="N202" s="79" t="n"/>
      <c r="O202" s="78" t="n"/>
      <c r="P202" s="79" t="n"/>
      <c r="R202" s="63">
        <f>IF(Q202="","",IF(Q202="Open",TODAY()-N202,"--"))</f>
        <v/>
      </c>
      <c r="S202" s="63">
        <f>IF(Q202="","",IF(Q202="Closed",P202-N202,"--"))</f>
        <v/>
      </c>
      <c r="W202" s="50" t="n"/>
    </row>
    <row r="203" ht="15" customHeight="1" s="130">
      <c r="B203" s="64">
        <f>IF(C203="","",B202+1)</f>
        <v/>
      </c>
      <c r="C203" s="65" t="n"/>
      <c r="D203" s="65" t="n"/>
      <c r="E203" s="82" t="n"/>
      <c r="F203" s="77" t="n"/>
      <c r="G203" s="64">
        <f>IF($F203="","",IFERROR(INDEX('WORK PACKAGES'!$A$2:$A$100,MATCH($F203,'WORK PACKAGES'!$D$2:$D$100,0)),""))</f>
        <v/>
      </c>
      <c r="H203" s="64" t="n"/>
      <c r="I203" s="78" t="n"/>
      <c r="J203" s="78" t="n"/>
      <c r="K203" s="78" t="n"/>
      <c r="L203" s="66" t="n"/>
      <c r="M203" s="78" t="n"/>
      <c r="N203" s="79" t="n"/>
      <c r="O203" s="78" t="n"/>
      <c r="P203" s="79" t="n"/>
      <c r="R203" s="63">
        <f>IF(Q203="","",IF(Q203="Open",TODAY()-N203,"--"))</f>
        <v/>
      </c>
      <c r="S203" s="63">
        <f>IF(Q203="","",IF(Q203="Closed",P203-N203,"--"))</f>
        <v/>
      </c>
      <c r="W203" s="50" t="n"/>
    </row>
    <row r="204" ht="15" customHeight="1" s="130">
      <c r="B204" s="64">
        <f>IF(C204="","",B203+1)</f>
        <v/>
      </c>
      <c r="C204" s="65" t="n"/>
      <c r="D204" s="65" t="n"/>
      <c r="E204" s="82" t="n"/>
      <c r="F204" s="77" t="n"/>
      <c r="G204" s="64">
        <f>IF($F204="","",IFERROR(INDEX('WORK PACKAGES'!$A$2:$A$100,MATCH($F204,'WORK PACKAGES'!$D$2:$D$100,0)),""))</f>
        <v/>
      </c>
      <c r="H204" s="64" t="n"/>
      <c r="I204" s="78" t="n"/>
      <c r="J204" s="78" t="n"/>
      <c r="K204" s="78" t="n"/>
      <c r="L204" s="66" t="n"/>
      <c r="M204" s="78" t="n"/>
      <c r="N204" s="79" t="n"/>
      <c r="O204" s="78" t="n"/>
      <c r="P204" s="79" t="n"/>
      <c r="R204" s="63">
        <f>IF(Q204="","",IF(Q204="Open",TODAY()-N204,"--"))</f>
        <v/>
      </c>
      <c r="S204" s="63">
        <f>IF(Q204="","",IF(Q204="Closed",P204-N204,"--"))</f>
        <v/>
      </c>
      <c r="W204" s="50" t="n"/>
    </row>
    <row r="205" ht="15" customHeight="1" s="130">
      <c r="B205" s="64">
        <f>IF(C205="","",B204+1)</f>
        <v/>
      </c>
      <c r="C205" s="65" t="n"/>
      <c r="D205" s="65" t="n"/>
      <c r="E205" s="82" t="n"/>
      <c r="F205" s="77" t="n"/>
      <c r="G205" s="64">
        <f>IF($F205="","",IFERROR(INDEX('WORK PACKAGES'!$A$2:$A$100,MATCH($F205,'WORK PACKAGES'!$D$2:$D$100,0)),""))</f>
        <v/>
      </c>
      <c r="H205" s="64" t="n"/>
      <c r="I205" s="78" t="n"/>
      <c r="J205" s="78" t="n"/>
      <c r="K205" s="67" t="n"/>
      <c r="L205" s="82" t="n"/>
      <c r="M205" s="78" t="n"/>
      <c r="N205" s="79" t="n"/>
      <c r="O205" s="78" t="n"/>
      <c r="P205" s="79" t="n"/>
      <c r="R205" s="63">
        <f>IF(Q205="","",IF(Q205="Open",TODAY()-N205,"--"))</f>
        <v/>
      </c>
      <c r="S205" s="63">
        <f>IF(Q205="","",IF(Q205="Closed",P205-N205,"--"))</f>
        <v/>
      </c>
      <c r="W205" s="50" t="n"/>
    </row>
    <row r="206" ht="15" customHeight="1" s="130">
      <c r="B206" s="64">
        <f>IF(C206="","",B205+1)</f>
        <v/>
      </c>
      <c r="C206" s="65" t="n"/>
      <c r="D206" s="65" t="n"/>
      <c r="E206" s="82" t="n"/>
      <c r="F206" s="77" t="n"/>
      <c r="G206" s="64">
        <f>IF($F206="","",IFERROR(INDEX('WORK PACKAGES'!$A$2:$A$100,MATCH($F206,'WORK PACKAGES'!$D$2:$D$100,0)),""))</f>
        <v/>
      </c>
      <c r="H206" s="64" t="n"/>
      <c r="I206" s="78" t="n"/>
      <c r="J206" s="78" t="n"/>
      <c r="K206" s="67" t="n"/>
      <c r="L206" s="66" t="n"/>
      <c r="M206" s="78" t="n"/>
      <c r="N206" s="79" t="n"/>
      <c r="O206" s="78" t="n"/>
      <c r="P206" s="79" t="n"/>
      <c r="R206" s="63">
        <f>IF(Q206="","",IF(Q206="Open",TODAY()-N206,"--"))</f>
        <v/>
      </c>
      <c r="S206" s="63">
        <f>IF(Q206="","",IF(Q206="Closed",P206-N206,"--"))</f>
        <v/>
      </c>
      <c r="W206" s="50" t="n"/>
    </row>
    <row r="207" ht="15" customHeight="1" s="130">
      <c r="B207" s="64">
        <f>IF(C207="","",B206+1)</f>
        <v/>
      </c>
      <c r="C207" s="65" t="n"/>
      <c r="D207" s="65" t="n"/>
      <c r="E207" s="66" t="n"/>
      <c r="F207" s="77" t="n"/>
      <c r="G207" s="64">
        <f>IF($F207="","",IFERROR(INDEX('WORK PACKAGES'!$A$2:$A$100,MATCH($F207,'WORK PACKAGES'!$D$2:$D$100,0)),""))</f>
        <v/>
      </c>
      <c r="H207" s="64" t="n"/>
      <c r="I207" s="78" t="n"/>
      <c r="J207" s="78" t="n"/>
      <c r="K207" s="78" t="n"/>
      <c r="L207" s="82" t="n"/>
      <c r="M207" s="78" t="n"/>
      <c r="N207" s="79" t="n"/>
      <c r="O207" s="78" t="n"/>
      <c r="P207" s="79" t="n"/>
      <c r="R207" s="63">
        <f>IF(Q207="","",IF(Q207="Open",TODAY()-N207,"--"))</f>
        <v/>
      </c>
      <c r="S207" s="63">
        <f>IF(Q207="","",IF(Q207="Closed",P207-N207,"--"))</f>
        <v/>
      </c>
      <c r="W207" s="50" t="n"/>
    </row>
    <row r="208" ht="15" customHeight="1" s="130">
      <c r="B208" s="64">
        <f>IF(C208="","",B207+1)</f>
        <v/>
      </c>
      <c r="C208" s="65" t="n"/>
      <c r="D208" s="65" t="n"/>
      <c r="E208" s="66" t="n"/>
      <c r="F208" s="77" t="n"/>
      <c r="G208" s="64">
        <f>IF($F208="","",IFERROR(INDEX('WORK PACKAGES'!$A$2:$A$100,MATCH($F208,'WORK PACKAGES'!$D$2:$D$100,0)),""))</f>
        <v/>
      </c>
      <c r="H208" s="64" t="n"/>
      <c r="I208" s="67" t="n"/>
      <c r="J208" s="78" t="n"/>
      <c r="K208" s="78" t="n"/>
      <c r="L208" s="82" t="n"/>
      <c r="M208" s="78" t="n"/>
      <c r="N208" s="79" t="n"/>
      <c r="O208" s="78" t="n"/>
      <c r="P208" s="79" t="n"/>
      <c r="R208" s="63">
        <f>IF(Q208="","",IF(Q208="Open",TODAY()-N208,"--"))</f>
        <v/>
      </c>
      <c r="S208" s="63">
        <f>IF(Q208="","",IF(Q208="Closed",P208-N208,"--"))</f>
        <v/>
      </c>
      <c r="W208" s="50" t="n"/>
    </row>
    <row r="209" ht="15" customHeight="1" s="130">
      <c r="B209" s="64">
        <f>IF(C209="","",B208+1)</f>
        <v/>
      </c>
      <c r="C209" s="77" t="n"/>
      <c r="D209" s="77" t="n"/>
      <c r="E209" s="66" t="n"/>
      <c r="F209" s="77" t="n"/>
      <c r="G209" s="64">
        <f>IF($F209="","",IFERROR(INDEX('WORK PACKAGES'!$A$2:$A$100,MATCH($F209,'WORK PACKAGES'!$D$2:$D$100,0)),""))</f>
        <v/>
      </c>
      <c r="H209" s="64" t="n"/>
      <c r="I209" s="78" t="n"/>
      <c r="J209" s="78" t="n"/>
      <c r="K209" s="78" t="n"/>
      <c r="L209" s="66" t="n"/>
      <c r="M209" s="78" t="n"/>
      <c r="N209" s="79" t="n"/>
      <c r="O209" s="67" t="n"/>
      <c r="P209" s="79" t="n"/>
      <c r="R209" s="63">
        <f>IF(Q209="","",IF(Q209="Open",TODAY()-N209,"--"))</f>
        <v/>
      </c>
      <c r="S209" s="63">
        <f>IF(Q209="","",IF(Q209="Closed",P209-N209,"--"))</f>
        <v/>
      </c>
      <c r="W209" s="50" t="n"/>
    </row>
    <row r="210" ht="15" customHeight="1" s="130">
      <c r="B210" s="64">
        <f>IF(C210="","",B209+1)</f>
        <v/>
      </c>
      <c r="C210" s="77" t="n"/>
      <c r="D210" s="77" t="n"/>
      <c r="E210" s="82" t="n"/>
      <c r="F210" s="77" t="n"/>
      <c r="G210" s="64">
        <f>IF($F210="","",IFERROR(INDEX('WORK PACKAGES'!$A$2:$A$100,MATCH($F210,'WORK PACKAGES'!$D$2:$D$100,0)),""))</f>
        <v/>
      </c>
      <c r="H210" s="64" t="n"/>
      <c r="I210" s="78" t="n"/>
      <c r="J210" s="78" t="n"/>
      <c r="K210" s="78" t="n"/>
      <c r="L210" s="82" t="n"/>
      <c r="M210" s="78" t="n"/>
      <c r="N210" s="79" t="n"/>
      <c r="O210" s="78" t="n"/>
      <c r="P210" s="79" t="n"/>
      <c r="R210" s="63">
        <f>IF(Q210="","",IF(Q210="Open",TODAY()-N210,"--"))</f>
        <v/>
      </c>
      <c r="S210" s="63">
        <f>IF(Q210="","",IF(Q210="Closed",P210-N210,"--"))</f>
        <v/>
      </c>
      <c r="W210" s="50" t="n"/>
    </row>
    <row r="211" ht="15" customHeight="1" s="130">
      <c r="B211" s="64">
        <f>IF(C211="","",B210+1)</f>
        <v/>
      </c>
      <c r="C211" s="77" t="n"/>
      <c r="D211" s="77" t="n"/>
      <c r="E211" s="82" t="n"/>
      <c r="F211" s="77" t="n"/>
      <c r="G211" s="64">
        <f>IF($F211="","",IFERROR(INDEX('WORK PACKAGES'!$A$2:$A$100,MATCH($F211,'WORK PACKAGES'!$D$2:$D$100,0)),""))</f>
        <v/>
      </c>
      <c r="H211" s="64" t="n"/>
      <c r="I211" s="78" t="n"/>
      <c r="J211" s="78" t="n"/>
      <c r="K211" s="78" t="n"/>
      <c r="L211" s="82" t="n"/>
      <c r="M211" s="78" t="n"/>
      <c r="N211" s="79" t="n"/>
      <c r="O211" s="78" t="n"/>
      <c r="P211" s="79" t="n"/>
      <c r="R211" s="63">
        <f>IF(Q211="","",IF(Q211="Open",TODAY()-N211,"--"))</f>
        <v/>
      </c>
      <c r="S211" s="63">
        <f>IF(Q211="","",IF(Q211="Closed",P211-N211,"--"))</f>
        <v/>
      </c>
      <c r="W211" s="50" t="n"/>
    </row>
    <row r="212" ht="15" customHeight="1" s="130">
      <c r="B212" s="64">
        <f>IF(C212="","",B211+1)</f>
        <v/>
      </c>
      <c r="C212" s="77" t="n"/>
      <c r="D212" s="77" t="n"/>
      <c r="E212" s="82" t="n"/>
      <c r="F212" s="77" t="n"/>
      <c r="G212" s="64">
        <f>IF($F212="","",IFERROR(INDEX('WORK PACKAGES'!$A$2:$A$100,MATCH($F212,'WORK PACKAGES'!$D$2:$D$100,0)),""))</f>
        <v/>
      </c>
      <c r="H212" s="64" t="n"/>
      <c r="I212" s="78" t="n"/>
      <c r="J212" s="78" t="n"/>
      <c r="K212" s="78" t="n"/>
      <c r="L212" s="91" t="n"/>
      <c r="M212" s="78" t="n"/>
      <c r="N212" s="79" t="n"/>
      <c r="O212" s="78" t="n"/>
      <c r="P212" s="79" t="n"/>
      <c r="R212" s="63">
        <f>IF(Q212="","",IF(Q212="Open",TODAY()-N212,"--"))</f>
        <v/>
      </c>
      <c r="S212" s="63">
        <f>IF(Q212="","",IF(Q212="Closed",P212-N212,"--"))</f>
        <v/>
      </c>
      <c r="W212" s="50" t="n"/>
    </row>
    <row r="213" ht="15" customHeight="1" s="130">
      <c r="B213" s="64">
        <f>IF(C213="","",B212+1)</f>
        <v/>
      </c>
      <c r="C213" s="77" t="n"/>
      <c r="D213" s="77" t="n"/>
      <c r="E213" s="82" t="n"/>
      <c r="F213" s="77" t="n"/>
      <c r="G213" s="64">
        <f>IF($F213="","",IFERROR(INDEX('WORK PACKAGES'!$A$2:$A$100,MATCH($F213,'WORK PACKAGES'!$D$2:$D$100,0)),""))</f>
        <v/>
      </c>
      <c r="H213" s="64" t="n"/>
      <c r="I213" s="78" t="n"/>
      <c r="J213" s="78" t="n"/>
      <c r="K213" s="78" t="n"/>
      <c r="L213" s="82" t="n"/>
      <c r="M213" s="78" t="n"/>
      <c r="N213" s="79" t="n"/>
      <c r="O213" s="78" t="n"/>
      <c r="P213" s="79" t="n"/>
      <c r="R213" s="63">
        <f>IF(Q213="","",IF(Q213="Open",TODAY()-N213,"--"))</f>
        <v/>
      </c>
      <c r="S213" s="63">
        <f>IF(Q213="","",IF(Q213="Closed",P213-N213,"--"))</f>
        <v/>
      </c>
      <c r="W213" s="50" t="n"/>
    </row>
    <row r="214" ht="15" customHeight="1" s="130">
      <c r="B214" s="64">
        <f>IF(C214="","",B213+1)</f>
        <v/>
      </c>
      <c r="C214" s="65" t="n"/>
      <c r="D214" s="77" t="n"/>
      <c r="E214" s="66" t="n"/>
      <c r="F214" s="77" t="n"/>
      <c r="G214" s="64">
        <f>IF($F214="","",IFERROR(INDEX('WORK PACKAGES'!$A$2:$A$100,MATCH($F214,'WORK PACKAGES'!$D$2:$D$100,0)),""))</f>
        <v/>
      </c>
      <c r="H214" s="64" t="n"/>
      <c r="I214" s="78" t="n"/>
      <c r="J214" s="78" t="n"/>
      <c r="K214" s="67" t="n"/>
      <c r="L214" s="82" t="n"/>
      <c r="M214" s="78" t="n"/>
      <c r="N214" s="79" t="n"/>
      <c r="O214" s="78" t="n"/>
      <c r="P214" s="79" t="n"/>
      <c r="R214" s="63">
        <f>IF(Q214="","",IF(Q214="Open",TODAY()-N214,"--"))</f>
        <v/>
      </c>
      <c r="S214" s="63">
        <f>IF(Q214="","",IF(Q214="Closed",P214-N214,"--"))</f>
        <v/>
      </c>
      <c r="W214" s="50" t="n"/>
    </row>
    <row r="215" ht="15" customHeight="1" s="130">
      <c r="B215" s="64">
        <f>IF(C215="","",B214+1)</f>
        <v/>
      </c>
      <c r="C215" s="77" t="n"/>
      <c r="D215" s="77" t="n"/>
      <c r="E215" s="66" t="n"/>
      <c r="F215" s="77" t="n"/>
      <c r="G215" s="64">
        <f>IF($F215="","",IFERROR(INDEX('WORK PACKAGES'!$A$2:$A$100,MATCH($F215,'WORK PACKAGES'!$D$2:$D$100,0)),""))</f>
        <v/>
      </c>
      <c r="H215" s="64" t="n"/>
      <c r="I215" s="78" t="n"/>
      <c r="J215" s="78" t="n"/>
      <c r="K215" s="67" t="n"/>
      <c r="L215" s="66" t="n"/>
      <c r="M215" s="78" t="n"/>
      <c r="N215" s="79" t="n"/>
      <c r="O215" s="78" t="n"/>
      <c r="P215" s="79" t="n"/>
      <c r="R215" s="63">
        <f>IF(Q215="","",IF(Q215="Open",TODAY()-N215,"--"))</f>
        <v/>
      </c>
      <c r="S215" s="63">
        <f>IF(Q215="","",IF(Q215="Closed",P215-N215,"--"))</f>
        <v/>
      </c>
      <c r="W215" s="50" t="n"/>
    </row>
    <row r="216" ht="15" customHeight="1" s="130">
      <c r="B216" s="64">
        <f>IF(C216="","",B215+1)</f>
        <v/>
      </c>
      <c r="C216" s="77" t="n"/>
      <c r="D216" s="77" t="n"/>
      <c r="E216" s="66" t="n"/>
      <c r="F216" s="77" t="n"/>
      <c r="G216" s="64">
        <f>IF($F216="","",IFERROR(INDEX('WORK PACKAGES'!$A$2:$A$100,MATCH($F216,'WORK PACKAGES'!$D$2:$D$100,0)),""))</f>
        <v/>
      </c>
      <c r="H216" s="64" t="n"/>
      <c r="I216" s="78" t="n"/>
      <c r="J216" s="78" t="n"/>
      <c r="K216" s="67" t="n"/>
      <c r="L216" s="82" t="n"/>
      <c r="M216" s="78" t="n"/>
      <c r="N216" s="79" t="n"/>
      <c r="O216" s="78" t="n"/>
      <c r="P216" s="79" t="n"/>
      <c r="R216" s="63">
        <f>IF(Q216="","",IF(Q216="Open",TODAY()-N216,"--"))</f>
        <v/>
      </c>
      <c r="S216" s="63">
        <f>IF(Q216="","",IF(Q216="Closed",P216-N216,"--"))</f>
        <v/>
      </c>
      <c r="W216" s="50" t="n"/>
    </row>
    <row r="217" ht="15" customHeight="1" s="130">
      <c r="B217" s="64">
        <f>IF(C217="","",B216+1)</f>
        <v/>
      </c>
      <c r="C217" s="77" t="n"/>
      <c r="D217" s="77" t="n"/>
      <c r="E217" s="66" t="n"/>
      <c r="F217" s="77" t="n"/>
      <c r="G217" s="64">
        <f>IF($F217="","",IFERROR(INDEX('WORK PACKAGES'!$A$2:$A$100,MATCH($F217,'WORK PACKAGES'!$D$2:$D$100,0)),""))</f>
        <v/>
      </c>
      <c r="H217" s="64" t="n"/>
      <c r="I217" s="78" t="n"/>
      <c r="J217" s="78" t="n"/>
      <c r="K217" s="67" t="n"/>
      <c r="L217" s="82" t="n"/>
      <c r="M217" s="78" t="n"/>
      <c r="N217" s="79" t="n"/>
      <c r="O217" s="78" t="n"/>
      <c r="P217" s="79" t="n"/>
      <c r="R217" s="63">
        <f>IF(Q217="","",IF(Q217="Open",TODAY()-N217,"--"))</f>
        <v/>
      </c>
      <c r="S217" s="63">
        <f>IF(Q217="","",IF(Q217="Closed",P217-N217,"--"))</f>
        <v/>
      </c>
      <c r="W217" s="50" t="n"/>
    </row>
    <row r="218" ht="15" customHeight="1" s="130">
      <c r="B218" s="64">
        <f>IF(C218="","",B217+1)</f>
        <v/>
      </c>
      <c r="C218" s="77" t="n"/>
      <c r="D218" s="77" t="n"/>
      <c r="E218" s="82" t="n"/>
      <c r="F218" s="77" t="n"/>
      <c r="G218" s="64">
        <f>IF($F218="","",IFERROR(INDEX('WORK PACKAGES'!$A$2:$A$100,MATCH($F218,'WORK PACKAGES'!$D$2:$D$100,0)),""))</f>
        <v/>
      </c>
      <c r="H218" s="64" t="n"/>
      <c r="I218" s="78" t="n"/>
      <c r="J218" s="78" t="n"/>
      <c r="K218" s="78" t="n"/>
      <c r="L218" s="82" t="n"/>
      <c r="M218" s="78" t="n"/>
      <c r="N218" s="79" t="n"/>
      <c r="O218" s="78" t="n"/>
      <c r="P218" s="79" t="n"/>
      <c r="R218" s="63">
        <f>IF(Q218="","",IF(Q218="Open",TODAY()-N218,"--"))</f>
        <v/>
      </c>
      <c r="S218" s="63">
        <f>IF(Q218="","",IF(Q218="Closed",P218-N218,"--"))</f>
        <v/>
      </c>
      <c r="W218" s="50" t="n"/>
    </row>
    <row r="219" ht="15" customHeight="1" s="130">
      <c r="B219" s="64">
        <f>IF(C219="","",B218+1)</f>
        <v/>
      </c>
      <c r="C219" s="77" t="n"/>
      <c r="D219" s="77" t="n"/>
      <c r="E219" s="82" t="n"/>
      <c r="F219" s="77" t="n"/>
      <c r="G219" s="64">
        <f>IF($F219="","",IFERROR(INDEX('WORK PACKAGES'!$A$2:$A$100,MATCH($F219,'WORK PACKAGES'!$D$2:$D$100,0)),""))</f>
        <v/>
      </c>
      <c r="H219" s="64" t="n"/>
      <c r="I219" s="78" t="n"/>
      <c r="J219" s="78" t="n"/>
      <c r="K219" s="78" t="n"/>
      <c r="L219" s="82" t="n"/>
      <c r="M219" s="104" t="n"/>
      <c r="N219" s="79" t="n"/>
      <c r="O219" s="78" t="n"/>
      <c r="P219" s="79" t="n"/>
      <c r="R219" s="63">
        <f>IF(Q219="","",IF(Q219="Open",TODAY()-N219,"--"))</f>
        <v/>
      </c>
      <c r="S219" s="63">
        <f>IF(Q219="","",IF(Q219="Closed",P219-N219,"--"))</f>
        <v/>
      </c>
      <c r="W219" s="50" t="n"/>
    </row>
    <row r="220" ht="15" customHeight="1" s="130">
      <c r="B220" s="64">
        <f>IF(C220="","",B219+1)</f>
        <v/>
      </c>
      <c r="C220" s="77" t="n"/>
      <c r="D220" s="77" t="n"/>
      <c r="E220" s="82" t="n"/>
      <c r="F220" s="77" t="n"/>
      <c r="G220" s="64">
        <f>IF($F220="","",IFERROR(INDEX('WORK PACKAGES'!$A$2:$A$100,MATCH($F220,'WORK PACKAGES'!$D$2:$D$100,0)),""))</f>
        <v/>
      </c>
      <c r="H220" s="64" t="n"/>
      <c r="I220" s="78" t="n"/>
      <c r="J220" s="78" t="n"/>
      <c r="K220" s="78" t="n"/>
      <c r="L220" s="82" t="n"/>
      <c r="M220" s="78" t="n"/>
      <c r="N220" s="79" t="n"/>
      <c r="O220" s="78" t="n"/>
      <c r="P220" s="79" t="n"/>
      <c r="R220" s="63">
        <f>IF(Q220="","",IF(Q220="Open",TODAY()-N220,"--"))</f>
        <v/>
      </c>
      <c r="S220" s="63">
        <f>IF(Q220="","",IF(Q220="Closed",P220-N220,"--"))</f>
        <v/>
      </c>
      <c r="W220" s="50" t="n"/>
    </row>
    <row r="221" ht="15" customHeight="1" s="130">
      <c r="B221" s="64">
        <f>IF(C221="","",B220+1)</f>
        <v/>
      </c>
      <c r="C221" s="77" t="n"/>
      <c r="D221" s="65" t="n"/>
      <c r="E221" s="66" t="n"/>
      <c r="F221" s="77" t="n"/>
      <c r="G221" s="64">
        <f>IF($F221="","",IFERROR(INDEX('WORK PACKAGES'!$A$2:$A$100,MATCH($F221,'WORK PACKAGES'!$D$2:$D$100,0)),""))</f>
        <v/>
      </c>
      <c r="H221" s="64" t="n"/>
      <c r="I221" s="78" t="n"/>
      <c r="J221" s="78" t="n"/>
      <c r="K221" s="67" t="n"/>
      <c r="L221" s="82" t="n"/>
      <c r="M221" s="67" t="n"/>
      <c r="N221" s="79" t="n"/>
      <c r="O221" s="78" t="n"/>
      <c r="P221" s="79" t="n"/>
      <c r="R221" s="63">
        <f>IF(Q221="","",IF(Q221="Open",TODAY()-N221,"--"))</f>
        <v/>
      </c>
      <c r="S221" s="63">
        <f>IF(Q221="","",IF(Q221="Closed",P221-N221,"--"))</f>
        <v/>
      </c>
      <c r="T221" s="56" t="n"/>
      <c r="U221" s="56" t="n"/>
      <c r="W221" s="50" t="n"/>
    </row>
    <row r="222" ht="15" customHeight="1" s="130">
      <c r="B222" s="64">
        <f>IF(C222="","",B221+1)</f>
        <v/>
      </c>
      <c r="C222" s="65" t="n"/>
      <c r="D222" s="65" t="n"/>
      <c r="E222" s="66" t="n"/>
      <c r="F222" s="77" t="n"/>
      <c r="G222" s="64">
        <f>IF($F222="","",IFERROR(INDEX('WORK PACKAGES'!$A$2:$A$100,MATCH($F222,'WORK PACKAGES'!$D$2:$D$100,0)),""))</f>
        <v/>
      </c>
      <c r="H222" s="64" t="n"/>
      <c r="I222" s="67" t="n"/>
      <c r="J222" s="67" t="n"/>
      <c r="K222" s="67" t="n"/>
      <c r="L222" s="66" t="n"/>
      <c r="M222" s="67" t="n"/>
      <c r="N222" s="89" t="n"/>
      <c r="O222" s="67" t="n"/>
      <c r="P222" s="89" t="n"/>
      <c r="R222" s="63">
        <f>IF(Q222="","",IF(Q222="Open",TODAY()-N222,"--"))</f>
        <v/>
      </c>
      <c r="S222" s="63">
        <f>IF(Q222="","",IF(Q222="Closed",P222-N222,"--"))</f>
        <v/>
      </c>
      <c r="W222" s="50" t="n"/>
    </row>
    <row r="223" ht="15" customHeight="1" s="130">
      <c r="B223" s="64">
        <f>IF(C223="","",B222+1)</f>
        <v/>
      </c>
      <c r="C223" s="65" t="n"/>
      <c r="D223" s="65" t="n"/>
      <c r="E223" s="66" t="n"/>
      <c r="F223" s="77" t="n"/>
      <c r="G223" s="64">
        <f>IF($F223="","",IFERROR(INDEX('WORK PACKAGES'!$A$2:$A$100,MATCH($F223,'WORK PACKAGES'!$D$2:$D$100,0)),""))</f>
        <v/>
      </c>
      <c r="H223" s="64" t="n"/>
      <c r="I223" s="67" t="n"/>
      <c r="J223" s="67" t="n"/>
      <c r="K223" s="67" t="n"/>
      <c r="L223" s="66" t="n"/>
      <c r="M223" s="67" t="n"/>
      <c r="N223" s="89" t="n"/>
      <c r="O223" s="78" t="n"/>
      <c r="P223" s="79" t="n"/>
      <c r="R223" s="63">
        <f>IF(Q223="","",IF(Q223="Open",TODAY()-N223,"--"))</f>
        <v/>
      </c>
      <c r="S223" s="63">
        <f>IF(Q223="","",IF(Q223="Closed",P223-N223,"--"))</f>
        <v/>
      </c>
      <c r="W223" s="50" t="n"/>
    </row>
    <row r="224" ht="15" customHeight="1" s="130">
      <c r="B224" s="64">
        <f>IF(C224="","",B223+1)</f>
        <v/>
      </c>
      <c r="C224" s="92" t="n"/>
      <c r="D224" s="92" t="n"/>
      <c r="E224" s="93" t="n"/>
      <c r="F224" s="77" t="n"/>
      <c r="G224" s="64">
        <f>IF($F224="","",IFERROR(INDEX('WORK PACKAGES'!$A$2:$A$100,MATCH($F224,'WORK PACKAGES'!$D$2:$D$100,0)),""))</f>
        <v/>
      </c>
      <c r="H224" s="64" t="n"/>
      <c r="I224" s="94" t="n"/>
      <c r="J224" s="94" t="n"/>
      <c r="K224" s="94" t="n"/>
      <c r="L224" s="93" t="n"/>
      <c r="M224" s="94" t="n"/>
      <c r="N224" s="95" t="n"/>
      <c r="O224" s="94" t="n"/>
      <c r="P224" s="95" t="n"/>
      <c r="R224" s="63">
        <f>IF(Q224="","",IF(Q224="Open",TODAY()-N224,"--"))</f>
        <v/>
      </c>
      <c r="S224" s="63">
        <f>IF(Q224="","",IF(Q224="Closed",P224-N224,"--"))</f>
        <v/>
      </c>
      <c r="W224" s="50" t="n"/>
    </row>
    <row r="225" ht="15" customHeight="1" s="130">
      <c r="B225" s="64">
        <f>IF(C225="","",B224+1)</f>
        <v/>
      </c>
      <c r="C225" s="65" t="n"/>
      <c r="D225" s="65" t="n"/>
      <c r="E225" s="66" t="n"/>
      <c r="F225" s="77" t="n"/>
      <c r="G225" s="64">
        <f>IF($F225="","",IFERROR(INDEX('WORK PACKAGES'!$A$2:$A$100,MATCH($F225,'WORK PACKAGES'!$D$2:$D$100,0)),""))</f>
        <v/>
      </c>
      <c r="H225" s="64" t="n"/>
      <c r="I225" s="67" t="n"/>
      <c r="J225" s="67" t="n"/>
      <c r="K225" s="67" t="n"/>
      <c r="L225" s="66" t="n"/>
      <c r="M225" s="67" t="n"/>
      <c r="N225" s="89" t="n"/>
      <c r="O225" s="78" t="n"/>
      <c r="P225" s="79" t="n"/>
      <c r="R225" s="63">
        <f>IF(Q225="","",IF(Q225="Open",TODAY()-N225,"--"))</f>
        <v/>
      </c>
      <c r="S225" s="63">
        <f>IF(Q225="","",IF(Q225="Closed",P225-N225,"--"))</f>
        <v/>
      </c>
      <c r="W225" s="50" t="n"/>
    </row>
    <row r="226" ht="15" customHeight="1" s="130">
      <c r="B226" s="64">
        <f>IF(C226="","",B225+1)</f>
        <v/>
      </c>
      <c r="D226" s="65" t="n"/>
      <c r="E226" s="66" t="n"/>
      <c r="F226" s="77" t="n"/>
      <c r="G226" s="64">
        <f>IF($F226="","",IFERROR(INDEX('WORK PACKAGES'!$A$2:$A$100,MATCH($F226,'WORK PACKAGES'!$D$2:$D$100,0)),""))</f>
        <v/>
      </c>
      <c r="H226" s="64" t="n"/>
      <c r="I226" s="67" t="n"/>
      <c r="J226" s="67" t="n"/>
      <c r="K226" s="67" t="n"/>
      <c r="L226" s="66" t="n"/>
      <c r="M226" s="67" t="n"/>
      <c r="N226" s="89" t="n"/>
      <c r="O226" s="67" t="n"/>
      <c r="P226" s="89" t="n"/>
      <c r="R226" s="63">
        <f>IF(Q226="","",IF(Q226="Open",TODAY()-N226,"--"))</f>
        <v/>
      </c>
      <c r="S226" s="63">
        <f>IF(Q226="","",IF(Q226="Closed",P226-N226,"--"))</f>
        <v/>
      </c>
      <c r="W226" s="50" t="n"/>
    </row>
    <row r="227" ht="15" customHeight="1" s="130">
      <c r="B227" s="64">
        <f>IF(C227="","",B226+1)</f>
        <v/>
      </c>
      <c r="C227" s="77" t="n"/>
      <c r="D227" s="77" t="n"/>
      <c r="E227" s="82" t="n"/>
      <c r="F227" s="77" t="n"/>
      <c r="G227" s="64">
        <f>IF($F227="","",IFERROR(INDEX('WORK PACKAGES'!$A$2:$A$100,MATCH($F227,'WORK PACKAGES'!$D$2:$D$100,0)),""))</f>
        <v/>
      </c>
      <c r="H227" s="64" t="n"/>
      <c r="I227" s="78" t="n"/>
      <c r="J227" s="78" t="n"/>
      <c r="K227" s="78" t="n"/>
      <c r="L227" s="82" t="n"/>
      <c r="M227" s="67" t="n"/>
      <c r="N227" s="89" t="n"/>
      <c r="O227" s="67" t="n"/>
      <c r="P227" s="89" t="n"/>
      <c r="R227" s="63">
        <f>IF(Q227="","",IF(Q227="Open",TODAY()-N227,"--"))</f>
        <v/>
      </c>
      <c r="S227" s="63">
        <f>IF(Q227="","",IF(Q227="Closed",P227-N227,"--"))</f>
        <v/>
      </c>
      <c r="W227" s="50" t="n"/>
    </row>
    <row r="228" ht="15" customHeight="1" s="130">
      <c r="B228" s="64">
        <f>IF(C228="","",B227+1)</f>
        <v/>
      </c>
      <c r="C228" s="77" t="n"/>
      <c r="D228" s="77" t="n"/>
      <c r="E228" s="82" t="n"/>
      <c r="F228" s="77" t="n"/>
      <c r="G228" s="64">
        <f>IF($F228="","",IFERROR(INDEX('WORK PACKAGES'!$A$2:$A$100,MATCH($F228,'WORK PACKAGES'!$D$2:$D$100,0)),""))</f>
        <v/>
      </c>
      <c r="H228" s="64" t="n"/>
      <c r="I228" s="78" t="n"/>
      <c r="J228" s="78" t="n"/>
      <c r="K228" s="78" t="n"/>
      <c r="L228" s="66" t="n"/>
      <c r="M228" s="78" t="n"/>
      <c r="N228" s="79" t="n"/>
      <c r="O228" s="78" t="n"/>
      <c r="P228" s="79" t="n"/>
      <c r="R228" s="63">
        <f>IF(Q228="","",IF(Q228="Open",TODAY()-N228,"--"))</f>
        <v/>
      </c>
      <c r="S228" s="63">
        <f>IF(Q228="","",IF(Q228="Closed",P228-N228,"--"))</f>
        <v/>
      </c>
      <c r="W228" s="50" t="n"/>
    </row>
    <row r="229" ht="15" customHeight="1" s="130">
      <c r="B229" s="64">
        <f>IF(C229="","",B228+1)</f>
        <v/>
      </c>
      <c r="C229" s="77" t="n"/>
      <c r="D229" s="77" t="n"/>
      <c r="E229" s="82" t="n"/>
      <c r="F229" s="77" t="n"/>
      <c r="G229" s="64">
        <f>IF($F229="","",IFERROR(INDEX('WORK PACKAGES'!$A$2:$A$100,MATCH($F229,'WORK PACKAGES'!$D$2:$D$100,0)),""))</f>
        <v/>
      </c>
      <c r="H229" s="64" t="n"/>
      <c r="I229" s="78" t="n"/>
      <c r="J229" s="78" t="n"/>
      <c r="K229" s="78" t="n"/>
      <c r="L229" s="66" t="n"/>
      <c r="M229" s="78" t="n"/>
      <c r="N229" s="79" t="n"/>
      <c r="O229" s="78" t="n"/>
      <c r="P229" s="79" t="n"/>
      <c r="R229" s="63">
        <f>IF(Q229="","",IF(Q229="Open",TODAY()-N229,"--"))</f>
        <v/>
      </c>
      <c r="S229" s="63">
        <f>IF(Q229="","",IF(Q229="Closed",P229-N229,"--"))</f>
        <v/>
      </c>
      <c r="W229" s="50" t="n"/>
    </row>
    <row r="230" ht="15" customHeight="1" s="130">
      <c r="B230" s="64">
        <f>IF(C230="","",B229+1)</f>
        <v/>
      </c>
      <c r="C230" s="77" t="n"/>
      <c r="D230" s="65" t="n"/>
      <c r="E230" s="82" t="n"/>
      <c r="F230" s="77" t="n"/>
      <c r="G230" s="64">
        <f>IF($F230="","",IFERROR(INDEX('WORK PACKAGES'!$A$2:$A$100,MATCH($F230,'WORK PACKAGES'!$D$2:$D$100,0)),""))</f>
        <v/>
      </c>
      <c r="H230" s="64" t="n"/>
      <c r="I230" s="78" t="n"/>
      <c r="J230" s="78" t="n"/>
      <c r="K230" s="78" t="n"/>
      <c r="L230" s="82" t="n"/>
      <c r="M230" s="78" t="n"/>
      <c r="N230" s="79" t="n"/>
      <c r="O230" s="78" t="n"/>
      <c r="P230" s="79" t="n"/>
      <c r="R230" s="63">
        <f>IF(Q230="","",IF(Q230="Open",TODAY()-N230,"--"))</f>
        <v/>
      </c>
      <c r="S230" s="63">
        <f>IF(Q230="","",IF(Q230="Closed",P230-N230,"--"))</f>
        <v/>
      </c>
      <c r="W230" s="50" t="n"/>
    </row>
    <row r="231" ht="15" customHeight="1" s="130">
      <c r="B231" s="64">
        <f>IF(C231="","",B230+1)</f>
        <v/>
      </c>
      <c r="C231" s="77" t="n"/>
      <c r="D231" s="65" t="n"/>
      <c r="E231" s="82" t="n"/>
      <c r="F231" s="77" t="n"/>
      <c r="G231" s="64">
        <f>IF($F231="","",IFERROR(INDEX('WORK PACKAGES'!$A$2:$A$100,MATCH($F231,'WORK PACKAGES'!$D$2:$D$100,0)),""))</f>
        <v/>
      </c>
      <c r="H231" s="64" t="n"/>
      <c r="I231" s="78" t="n"/>
      <c r="J231" s="78" t="n"/>
      <c r="K231" s="78" t="n"/>
      <c r="L231" s="82" t="n"/>
      <c r="M231" s="78" t="n"/>
      <c r="N231" s="79" t="n"/>
      <c r="O231" s="78" t="n"/>
      <c r="P231" s="79" t="n"/>
      <c r="R231" s="63">
        <f>IF(Q231="","",IF(Q231="Open",TODAY()-N231,"--"))</f>
        <v/>
      </c>
      <c r="S231" s="63">
        <f>IF(Q231="","",IF(Q231="Closed",P231-N231,"--"))</f>
        <v/>
      </c>
      <c r="W231" s="50" t="n"/>
    </row>
    <row r="232" ht="15" customHeight="1" s="130">
      <c r="B232" s="64">
        <f>IF(C232="","",B231+1)</f>
        <v/>
      </c>
      <c r="C232" s="77" t="n"/>
      <c r="D232" s="77" t="n"/>
      <c r="E232" s="82" t="n"/>
      <c r="F232" s="77" t="n"/>
      <c r="G232" s="64">
        <f>IF($F232="","",IFERROR(INDEX('WORK PACKAGES'!$A$2:$A$100,MATCH($F232,'WORK PACKAGES'!$D$2:$D$100,0)),""))</f>
        <v/>
      </c>
      <c r="H232" s="64" t="n"/>
      <c r="I232" s="78" t="n"/>
      <c r="J232" s="78" t="n"/>
      <c r="K232" s="78" t="n"/>
      <c r="L232" s="82" t="n"/>
      <c r="M232" s="67" t="n"/>
      <c r="N232" s="89" t="n"/>
      <c r="O232" s="67" t="n"/>
      <c r="P232" s="89" t="n"/>
      <c r="R232" s="63">
        <f>IF(Q232="","",IF(Q232="Open",TODAY()-N232,"--"))</f>
        <v/>
      </c>
      <c r="S232" s="63">
        <f>IF(Q232="","",IF(Q232="Closed",P232-N232,"--"))</f>
        <v/>
      </c>
      <c r="W232" s="50" t="n"/>
    </row>
    <row r="233" ht="15" customHeight="1" s="130">
      <c r="B233" s="64">
        <f>IF(C233="","",B232+1)</f>
        <v/>
      </c>
      <c r="C233" s="77" t="n"/>
      <c r="D233" s="77" t="n"/>
      <c r="E233" s="82" t="n"/>
      <c r="F233" s="77" t="n"/>
      <c r="G233" s="64">
        <f>IF($F233="","",IFERROR(INDEX('WORK PACKAGES'!$A$2:$A$100,MATCH($F233,'WORK PACKAGES'!$D$2:$D$100,0)),""))</f>
        <v/>
      </c>
      <c r="H233" s="64" t="n"/>
      <c r="I233" s="78" t="n"/>
      <c r="J233" s="78" t="n"/>
      <c r="K233" s="78" t="n"/>
      <c r="L233" s="82" t="n"/>
      <c r="M233" s="67" t="n"/>
      <c r="N233" s="89" t="n"/>
      <c r="O233" s="67" t="n"/>
      <c r="P233" s="89" t="n"/>
      <c r="R233" s="63">
        <f>IF(Q233="","",IF(Q233="Open",TODAY()-N233,"--"))</f>
        <v/>
      </c>
      <c r="S233" s="63">
        <f>IF(Q233="","",IF(Q233="Closed",P233-N233,"--"))</f>
        <v/>
      </c>
      <c r="W233" s="50" t="n"/>
    </row>
    <row r="234" ht="15" customHeight="1" s="130">
      <c r="B234" s="64">
        <f>IF(C234="","",B233+1)</f>
        <v/>
      </c>
      <c r="C234" s="77" t="n"/>
      <c r="D234" s="77" t="n"/>
      <c r="E234" s="82" t="n"/>
      <c r="F234" s="77" t="n"/>
      <c r="G234" s="64">
        <f>IF($F234="","",IFERROR(INDEX('WORK PACKAGES'!$A$2:$A$100,MATCH($F234,'WORK PACKAGES'!$D$2:$D$100,0)),""))</f>
        <v/>
      </c>
      <c r="H234" s="64" t="n"/>
      <c r="I234" s="78" t="n"/>
      <c r="J234" s="78" t="n"/>
      <c r="K234" s="67" t="n"/>
      <c r="L234" s="82" t="n"/>
      <c r="M234" s="67" t="n"/>
      <c r="N234" s="89" t="n"/>
      <c r="O234" s="67" t="n"/>
      <c r="P234" s="89" t="n"/>
      <c r="R234" s="63">
        <f>IF(Q234="","",IF(Q234="Open",TODAY()-N234,"--"))</f>
        <v/>
      </c>
      <c r="S234" s="63">
        <f>IF(Q234="","",IF(Q234="Closed",P234-N234,"--"))</f>
        <v/>
      </c>
      <c r="W234" s="50" t="n"/>
    </row>
    <row r="235" ht="15" customHeight="1" s="130">
      <c r="B235" s="64">
        <f>IF(C235="","",B234+1)</f>
        <v/>
      </c>
      <c r="C235" s="77" t="n"/>
      <c r="D235" s="77" t="n"/>
      <c r="E235" s="82" t="n"/>
      <c r="F235" s="77" t="n"/>
      <c r="G235" s="64">
        <f>IF($F235="","",IFERROR(INDEX('WORK PACKAGES'!$A$2:$A$100,MATCH($F235,'WORK PACKAGES'!$D$2:$D$100,0)),""))</f>
        <v/>
      </c>
      <c r="H235" s="64" t="n"/>
      <c r="I235" s="78" t="n"/>
      <c r="J235" s="78" t="n"/>
      <c r="K235" s="78" t="n"/>
      <c r="L235" s="82" t="n"/>
      <c r="M235" s="67" t="n"/>
      <c r="N235" s="89" t="n"/>
      <c r="O235" s="78" t="n"/>
      <c r="P235" s="79" t="n"/>
      <c r="R235" s="63">
        <f>IF(Q235="","",IF(Q235="Open",TODAY()-N235,"--"))</f>
        <v/>
      </c>
      <c r="S235" s="63">
        <f>IF(Q235="","",IF(Q235="Closed",P235-N235,"--"))</f>
        <v/>
      </c>
      <c r="W235" s="50" t="n"/>
    </row>
    <row r="236" ht="15" customHeight="1" s="130">
      <c r="B236" s="64">
        <f>IF(C236="","",B235+1)</f>
        <v/>
      </c>
      <c r="C236" s="77" t="n"/>
      <c r="D236" s="77" t="n"/>
      <c r="E236" s="66" t="n"/>
      <c r="F236" s="77" t="n"/>
      <c r="G236" s="64">
        <f>IF($F236="","",IFERROR(INDEX('WORK PACKAGES'!$A$2:$A$100,MATCH($F236,'WORK PACKAGES'!$D$2:$D$100,0)),""))</f>
        <v/>
      </c>
      <c r="H236" s="64" t="n"/>
      <c r="I236" s="78" t="n"/>
      <c r="J236" s="78" t="n"/>
      <c r="K236" s="67" t="n"/>
      <c r="L236" s="82" t="n"/>
      <c r="M236" s="67" t="n"/>
      <c r="N236" s="89" t="n"/>
      <c r="O236" s="78" t="n"/>
      <c r="P236" s="79" t="n"/>
      <c r="R236" s="63">
        <f>IF(Q236="","",IF(Q236="Open",TODAY()-N236,"--"))</f>
        <v/>
      </c>
      <c r="S236" s="63">
        <f>IF(Q236="","",IF(Q236="Closed",P236-N236,"--"))</f>
        <v/>
      </c>
      <c r="W236" s="50" t="n"/>
    </row>
    <row r="237" ht="15" customHeight="1" s="130">
      <c r="B237" s="64">
        <f>IF(C237="","",B236+1)</f>
        <v/>
      </c>
      <c r="C237" s="77" t="n"/>
      <c r="D237" s="77" t="n"/>
      <c r="E237" s="82" t="n"/>
      <c r="F237" s="77" t="n"/>
      <c r="G237" s="64">
        <f>IF($F237="","",IFERROR(INDEX('WORK PACKAGES'!$A$2:$A$100,MATCH($F237,'WORK PACKAGES'!$D$2:$D$100,0)),""))</f>
        <v/>
      </c>
      <c r="H237" s="64" t="n"/>
      <c r="I237" s="78" t="n"/>
      <c r="J237" s="78" t="n"/>
      <c r="K237" s="78" t="n"/>
      <c r="L237" s="66" t="n"/>
      <c r="M237" s="67" t="n"/>
      <c r="N237" s="89" t="n"/>
      <c r="O237" s="78" t="n"/>
      <c r="P237" s="79" t="n"/>
      <c r="R237" s="63">
        <f>IF(Q237="","",IF(Q237="Open",TODAY()-N237,"--"))</f>
        <v/>
      </c>
      <c r="S237" s="63">
        <f>IF(Q237="","",IF(Q237="Closed",P237-N237,"--"))</f>
        <v/>
      </c>
      <c r="W237" s="50" t="n"/>
    </row>
    <row r="238" ht="15" customHeight="1" s="130">
      <c r="B238" s="64">
        <f>IF(C238="","",B237+1)</f>
        <v/>
      </c>
      <c r="C238" s="77" t="n"/>
      <c r="D238" s="77" t="n"/>
      <c r="E238" s="82" t="n"/>
      <c r="F238" s="77" t="n"/>
      <c r="G238" s="64">
        <f>IF($F238="","",IFERROR(INDEX('WORK PACKAGES'!$A$2:$A$100,MATCH($F238,'WORK PACKAGES'!$D$2:$D$100,0)),""))</f>
        <v/>
      </c>
      <c r="H238" s="64" t="n"/>
      <c r="I238" s="78" t="n"/>
      <c r="J238" s="78" t="n"/>
      <c r="K238" s="78" t="n"/>
      <c r="L238" s="82" t="n"/>
      <c r="M238" s="67" t="n"/>
      <c r="N238" s="89" t="n"/>
      <c r="O238" s="78" t="n"/>
      <c r="P238" s="79" t="n"/>
      <c r="R238" s="63">
        <f>IF(Q238="","",IF(Q238="Open",TODAY()-N238,"--"))</f>
        <v/>
      </c>
      <c r="S238" s="63">
        <f>IF(Q238="","",IF(Q238="Closed",P238-N238,"--"))</f>
        <v/>
      </c>
      <c r="W238" s="50" t="n"/>
    </row>
    <row r="239" ht="15" customHeight="1" s="130">
      <c r="B239" s="64">
        <f>IF(C239="","",B238+1)</f>
        <v/>
      </c>
      <c r="C239" s="65" t="n"/>
      <c r="D239" s="77" t="n"/>
      <c r="E239" s="82" t="n"/>
      <c r="F239" s="77" t="n"/>
      <c r="G239" s="64">
        <f>IF($F239="","",IFERROR(INDEX('WORK PACKAGES'!$A$2:$A$100,MATCH($F239,'WORK PACKAGES'!$D$2:$D$100,0)),""))</f>
        <v/>
      </c>
      <c r="H239" s="64" t="n"/>
      <c r="I239" s="78" t="n"/>
      <c r="J239" s="78" t="n"/>
      <c r="K239" s="78" t="n"/>
      <c r="L239" s="66" t="n"/>
      <c r="M239" s="67" t="n"/>
      <c r="N239" s="89" t="n"/>
      <c r="O239" s="78" t="n"/>
      <c r="P239" s="79" t="n"/>
      <c r="R239" s="63">
        <f>IF(Q239="","",IF(Q239="Open",TODAY()-N239,"--"))</f>
        <v/>
      </c>
      <c r="S239" s="63">
        <f>IF(Q239="","",IF(Q239="Closed",P239-N239,"--"))</f>
        <v/>
      </c>
      <c r="W239" s="50" t="n"/>
    </row>
    <row r="240" ht="15" customHeight="1" s="130">
      <c r="B240" s="64">
        <f>IF(C240="","",B239+1)</f>
        <v/>
      </c>
      <c r="C240" s="77" t="n"/>
      <c r="D240" s="77" t="n"/>
      <c r="E240" s="82" t="n"/>
      <c r="F240" s="77" t="n"/>
      <c r="G240" s="64">
        <f>IF($F240="","",IFERROR(INDEX('WORK PACKAGES'!$A$2:$A$100,MATCH($F240,'WORK PACKAGES'!$D$2:$D$100,0)),""))</f>
        <v/>
      </c>
      <c r="H240" s="64" t="n"/>
      <c r="I240" s="78" t="n"/>
      <c r="J240" s="78" t="n"/>
      <c r="K240" s="78" t="n"/>
      <c r="L240" s="82" t="n"/>
      <c r="M240" s="67" t="n"/>
      <c r="N240" s="89" t="n"/>
      <c r="O240" s="78" t="n"/>
      <c r="P240" s="79" t="n"/>
      <c r="R240" s="63">
        <f>IF(Q240="","",IF(Q240="Open",TODAY()-N240,"--"))</f>
        <v/>
      </c>
      <c r="S240" s="63">
        <f>IF(Q240="","",IF(Q240="Closed",P240-N240,"--"))</f>
        <v/>
      </c>
      <c r="W240" s="50" t="n"/>
    </row>
    <row r="241" ht="15" customHeight="1" s="130">
      <c r="B241" s="64">
        <f>IF(C241="","",B240+1)</f>
        <v/>
      </c>
      <c r="C241" s="65" t="n"/>
      <c r="D241" s="65" t="n"/>
      <c r="E241" s="82" t="n"/>
      <c r="F241" s="77" t="n"/>
      <c r="G241" s="64">
        <f>IF($F241="","",IFERROR(INDEX('WORK PACKAGES'!$A$2:$A$100,MATCH($F241,'WORK PACKAGES'!$D$2:$D$100,0)),""))</f>
        <v/>
      </c>
      <c r="H241" s="64" t="n"/>
      <c r="I241" s="78" t="n"/>
      <c r="J241" s="78" t="n"/>
      <c r="K241" s="78" t="n"/>
      <c r="L241" s="82" t="n"/>
      <c r="M241" s="67" t="n"/>
      <c r="N241" s="89" t="n"/>
      <c r="O241" s="78" t="n"/>
      <c r="P241" s="79" t="n"/>
      <c r="R241" s="63">
        <f>IF(Q241="","",IF(Q241="Open",TODAY()-N241,"--"))</f>
        <v/>
      </c>
      <c r="S241" s="63">
        <f>IF(Q241="","",IF(Q241="Closed",P241-N241,"--"))</f>
        <v/>
      </c>
      <c r="W241" s="50" t="n"/>
    </row>
    <row r="242" ht="15" customHeight="1" s="130">
      <c r="B242" s="64">
        <f>IF(C242="","",B241+1)</f>
        <v/>
      </c>
      <c r="C242" s="77" t="n"/>
      <c r="D242" s="77" t="n"/>
      <c r="E242" s="82" t="n"/>
      <c r="F242" s="77" t="n"/>
      <c r="G242" s="64">
        <f>IF($F242="","",IFERROR(INDEX('WORK PACKAGES'!$A$2:$A$100,MATCH($F242,'WORK PACKAGES'!$D$2:$D$100,0)),""))</f>
        <v/>
      </c>
      <c r="H242" s="64" t="n"/>
      <c r="I242" s="78" t="n"/>
      <c r="J242" s="78" t="n"/>
      <c r="K242" s="78" t="n"/>
      <c r="L242" s="82" t="n"/>
      <c r="M242" s="67" t="n"/>
      <c r="N242" s="89" t="n"/>
      <c r="O242" s="78" t="n"/>
      <c r="P242" s="79" t="n"/>
      <c r="R242" s="63">
        <f>IF(Q242="","",IF(Q242="Open",TODAY()-N242,"--"))</f>
        <v/>
      </c>
      <c r="S242" s="63">
        <f>IF(Q242="","",IF(Q242="Closed",P242-N242,"--"))</f>
        <v/>
      </c>
      <c r="W242" s="50" t="n"/>
    </row>
    <row r="243" ht="15" customHeight="1" s="130">
      <c r="B243" s="64">
        <f>IF(C243="","",B242+1)</f>
        <v/>
      </c>
      <c r="C243" s="77" t="n"/>
      <c r="D243" s="77" t="n"/>
      <c r="E243" s="82" t="n"/>
      <c r="F243" s="77" t="n"/>
      <c r="G243" s="64">
        <f>IF($F243="","",IFERROR(INDEX('WORK PACKAGES'!$A$2:$A$100,MATCH($F243,'WORK PACKAGES'!$D$2:$D$100,0)),""))</f>
        <v/>
      </c>
      <c r="H243" s="64" t="n"/>
      <c r="I243" s="78" t="n"/>
      <c r="J243" s="78" t="n"/>
      <c r="K243" s="78" t="n"/>
      <c r="L243" s="82" t="n"/>
      <c r="M243" s="67" t="n"/>
      <c r="N243" s="89" t="n"/>
      <c r="O243" s="67" t="n"/>
      <c r="P243" s="89" t="n"/>
      <c r="R243" s="63">
        <f>IF(Q243="","",IF(Q243="Open",TODAY()-N243,"--"))</f>
        <v/>
      </c>
      <c r="S243" s="63">
        <f>IF(Q243="","",IF(Q243="Closed",P243-N243,"--"))</f>
        <v/>
      </c>
      <c r="W243" s="50" t="n"/>
    </row>
    <row r="244" ht="15" customHeight="1" s="130">
      <c r="B244" s="64">
        <f>IF(C244="","",B243+1)</f>
        <v/>
      </c>
      <c r="C244" s="65" t="n"/>
      <c r="D244" s="77" t="n"/>
      <c r="E244" s="82" t="n"/>
      <c r="F244" s="77" t="n"/>
      <c r="G244" s="64">
        <f>IF($F244="","",IFERROR(INDEX('WORK PACKAGES'!$A$2:$A$100,MATCH($F244,'WORK PACKAGES'!$D$2:$D$100,0)),""))</f>
        <v/>
      </c>
      <c r="H244" s="64" t="n"/>
      <c r="I244" s="78" t="n"/>
      <c r="J244" s="78" t="n"/>
      <c r="K244" s="78" t="n"/>
      <c r="L244" s="82" t="n"/>
      <c r="M244" s="67" t="n"/>
      <c r="N244" s="89" t="n"/>
      <c r="O244" s="78" t="n"/>
      <c r="P244" s="79" t="n"/>
      <c r="R244" s="63">
        <f>IF(Q244="","",IF(Q244="Open",TODAY()-N244,"--"))</f>
        <v/>
      </c>
      <c r="S244" s="63">
        <f>IF(Q244="","",IF(Q244="Closed",P244-N244,"--"))</f>
        <v/>
      </c>
      <c r="W244" s="50" t="n"/>
    </row>
    <row r="245" ht="15" customHeight="1" s="130">
      <c r="B245" s="64">
        <f>IF(C245="","",B244+1)</f>
        <v/>
      </c>
      <c r="C245" s="77" t="n"/>
      <c r="D245" s="77" t="n"/>
      <c r="E245" s="82" t="n"/>
      <c r="F245" s="77" t="n"/>
      <c r="G245" s="64">
        <f>IF($F245="","",IFERROR(INDEX('WORK PACKAGES'!$A$2:$A$100,MATCH($F245,'WORK PACKAGES'!$D$2:$D$100,0)),""))</f>
        <v/>
      </c>
      <c r="H245" s="64" t="n"/>
      <c r="I245" s="78" t="n"/>
      <c r="J245" s="78" t="n"/>
      <c r="K245" s="78" t="n"/>
      <c r="L245" s="82" t="n"/>
      <c r="M245" s="67" t="n"/>
      <c r="N245" s="89" t="n"/>
      <c r="O245" s="78" t="n"/>
      <c r="P245" s="79" t="n"/>
      <c r="R245" s="63">
        <f>IF(Q245="","",IF(Q245="Open",TODAY()-N245,"--"))</f>
        <v/>
      </c>
      <c r="S245" s="63">
        <f>IF(Q245="","",IF(Q245="Closed",P245-N245,"--"))</f>
        <v/>
      </c>
      <c r="W245" s="50" t="n"/>
    </row>
    <row r="246" ht="15" customHeight="1" s="130">
      <c r="B246" s="64">
        <f>IF(C246="","",B245+1)</f>
        <v/>
      </c>
      <c r="C246" s="77" t="n"/>
      <c r="D246" s="77" t="n"/>
      <c r="E246" s="82" t="n"/>
      <c r="F246" s="77" t="n"/>
      <c r="G246" s="64">
        <f>IF($F246="","",IFERROR(INDEX('WORK PACKAGES'!$A$2:$A$100,MATCH($F246,'WORK PACKAGES'!$D$2:$D$100,0)),""))</f>
        <v/>
      </c>
      <c r="H246" s="64" t="n"/>
      <c r="I246" s="78" t="n"/>
      <c r="J246" s="78" t="n"/>
      <c r="K246" s="78" t="n"/>
      <c r="L246" s="82" t="n"/>
      <c r="M246" s="67" t="n"/>
      <c r="N246" s="89" t="n"/>
      <c r="O246" s="78" t="n"/>
      <c r="P246" s="79" t="n"/>
      <c r="R246" s="63">
        <f>IF(Q246="","",IF(Q246="Open",TODAY()-N246,"--"))</f>
        <v/>
      </c>
      <c r="S246" s="63">
        <f>IF(Q246="","",IF(Q246="Closed",P246-N246,"--"))</f>
        <v/>
      </c>
      <c r="W246" s="50" t="n"/>
    </row>
    <row r="247" ht="15" customHeight="1" s="130">
      <c r="B247" s="64">
        <f>IF(C247="","",B246+1)</f>
        <v/>
      </c>
      <c r="C247" s="77" t="n"/>
      <c r="D247" s="65" t="n"/>
      <c r="E247" s="82" t="n"/>
      <c r="F247" s="77" t="n"/>
      <c r="G247" s="64">
        <f>IF($F247="","",IFERROR(INDEX('WORK PACKAGES'!$A$2:$A$100,MATCH($F247,'WORK PACKAGES'!$D$2:$D$100,0)),""))</f>
        <v/>
      </c>
      <c r="H247" s="64" t="n"/>
      <c r="I247" s="78" t="n"/>
      <c r="J247" s="78" t="n"/>
      <c r="K247" s="78" t="n"/>
      <c r="L247" s="82" t="n"/>
      <c r="M247" s="67" t="n"/>
      <c r="N247" s="89" t="n"/>
      <c r="O247" s="78" t="n"/>
      <c r="P247" s="79" t="n"/>
      <c r="R247" s="63">
        <f>IF(Q247="","",IF(Q247="Open",TODAY()-N247,"--"))</f>
        <v/>
      </c>
      <c r="S247" s="63">
        <f>IF(Q247="","",IF(Q247="Closed",P247-N247,"--"))</f>
        <v/>
      </c>
      <c r="W247" s="50" t="n"/>
    </row>
    <row r="248" ht="15" customHeight="1" s="130">
      <c r="B248" s="64">
        <f>IF(C248="","",B247+1)</f>
        <v/>
      </c>
      <c r="C248" s="77" t="n"/>
      <c r="D248" s="77" t="n"/>
      <c r="E248" s="82" t="n"/>
      <c r="F248" s="77" t="n"/>
      <c r="G248" s="64">
        <f>IF($F248="","",IFERROR(INDEX('WORK PACKAGES'!$A$2:$A$100,MATCH($F248,'WORK PACKAGES'!$D$2:$D$100,0)),""))</f>
        <v/>
      </c>
      <c r="H248" s="64" t="n"/>
      <c r="I248" s="78" t="n"/>
      <c r="J248" s="78" t="n"/>
      <c r="K248" s="78" t="n"/>
      <c r="L248" s="82" t="n"/>
      <c r="M248" s="67" t="n"/>
      <c r="N248" s="89" t="n"/>
      <c r="O248" s="78" t="n"/>
      <c r="P248" s="79" t="n"/>
      <c r="R248" s="63">
        <f>IF(Q248="","",IF(Q248="Open",TODAY()-N248,"--"))</f>
        <v/>
      </c>
      <c r="S248" s="63">
        <f>IF(Q248="","",IF(Q248="Closed",P248-N248,"--"))</f>
        <v/>
      </c>
      <c r="W248" s="50" t="n"/>
    </row>
    <row r="249" ht="15" customHeight="1" s="130">
      <c r="B249" s="64">
        <f>IF(C249="","",B248+1)</f>
        <v/>
      </c>
      <c r="C249" s="65" t="n"/>
      <c r="D249" s="65" t="n"/>
      <c r="E249" s="82" t="n"/>
      <c r="F249" s="77" t="n"/>
      <c r="G249" s="64">
        <f>IF($F249="","",IFERROR(INDEX('WORK PACKAGES'!$A$2:$A$100,MATCH($F249,'WORK PACKAGES'!$D$2:$D$100,0)),""))</f>
        <v/>
      </c>
      <c r="H249" s="64" t="n"/>
      <c r="I249" s="78" t="n"/>
      <c r="J249" s="78" t="n"/>
      <c r="K249" s="67" t="n"/>
      <c r="L249" s="82" t="n"/>
      <c r="M249" s="67" t="n"/>
      <c r="N249" s="89" t="n"/>
      <c r="O249" s="78" t="n"/>
      <c r="P249" s="79" t="n"/>
      <c r="R249" s="63">
        <f>IF(Q249="","",IF(Q249="Open",TODAY()-N249,"--"))</f>
        <v/>
      </c>
      <c r="S249" s="63">
        <f>IF(Q249="","",IF(Q249="Closed",P249-N249,"--"))</f>
        <v/>
      </c>
      <c r="W249" s="50" t="n"/>
    </row>
    <row r="250" ht="15" customHeight="1" s="130">
      <c r="B250" s="64">
        <f>IF(C250="","",B249+1)</f>
        <v/>
      </c>
      <c r="C250" s="77" t="n"/>
      <c r="D250" s="77" t="n"/>
      <c r="E250" s="82" t="n"/>
      <c r="F250" s="77" t="n"/>
      <c r="G250" s="64">
        <f>IF($F250="","",IFERROR(INDEX('WORK PACKAGES'!$A$2:$A$100,MATCH($F250,'WORK PACKAGES'!$D$2:$D$100,0)),""))</f>
        <v/>
      </c>
      <c r="H250" s="64" t="n"/>
      <c r="I250" s="78" t="n"/>
      <c r="J250" s="78" t="n"/>
      <c r="K250" s="78" t="n"/>
      <c r="L250" s="66" t="n"/>
      <c r="M250" s="67" t="n"/>
      <c r="N250" s="89" t="n"/>
      <c r="O250" s="67" t="n"/>
      <c r="P250" s="89" t="n"/>
      <c r="R250" s="63">
        <f>IF(Q250="","",IF(Q250="Open",TODAY()-N250,"--"))</f>
        <v/>
      </c>
      <c r="S250" s="63">
        <f>IF(Q250="","",IF(Q250="Closed",P250-N250,"--"))</f>
        <v/>
      </c>
      <c r="W250" s="50" t="n"/>
    </row>
    <row r="251" ht="15" customHeight="1" s="130">
      <c r="B251" s="64">
        <f>IF(C251="","",B250+1)</f>
        <v/>
      </c>
      <c r="C251" s="77" t="n"/>
      <c r="D251" s="77" t="n"/>
      <c r="E251" s="82" t="n"/>
      <c r="F251" s="77" t="n"/>
      <c r="G251" s="64">
        <f>IF($F251="","",IFERROR(INDEX('WORK PACKAGES'!$A$2:$A$100,MATCH($F251,'WORK PACKAGES'!$D$2:$D$100,0)),""))</f>
        <v/>
      </c>
      <c r="H251" s="64" t="n"/>
      <c r="I251" s="78" t="n"/>
      <c r="J251" s="78" t="n"/>
      <c r="K251" s="67" t="n"/>
      <c r="L251" s="66" t="n"/>
      <c r="M251" s="67" t="n"/>
      <c r="N251" s="89" t="n"/>
      <c r="O251" s="78" t="n"/>
      <c r="P251" s="79" t="n"/>
      <c r="R251" s="63">
        <f>IF(Q251="","",IF(Q251="Open",TODAY()-N251,"--"))</f>
        <v/>
      </c>
      <c r="S251" s="63">
        <f>IF(Q251="","",IF(Q251="Closed",P251-N251,"--"))</f>
        <v/>
      </c>
      <c r="W251" s="50" t="n"/>
    </row>
    <row r="252" ht="15" customHeight="1" s="130">
      <c r="B252" s="64">
        <f>IF(C252="","",B251+1)</f>
        <v/>
      </c>
      <c r="C252" s="77" t="n"/>
      <c r="D252" s="77" t="n"/>
      <c r="E252" s="82" t="n"/>
      <c r="F252" s="77" t="n"/>
      <c r="G252" s="64">
        <f>IF($F252="","",IFERROR(INDEX('WORK PACKAGES'!$A$2:$A$100,MATCH($F252,'WORK PACKAGES'!$D$2:$D$100,0)),""))</f>
        <v/>
      </c>
      <c r="H252" s="64" t="n"/>
      <c r="I252" s="78" t="n"/>
      <c r="J252" s="78" t="n"/>
      <c r="K252" s="78" t="n"/>
      <c r="L252" s="82" t="n"/>
      <c r="M252" s="67" t="n"/>
      <c r="N252" s="89" t="n"/>
      <c r="O252" s="67" t="n"/>
      <c r="P252" s="89" t="n"/>
      <c r="R252" s="63">
        <f>IF(Q252="","",IF(Q252="Open",TODAY()-N252,"--"))</f>
        <v/>
      </c>
      <c r="S252" s="63">
        <f>IF(Q252="","",IF(Q252="Closed",P252-N252,"--"))</f>
        <v/>
      </c>
      <c r="W252" s="50" t="n"/>
    </row>
    <row r="253" ht="15" customHeight="1" s="130">
      <c r="B253" s="64">
        <f>IF(C253="","",B252+1)</f>
        <v/>
      </c>
      <c r="C253" s="77" t="n"/>
      <c r="D253" s="77" t="n"/>
      <c r="E253" s="82" t="n"/>
      <c r="F253" s="77" t="n"/>
      <c r="G253" s="64">
        <f>IF($F253="","",IFERROR(INDEX('WORK PACKAGES'!$A$2:$A$100,MATCH($F253,'WORK PACKAGES'!$D$2:$D$100,0)),""))</f>
        <v/>
      </c>
      <c r="H253" s="64" t="n"/>
      <c r="I253" s="78" t="n"/>
      <c r="J253" s="78" t="n"/>
      <c r="K253" s="78" t="n"/>
      <c r="L253" s="66" t="n"/>
      <c r="M253" s="67" t="n"/>
      <c r="N253" s="89" t="n"/>
      <c r="O253" s="67" t="n"/>
      <c r="P253" s="89" t="n"/>
      <c r="R253" s="63">
        <f>IF(Q253="","",IF(Q253="Open",TODAY()-N253,"--"))</f>
        <v/>
      </c>
      <c r="S253" s="63">
        <f>IF(Q253="","",IF(Q253="Closed",P253-N253,"--"))</f>
        <v/>
      </c>
      <c r="W253" s="50" t="n"/>
    </row>
    <row r="254" ht="15" customHeight="1" s="130">
      <c r="B254" s="64">
        <f>IF(C254="","",B253+1)</f>
        <v/>
      </c>
      <c r="C254" s="77" t="n"/>
      <c r="D254" s="77" t="n"/>
      <c r="E254" s="82" t="n"/>
      <c r="F254" s="77" t="n"/>
      <c r="G254" s="64">
        <f>IF($F254="","",IFERROR(INDEX('WORK PACKAGES'!$A$2:$A$100,MATCH($F254,'WORK PACKAGES'!$D$2:$D$100,0)),""))</f>
        <v/>
      </c>
      <c r="H254" s="64" t="n"/>
      <c r="I254" s="78" t="n"/>
      <c r="J254" s="78" t="n"/>
      <c r="K254" s="78" t="n"/>
      <c r="L254" s="82" t="n"/>
      <c r="M254" s="67" t="n"/>
      <c r="N254" s="89" t="n"/>
      <c r="O254" s="67" t="n"/>
      <c r="P254" s="89" t="n"/>
      <c r="R254" s="63">
        <f>IF(Q254="","",IF(Q254="Open",TODAY()-N254,"--"))</f>
        <v/>
      </c>
      <c r="S254" s="63">
        <f>IF(Q254="","",IF(Q254="Closed",P254-N254,"--"))</f>
        <v/>
      </c>
      <c r="W254" s="50" t="n"/>
    </row>
    <row r="255" ht="15" customHeight="1" s="130">
      <c r="B255" s="64">
        <f>IF(C255="","",B254+1)</f>
        <v/>
      </c>
      <c r="C255" s="77" t="n"/>
      <c r="D255" s="77" t="n"/>
      <c r="E255" s="82" t="n"/>
      <c r="F255" s="77" t="n"/>
      <c r="G255" s="64">
        <f>IF($F255="","",IFERROR(INDEX('WORK PACKAGES'!$A$2:$A$100,MATCH($F255,'WORK PACKAGES'!$D$2:$D$100,0)),""))</f>
        <v/>
      </c>
      <c r="H255" s="64" t="n"/>
      <c r="I255" s="78" t="n"/>
      <c r="J255" s="78" t="n"/>
      <c r="K255" s="78" t="n"/>
      <c r="L255" s="82" t="n"/>
      <c r="M255" s="67" t="n"/>
      <c r="N255" s="89" t="n"/>
      <c r="O255" s="67" t="n"/>
      <c r="P255" s="89" t="n"/>
      <c r="R255" s="63">
        <f>IF(Q255="","",IF(Q255="Open",TODAY()-N255,"--"))</f>
        <v/>
      </c>
      <c r="S255" s="63">
        <f>IF(Q255="","",IF(Q255="Closed",P255-N255,"--"))</f>
        <v/>
      </c>
      <c r="W255" s="50" t="n"/>
    </row>
    <row r="256" ht="15" customHeight="1" s="130">
      <c r="B256" s="64">
        <f>IF(C256="","",B255+1)</f>
        <v/>
      </c>
      <c r="C256" s="77" t="n"/>
      <c r="D256" s="77" t="n"/>
      <c r="E256" s="82" t="n"/>
      <c r="F256" s="77" t="n"/>
      <c r="G256" s="64">
        <f>IF($F256="","",IFERROR(INDEX('WORK PACKAGES'!$A$2:$A$100,MATCH($F256,'WORK PACKAGES'!$D$2:$D$100,0)),""))</f>
        <v/>
      </c>
      <c r="H256" s="64" t="n"/>
      <c r="I256" s="78" t="n"/>
      <c r="J256" s="78" t="n"/>
      <c r="K256" s="78" t="n"/>
      <c r="L256" s="82" t="n"/>
      <c r="M256" s="67" t="n"/>
      <c r="N256" s="89" t="n"/>
      <c r="O256" s="78" t="n"/>
      <c r="P256" s="79" t="n"/>
      <c r="R256" s="63">
        <f>IF(Q256="","",IF(Q256="Open",TODAY()-N256,"--"))</f>
        <v/>
      </c>
      <c r="S256" s="63">
        <f>IF(Q256="","",IF(Q256="Closed",P256-N256,"--"))</f>
        <v/>
      </c>
      <c r="W256" s="50" t="n"/>
    </row>
    <row r="257" ht="15" customHeight="1" s="130">
      <c r="B257" s="64">
        <f>IF(C257="","",B256+1)</f>
        <v/>
      </c>
      <c r="C257" s="77" t="n"/>
      <c r="D257" s="77" t="n"/>
      <c r="E257" s="82" t="n"/>
      <c r="F257" s="77" t="n"/>
      <c r="G257" s="64">
        <f>IF($F257="","",IFERROR(INDEX('WORK PACKAGES'!$A$2:$A$100,MATCH($F257,'WORK PACKAGES'!$D$2:$D$100,0)),""))</f>
        <v/>
      </c>
      <c r="H257" s="64" t="n"/>
      <c r="I257" s="78" t="n"/>
      <c r="J257" s="78" t="n"/>
      <c r="K257" s="78" t="n"/>
      <c r="L257" s="82" t="n"/>
      <c r="M257" s="67" t="n"/>
      <c r="N257" s="89" t="n"/>
      <c r="O257" s="67" t="n"/>
      <c r="P257" s="89" t="n"/>
      <c r="R257" s="63">
        <f>IF(Q257="","",IF(Q257="Open",TODAY()-N257,"--"))</f>
        <v/>
      </c>
      <c r="S257" s="63">
        <f>IF(Q257="","",IF(Q257="Closed",P257-N257,"--"))</f>
        <v/>
      </c>
      <c r="W257" s="50" t="n"/>
    </row>
    <row r="258" ht="15" customHeight="1" s="130">
      <c r="B258" s="64">
        <f>IF(C258="","",B257+1)</f>
        <v/>
      </c>
      <c r="C258" s="77" t="n"/>
      <c r="D258" s="77" t="n"/>
      <c r="E258" s="82" t="n"/>
      <c r="F258" s="77" t="n"/>
      <c r="G258" s="64">
        <f>IF($F258="","",IFERROR(INDEX('WORK PACKAGES'!$A$2:$A$100,MATCH($F258,'WORK PACKAGES'!$D$2:$D$100,0)),""))</f>
        <v/>
      </c>
      <c r="H258" s="64" t="n"/>
      <c r="I258" s="78" t="n"/>
      <c r="J258" s="78" t="n"/>
      <c r="K258" s="78" t="n"/>
      <c r="L258" s="82" t="n"/>
      <c r="M258" s="67" t="n"/>
      <c r="N258" s="89" t="n"/>
      <c r="O258" s="67" t="n"/>
      <c r="P258" s="89" t="n"/>
      <c r="R258" s="63">
        <f>IF(Q258="","",IF(Q258="Open",TODAY()-N258,"--"))</f>
        <v/>
      </c>
      <c r="S258" s="63">
        <f>IF(Q258="","",IF(Q258="Closed",P258-N258,"--"))</f>
        <v/>
      </c>
      <c r="W258" s="50" t="n"/>
    </row>
    <row r="259" ht="15" customHeight="1" s="130">
      <c r="B259" s="64">
        <f>IF(C259="","",B258+1)</f>
        <v/>
      </c>
      <c r="C259" s="77" t="n"/>
      <c r="D259" s="77" t="n"/>
      <c r="E259" s="82" t="n"/>
      <c r="F259" s="77" t="n"/>
      <c r="G259" s="64">
        <f>IF($F259="","",IFERROR(INDEX('WORK PACKAGES'!$A$2:$A$100,MATCH($F259,'WORK PACKAGES'!$D$2:$D$100,0)),""))</f>
        <v/>
      </c>
      <c r="H259" s="64" t="n"/>
      <c r="I259" s="78" t="n"/>
      <c r="J259" s="78" t="n"/>
      <c r="K259" s="78" t="n"/>
      <c r="L259" s="82" t="n"/>
      <c r="M259" s="67" t="n"/>
      <c r="N259" s="89" t="n"/>
      <c r="O259" s="67" t="n"/>
      <c r="P259" s="89" t="n"/>
      <c r="R259" s="63">
        <f>IF(Q259="","",IF(Q259="Open",TODAY()-N259,"--"))</f>
        <v/>
      </c>
      <c r="S259" s="63">
        <f>IF(Q259="","",IF(Q259="Closed",P259-N259,"--"))</f>
        <v/>
      </c>
      <c r="W259" s="50" t="n"/>
    </row>
    <row r="260" ht="15" customHeight="1" s="130">
      <c r="B260" s="64">
        <f>IF(C260="","",B259+1)</f>
        <v/>
      </c>
      <c r="C260" s="77" t="n"/>
      <c r="D260" s="77" t="n"/>
      <c r="E260" s="82" t="n"/>
      <c r="F260" s="77" t="n"/>
      <c r="G260" s="64">
        <f>IF($F260="","",IFERROR(INDEX('WORK PACKAGES'!$A$2:$A$100,MATCH($F260,'WORK PACKAGES'!$D$2:$D$100,0)),""))</f>
        <v/>
      </c>
      <c r="H260" s="64" t="n"/>
      <c r="I260" s="78" t="n"/>
      <c r="J260" s="78" t="n"/>
      <c r="K260" s="78" t="n"/>
      <c r="L260" s="82" t="n"/>
      <c r="M260" s="67" t="n"/>
      <c r="N260" s="89" t="n"/>
      <c r="O260" s="67" t="n"/>
      <c r="P260" s="89" t="n"/>
      <c r="R260" s="63">
        <f>IF(Q260="","",IF(Q260="Open",TODAY()-N260,"--"))</f>
        <v/>
      </c>
      <c r="S260" s="63">
        <f>IF(Q260="","",IF(Q260="Closed",P260-N260,"--"))</f>
        <v/>
      </c>
      <c r="W260" s="50" t="n"/>
    </row>
    <row r="261" ht="15" customHeight="1" s="130">
      <c r="B261" s="64">
        <f>IF(C261="","",B260+1)</f>
        <v/>
      </c>
      <c r="C261" s="77" t="n"/>
      <c r="D261" s="77" t="n"/>
      <c r="E261" s="82" t="n"/>
      <c r="F261" s="77" t="n"/>
      <c r="G261" s="64">
        <f>IF($F261="","",IFERROR(INDEX('WORK PACKAGES'!$A$2:$A$100,MATCH($F261,'WORK PACKAGES'!$D$2:$D$100,0)),""))</f>
        <v/>
      </c>
      <c r="H261" s="64" t="n"/>
      <c r="I261" s="78" t="n"/>
      <c r="J261" s="78" t="n"/>
      <c r="K261" s="78" t="n"/>
      <c r="L261" s="91" t="n"/>
      <c r="M261" s="67" t="n"/>
      <c r="N261" s="89" t="n"/>
      <c r="O261" s="67" t="n"/>
      <c r="P261" s="89" t="n"/>
      <c r="R261" s="63">
        <f>IF(Q261="","",IF(Q261="Open",TODAY()-N261,"--"))</f>
        <v/>
      </c>
      <c r="S261" s="63">
        <f>IF(Q261="","",IF(Q261="Closed",P261-N261,"--"))</f>
        <v/>
      </c>
      <c r="W261" s="50" t="n"/>
    </row>
    <row r="262" ht="15" customHeight="1" s="130">
      <c r="B262" s="64">
        <f>IF(C262="","",B261+1)</f>
        <v/>
      </c>
      <c r="C262" s="77" t="n"/>
      <c r="D262" s="77" t="n"/>
      <c r="E262" s="82" t="n"/>
      <c r="F262" s="77" t="n"/>
      <c r="G262" s="64">
        <f>IF($F262="","",IFERROR(INDEX('WORK PACKAGES'!$A$2:$A$100,MATCH($F262,'WORK PACKAGES'!$D$2:$D$100,0)),""))</f>
        <v/>
      </c>
      <c r="H262" s="64" t="n"/>
      <c r="I262" s="78" t="n"/>
      <c r="J262" s="78" t="n"/>
      <c r="K262" s="78" t="n"/>
      <c r="L262" s="82" t="n"/>
      <c r="M262" s="67" t="n"/>
      <c r="N262" s="89" t="n"/>
      <c r="O262" s="67" t="n"/>
      <c r="P262" s="89" t="n"/>
      <c r="R262" s="63">
        <f>IF(Q262="","",IF(Q262="Open",TODAY()-N262,"--"))</f>
        <v/>
      </c>
      <c r="S262" s="63">
        <f>IF(Q262="","",IF(Q262="Closed",P262-N262,"--"))</f>
        <v/>
      </c>
      <c r="W262" s="50" t="n"/>
    </row>
    <row r="263" ht="15" customHeight="1" s="130">
      <c r="B263" s="64">
        <f>IF(C263="","",B262+1)</f>
        <v/>
      </c>
      <c r="C263" s="77" t="n"/>
      <c r="D263" s="77" t="n"/>
      <c r="E263" s="82" t="n"/>
      <c r="F263" s="77" t="n"/>
      <c r="G263" s="64">
        <f>IF($F263="","",IFERROR(INDEX('WORK PACKAGES'!$A$2:$A$100,MATCH($F263,'WORK PACKAGES'!$D$2:$D$100,0)),""))</f>
        <v/>
      </c>
      <c r="H263" s="64" t="n"/>
      <c r="I263" s="78" t="n"/>
      <c r="J263" s="67" t="n"/>
      <c r="K263" s="78" t="n"/>
      <c r="L263" s="82" t="n"/>
      <c r="M263" s="78" t="n"/>
      <c r="N263" s="79" t="n"/>
      <c r="O263" s="78" t="n"/>
      <c r="P263" s="79" t="n"/>
      <c r="R263" s="63">
        <f>IF(Q263="","",IF(Q263="Open",TODAY()-N263,"--"))</f>
        <v/>
      </c>
      <c r="S263" s="63">
        <f>IF(Q263="","",IF(Q263="Closed",P263-N263,"--"))</f>
        <v/>
      </c>
      <c r="W263" s="50" t="n"/>
    </row>
    <row r="264" ht="15" customHeight="1" s="130">
      <c r="B264" s="64">
        <f>IF(C264="","",B263+1)</f>
        <v/>
      </c>
      <c r="C264" s="77" t="n"/>
      <c r="D264" s="77" t="n"/>
      <c r="E264" s="82" t="n"/>
      <c r="F264" s="77" t="n"/>
      <c r="G264" s="64">
        <f>IF($F264="","",IFERROR(INDEX('WORK PACKAGES'!$A$2:$A$100,MATCH($F264,'WORK PACKAGES'!$D$2:$D$100,0)),""))</f>
        <v/>
      </c>
      <c r="H264" s="64" t="n"/>
      <c r="I264" s="78" t="n"/>
      <c r="J264" s="78" t="n"/>
      <c r="K264" s="78" t="n"/>
      <c r="L264" s="82" t="n"/>
      <c r="M264" s="67" t="n"/>
      <c r="N264" s="89" t="n"/>
      <c r="O264" s="67" t="n"/>
      <c r="P264" s="89" t="n"/>
      <c r="R264" s="63">
        <f>IF(Q264="","",IF(Q264="Open",TODAY()-N264,"--"))</f>
        <v/>
      </c>
      <c r="S264" s="63">
        <f>IF(Q264="","",IF(Q264="Closed",P264-N264,"--"))</f>
        <v/>
      </c>
      <c r="W264" s="50" t="n"/>
    </row>
    <row r="265" ht="15" customHeight="1" s="130">
      <c r="B265" s="64">
        <f>IF(C265="","",B264+1)</f>
        <v/>
      </c>
      <c r="C265" s="77" t="n"/>
      <c r="D265" s="77" t="n"/>
      <c r="E265" s="82" t="n"/>
      <c r="F265" s="77" t="n"/>
      <c r="G265" s="64">
        <f>IF($F265="","",IFERROR(INDEX('WORK PACKAGES'!$A$2:$A$100,MATCH($F265,'WORK PACKAGES'!$D$2:$D$100,0)),""))</f>
        <v/>
      </c>
      <c r="H265" s="64" t="n"/>
      <c r="I265" s="78" t="n"/>
      <c r="J265" s="67" t="n"/>
      <c r="K265" s="78" t="n"/>
      <c r="L265" s="82" t="n"/>
      <c r="M265" s="67" t="n"/>
      <c r="N265" s="79" t="n"/>
      <c r="O265" s="78" t="n"/>
      <c r="P265" s="79" t="n"/>
      <c r="R265" s="63">
        <f>IF(Q265="","",IF(Q265="Open",TODAY()-N265,"--"))</f>
        <v/>
      </c>
      <c r="S265" s="63">
        <f>IF(Q265="","",IF(Q265="Closed",P265-N265,"--"))</f>
        <v/>
      </c>
      <c r="W265" s="50" t="n"/>
    </row>
    <row r="266" ht="15" customHeight="1" s="130">
      <c r="B266" s="64">
        <f>IF(C266="","",B265+1)</f>
        <v/>
      </c>
      <c r="C266" s="77" t="n"/>
      <c r="D266" s="65" t="n"/>
      <c r="E266" s="82" t="n"/>
      <c r="F266" s="77" t="n"/>
      <c r="G266" s="64">
        <f>IF($F266="","",IFERROR(INDEX('WORK PACKAGES'!$A$2:$A$100,MATCH($F266,'WORK PACKAGES'!$D$2:$D$100,0)),""))</f>
        <v/>
      </c>
      <c r="H266" s="64" t="n"/>
      <c r="I266" s="78" t="n"/>
      <c r="J266" s="67" t="n"/>
      <c r="K266" s="78" t="n"/>
      <c r="L266" s="82" t="n"/>
      <c r="M266" s="67" t="n"/>
      <c r="N266" s="89" t="n"/>
      <c r="O266" s="78" t="n"/>
      <c r="P266" s="79" t="n"/>
      <c r="R266" s="63">
        <f>IF(Q266="","",IF(Q266="Open",TODAY()-N266,"--"))</f>
        <v/>
      </c>
      <c r="S266" s="63">
        <f>IF(Q266="","",IF(Q266="Closed",P266-N266,"--"))</f>
        <v/>
      </c>
      <c r="W266" s="50" t="n"/>
    </row>
    <row r="267" ht="15" customHeight="1" s="130">
      <c r="B267" s="64">
        <f>IF(C267="","",B266+1)</f>
        <v/>
      </c>
      <c r="C267" s="77" t="n"/>
      <c r="D267" s="77" t="n"/>
      <c r="E267" s="82" t="n"/>
      <c r="F267" s="77" t="n"/>
      <c r="G267" s="64">
        <f>IF($F267="","",IFERROR(INDEX('WORK PACKAGES'!$A$2:$A$100,MATCH($F267,'WORK PACKAGES'!$D$2:$D$100,0)),""))</f>
        <v/>
      </c>
      <c r="H267" s="64" t="n"/>
      <c r="I267" s="78" t="n"/>
      <c r="J267" s="78" t="n"/>
      <c r="K267" s="78" t="n"/>
      <c r="L267" s="82" t="n"/>
      <c r="M267" s="67" t="n"/>
      <c r="N267" s="89" t="n"/>
      <c r="O267" s="78" t="n"/>
      <c r="P267" s="79" t="n"/>
      <c r="R267" s="63">
        <f>IF(Q267="","",IF(Q267="Open",TODAY()-N267,"--"))</f>
        <v/>
      </c>
      <c r="S267" s="63">
        <f>IF(Q267="","",IF(Q267="Closed",P267-N267,"--"))</f>
        <v/>
      </c>
      <c r="W267" s="50" t="n"/>
    </row>
    <row r="268" ht="15" customHeight="1" s="130">
      <c r="B268" s="64">
        <f>IF(C268="","",B267+1)</f>
        <v/>
      </c>
      <c r="C268" s="65" t="n"/>
      <c r="D268" s="77" t="n"/>
      <c r="E268" s="82" t="n"/>
      <c r="F268" s="77" t="n"/>
      <c r="G268" s="64">
        <f>IF($F268="","",IFERROR(INDEX('WORK PACKAGES'!$A$2:$A$100,MATCH($F268,'WORK PACKAGES'!$D$2:$D$100,0)),""))</f>
        <v/>
      </c>
      <c r="H268" s="64" t="n"/>
      <c r="I268" s="78" t="n"/>
      <c r="J268" s="78" t="n"/>
      <c r="K268" s="78" t="n"/>
      <c r="L268" s="82" t="n"/>
      <c r="M268" s="67" t="n"/>
      <c r="N268" s="89" t="n"/>
      <c r="O268" s="78" t="n"/>
      <c r="P268" s="79" t="n"/>
      <c r="R268" s="63">
        <f>IF(Q268="","",IF(Q268="Open",TODAY()-N268,"--"))</f>
        <v/>
      </c>
      <c r="S268" s="63">
        <f>IF(Q268="","",IF(Q268="Closed",P268-N268,"--"))</f>
        <v/>
      </c>
      <c r="W268" s="50" t="n"/>
    </row>
    <row r="269" ht="15" customHeight="1" s="130">
      <c r="B269" s="64">
        <f>IF(C269="","",B268+1)</f>
        <v/>
      </c>
      <c r="C269" s="65" t="n"/>
      <c r="D269" s="77" t="n"/>
      <c r="E269" s="82" t="n"/>
      <c r="F269" s="77" t="n"/>
      <c r="G269" s="64">
        <f>IF($F269="","",IFERROR(INDEX('WORK PACKAGES'!$A$2:$A$100,MATCH($F269,'WORK PACKAGES'!$D$2:$D$100,0)),""))</f>
        <v/>
      </c>
      <c r="H269" s="64" t="n"/>
      <c r="I269" s="78" t="n"/>
      <c r="J269" s="78" t="n"/>
      <c r="K269" s="78" t="n"/>
      <c r="L269" s="82" t="n"/>
      <c r="M269" s="67" t="n"/>
      <c r="N269" s="89" t="n"/>
      <c r="O269" s="78" t="n"/>
      <c r="P269" s="79" t="n"/>
      <c r="R269" s="63">
        <f>IF(Q269="","",IF(Q269="Open",TODAY()-N269,"--"))</f>
        <v/>
      </c>
      <c r="S269" s="63">
        <f>IF(Q269="","",IF(Q269="Closed",P269-N269,"--"))</f>
        <v/>
      </c>
      <c r="W269" s="50" t="n"/>
    </row>
    <row r="270" ht="15" customHeight="1" s="130">
      <c r="B270" s="64">
        <f>IF(C270="","",B269+1)</f>
        <v/>
      </c>
      <c r="C270" s="65" t="n"/>
      <c r="D270" s="77" t="n"/>
      <c r="E270" s="82" t="n"/>
      <c r="F270" s="77" t="n"/>
      <c r="G270" s="64">
        <f>IF($F270="","",IFERROR(INDEX('WORK PACKAGES'!$A$2:$A$100,MATCH($F270,'WORK PACKAGES'!$D$2:$D$100,0)),""))</f>
        <v/>
      </c>
      <c r="H270" s="64" t="n"/>
      <c r="I270" s="78" t="n"/>
      <c r="J270" s="78" t="n"/>
      <c r="K270" s="78" t="n"/>
      <c r="L270" s="82" t="n"/>
      <c r="M270" s="67" t="n"/>
      <c r="N270" s="89" t="n"/>
      <c r="O270" s="78" t="n"/>
      <c r="P270" s="79" t="n"/>
      <c r="R270" s="63">
        <f>IF(Q270="","",IF(Q270="Open",TODAY()-N270,"--"))</f>
        <v/>
      </c>
      <c r="S270" s="63">
        <f>IF(Q270="","",IF(Q270="Closed",P270-N270,"--"))</f>
        <v/>
      </c>
      <c r="W270" s="50" t="n"/>
    </row>
    <row r="271" ht="15" customHeight="1" s="130">
      <c r="B271" s="64">
        <f>IF(C271="","",B270+1)</f>
        <v/>
      </c>
      <c r="C271" s="65" t="n"/>
      <c r="D271" s="77" t="n"/>
      <c r="E271" s="82" t="n"/>
      <c r="F271" s="77" t="n"/>
      <c r="G271" s="64">
        <f>IF($F271="","",IFERROR(INDEX('WORK PACKAGES'!$A$2:$A$100,MATCH($F271,'WORK PACKAGES'!$D$2:$D$100,0)),""))</f>
        <v/>
      </c>
      <c r="H271" s="64" t="n"/>
      <c r="I271" s="78" t="n"/>
      <c r="J271" s="78" t="n"/>
      <c r="K271" s="78" t="n"/>
      <c r="L271" s="82" t="n"/>
      <c r="M271" s="67" t="n"/>
      <c r="N271" s="89" t="n"/>
      <c r="O271" s="78" t="n"/>
      <c r="P271" s="78" t="n"/>
      <c r="R271" s="63">
        <f>IF(Q271="","",IF(Q271="Open",TODAY()-N271,"--"))</f>
        <v/>
      </c>
      <c r="S271" s="63">
        <f>IF(Q271="","",IF(Q271="Closed",P271-N271,"--"))</f>
        <v/>
      </c>
      <c r="W271" s="50" t="n"/>
    </row>
    <row r="272" ht="15" customHeight="1" s="130">
      <c r="B272" s="64">
        <f>IF(C272="","",B271+1)</f>
        <v/>
      </c>
      <c r="C272" s="65" t="n"/>
      <c r="D272" s="77" t="n"/>
      <c r="E272" s="82" t="n"/>
      <c r="F272" s="77" t="n"/>
      <c r="G272" s="64">
        <f>IF($F272="","",IFERROR(INDEX('WORK PACKAGES'!$A$2:$A$100,MATCH($F272,'WORK PACKAGES'!$D$2:$D$100,0)),""))</f>
        <v/>
      </c>
      <c r="H272" s="64" t="n"/>
      <c r="I272" s="78" t="n"/>
      <c r="J272" s="78" t="n"/>
      <c r="K272" s="78" t="n"/>
      <c r="L272" s="82" t="n"/>
      <c r="M272" s="67" t="n"/>
      <c r="N272" s="89" t="n"/>
      <c r="O272" s="78" t="n"/>
      <c r="P272" s="78" t="n"/>
      <c r="R272" s="63">
        <f>IF(Q272="","",IF(Q272="Open",TODAY()-N272,"--"))</f>
        <v/>
      </c>
      <c r="S272" s="63">
        <f>IF(Q272="","",IF(Q272="Closed",P272-N272,"--"))</f>
        <v/>
      </c>
      <c r="W272" s="50" t="n"/>
    </row>
    <row r="273" ht="15" customHeight="1" s="130">
      <c r="B273" s="64">
        <f>IF(C273="","",B272+1)</f>
        <v/>
      </c>
      <c r="C273" s="65" t="n"/>
      <c r="D273" s="77" t="n"/>
      <c r="E273" s="82" t="n"/>
      <c r="F273" s="77" t="n"/>
      <c r="G273" s="64">
        <f>IF($F273="","",IFERROR(INDEX('WORK PACKAGES'!$A$2:$A$100,MATCH($F273,'WORK PACKAGES'!$D$2:$D$100,0)),""))</f>
        <v/>
      </c>
      <c r="H273" s="64" t="n"/>
      <c r="I273" s="78" t="n"/>
      <c r="J273" s="78" t="n"/>
      <c r="K273" s="78" t="n"/>
      <c r="L273" s="82" t="n"/>
      <c r="M273" s="67" t="n"/>
      <c r="N273" s="89" t="n"/>
      <c r="O273" s="78" t="n"/>
      <c r="P273" s="79" t="n"/>
      <c r="R273" s="63">
        <f>IF(Q273="","",IF(Q273="Open",TODAY()-N273,"--"))</f>
        <v/>
      </c>
      <c r="S273" s="63">
        <f>IF(Q273="","",IF(Q273="Closed",P273-N273,"--"))</f>
        <v/>
      </c>
      <c r="T273" s="96" t="n"/>
      <c r="U273" s="79" t="n"/>
      <c r="W273" s="50" t="n"/>
    </row>
    <row r="274" ht="15" customHeight="1" s="130">
      <c r="B274" s="64">
        <f>IF(C274="","",B273+1)</f>
        <v/>
      </c>
      <c r="C274" s="65" t="n"/>
      <c r="D274" s="77" t="n"/>
      <c r="E274" s="82" t="n"/>
      <c r="F274" s="77" t="n"/>
      <c r="G274" s="64">
        <f>IF($F274="","",IFERROR(INDEX('WORK PACKAGES'!$A$2:$A$100,MATCH($F274,'WORK PACKAGES'!$D$2:$D$100,0)),""))</f>
        <v/>
      </c>
      <c r="H274" s="64" t="n"/>
      <c r="I274" s="78" t="n"/>
      <c r="J274" s="78" t="n"/>
      <c r="K274" s="78" t="n"/>
      <c r="L274" s="66" t="n"/>
      <c r="M274" s="67" t="n"/>
      <c r="N274" s="89" t="n"/>
      <c r="O274" s="78" t="n"/>
      <c r="P274" s="79" t="n"/>
      <c r="R274" s="63">
        <f>IF(Q274="","",IF(Q274="Open",TODAY()-N274,"--"))</f>
        <v/>
      </c>
      <c r="S274" s="63">
        <f>IF(Q274="","",IF(Q274="Closed",P274-N274,"--"))</f>
        <v/>
      </c>
      <c r="W274" s="50" t="n"/>
    </row>
    <row r="275" ht="15" customHeight="1" s="130">
      <c r="B275" s="64">
        <f>IF(C275="","",B274+1)</f>
        <v/>
      </c>
      <c r="C275" s="65" t="n"/>
      <c r="D275" s="77" t="n"/>
      <c r="E275" s="82" t="n"/>
      <c r="F275" s="77" t="n"/>
      <c r="G275" s="64">
        <f>IF($F275="","",IFERROR(INDEX('WORK PACKAGES'!$A$2:$A$100,MATCH($F275,'WORK PACKAGES'!$D$2:$D$100,0)),""))</f>
        <v/>
      </c>
      <c r="H275" s="64" t="n"/>
      <c r="I275" s="78" t="n"/>
      <c r="J275" s="78" t="n"/>
      <c r="K275" s="78" t="n"/>
      <c r="L275" s="66" t="n"/>
      <c r="M275" s="67" t="n"/>
      <c r="N275" s="89" t="n"/>
      <c r="O275" s="78" t="n"/>
      <c r="P275" s="79" t="n"/>
      <c r="R275" s="63">
        <f>IF(Q275="","",IF(Q275="Open",TODAY()-N275,"--"))</f>
        <v/>
      </c>
      <c r="S275" s="63">
        <f>IF(Q275="","",IF(Q275="Closed",P275-N275,"--"))</f>
        <v/>
      </c>
      <c r="W275" s="50" t="n"/>
    </row>
    <row r="276" ht="15" customHeight="1" s="130">
      <c r="B276" s="64">
        <f>IF(C276="","",B275+1)</f>
        <v/>
      </c>
      <c r="C276" s="65" t="n"/>
      <c r="D276" s="65" t="n"/>
      <c r="E276" s="66" t="n"/>
      <c r="F276" s="77" t="n"/>
      <c r="G276" s="64">
        <f>IF($F276="","",IFERROR(INDEX('WORK PACKAGES'!$A$2:$A$100,MATCH($F276,'WORK PACKAGES'!$D$2:$D$100,0)),""))</f>
        <v/>
      </c>
      <c r="H276" s="64" t="n"/>
      <c r="I276" s="78" t="n"/>
      <c r="J276" s="78" t="n"/>
      <c r="K276" s="78" t="n"/>
      <c r="L276" s="97" t="n"/>
      <c r="M276" s="67" t="n"/>
      <c r="N276" s="89" t="n"/>
      <c r="O276" s="78" t="n"/>
      <c r="P276" s="79" t="n"/>
      <c r="R276" s="63">
        <f>IF(Q276="","",IF(Q276="Open",TODAY()-N276,"--"))</f>
        <v/>
      </c>
      <c r="S276" s="63">
        <f>IF(Q276="","",IF(Q276="Closed",P276-N276,"--"))</f>
        <v/>
      </c>
      <c r="T276" s="96" t="n"/>
      <c r="U276" s="79" t="n"/>
      <c r="W276" s="50" t="n"/>
    </row>
    <row r="277" ht="15" customHeight="1" s="130">
      <c r="B277" s="64">
        <f>IF(C277="","",B276+1)</f>
        <v/>
      </c>
      <c r="C277" s="77" t="n"/>
      <c r="D277" s="77" t="n"/>
      <c r="E277" s="82" t="n"/>
      <c r="F277" s="77" t="n"/>
      <c r="G277" s="64">
        <f>IF($F277="","",IFERROR(INDEX('WORK PACKAGES'!$A$2:$A$100,MATCH($F277,'WORK PACKAGES'!$D$2:$D$100,0)),""))</f>
        <v/>
      </c>
      <c r="H277" s="64" t="n"/>
      <c r="I277" s="78" t="n"/>
      <c r="J277" s="78" t="n"/>
      <c r="K277" s="78" t="n"/>
      <c r="L277" s="98" t="n"/>
      <c r="M277" s="67" t="n"/>
      <c r="N277" s="89" t="n"/>
      <c r="O277" s="78" t="n"/>
      <c r="P277" s="79" t="n"/>
      <c r="R277" s="63">
        <f>IF(Q277="","",IF(Q277="Open",TODAY()-N277,"--"))</f>
        <v/>
      </c>
      <c r="S277" s="63">
        <f>IF(Q277="","",IF(Q277="Closed",P277-N277,"--"))</f>
        <v/>
      </c>
      <c r="T277" s="96" t="n"/>
      <c r="U277" s="79" t="n"/>
      <c r="W277" s="50" t="n"/>
    </row>
    <row r="278" ht="15" customHeight="1" s="130">
      <c r="B278" s="64">
        <f>IF(C278="","",B277+1)</f>
        <v/>
      </c>
      <c r="C278" s="65" t="n"/>
      <c r="D278" s="77" t="n"/>
      <c r="E278" s="82" t="n"/>
      <c r="F278" s="77" t="n"/>
      <c r="G278" s="64">
        <f>IF($F278="","",IFERROR(INDEX('WORK PACKAGES'!$A$2:$A$100,MATCH($F278,'WORK PACKAGES'!$D$2:$D$100,0)),""))</f>
        <v/>
      </c>
      <c r="H278" s="64" t="n"/>
      <c r="I278" s="78" t="n"/>
      <c r="J278" s="78" t="n"/>
      <c r="K278" s="78" t="n"/>
      <c r="L278" s="98" t="n"/>
      <c r="M278" s="67" t="n"/>
      <c r="N278" s="89" t="n"/>
      <c r="O278" s="78" t="n"/>
      <c r="P278" s="79" t="n"/>
      <c r="R278" s="63">
        <f>IF(Q278="","",IF(Q278="Open",TODAY()-N278,"--"))</f>
        <v/>
      </c>
      <c r="S278" s="63">
        <f>IF(Q278="","",IF(Q278="Closed",P278-N278,"--"))</f>
        <v/>
      </c>
      <c r="T278" s="96" t="n"/>
      <c r="U278" s="79" t="n"/>
      <c r="W278" s="50" t="n"/>
    </row>
    <row r="279" ht="15" customHeight="1" s="130">
      <c r="B279" s="64">
        <f>IF(C279="","",B278+1)</f>
        <v/>
      </c>
      <c r="C279" s="77" t="n"/>
      <c r="D279" s="77" t="n"/>
      <c r="E279" s="82" t="n"/>
      <c r="F279" s="77" t="n"/>
      <c r="G279" s="64">
        <f>IF($F279="","",IFERROR(INDEX('WORK PACKAGES'!$A$2:$A$100,MATCH($F279,'WORK PACKAGES'!$D$2:$D$100,0)),""))</f>
        <v/>
      </c>
      <c r="H279" s="64" t="n"/>
      <c r="I279" s="78" t="n"/>
      <c r="J279" s="78" t="n"/>
      <c r="K279" s="78" t="n"/>
      <c r="L279" s="98" t="n"/>
      <c r="M279" s="67" t="n"/>
      <c r="N279" s="89" t="n"/>
      <c r="O279" s="78" t="n"/>
      <c r="P279" s="79" t="n"/>
      <c r="R279" s="63">
        <f>IF(Q279="","",IF(Q279="Open",TODAY()-N279,"--"))</f>
        <v/>
      </c>
      <c r="S279" s="63">
        <f>IF(Q279="","",IF(Q279="Closed",P279-N279,"--"))</f>
        <v/>
      </c>
      <c r="T279" s="96" t="n"/>
      <c r="U279" s="79" t="n"/>
      <c r="W279" s="50" t="n"/>
    </row>
    <row r="280" ht="15" customHeight="1" s="130">
      <c r="B280" s="64">
        <f>IF(C280="","",B279+1)</f>
        <v/>
      </c>
      <c r="C280" s="77" t="n"/>
      <c r="D280" s="77" t="n"/>
      <c r="E280" s="82" t="n"/>
      <c r="F280" s="77" t="n"/>
      <c r="G280" s="64">
        <f>IF($F280="","",IFERROR(INDEX('WORK PACKAGES'!$A$2:$A$100,MATCH($F280,'WORK PACKAGES'!$D$2:$D$100,0)),""))</f>
        <v/>
      </c>
      <c r="H280" s="64" t="n"/>
      <c r="I280" s="78" t="n"/>
      <c r="J280" s="78" t="n"/>
      <c r="K280" s="78" t="n"/>
      <c r="L280" s="98" t="n"/>
      <c r="M280" s="67" t="n"/>
      <c r="N280" s="89" t="n"/>
      <c r="O280" s="78" t="n"/>
      <c r="P280" s="79" t="n"/>
      <c r="R280" s="63">
        <f>IF(Q280="","",IF(Q280="Open",TODAY()-N280,"--"))</f>
        <v/>
      </c>
      <c r="S280" s="63">
        <f>IF(Q280="","",IF(Q280="Closed",P280-N280,"--"))</f>
        <v/>
      </c>
      <c r="T280" s="96" t="n"/>
      <c r="U280" s="79" t="n"/>
      <c r="W280" s="50" t="n"/>
    </row>
    <row r="281" ht="15" customHeight="1" s="130">
      <c r="B281" s="64">
        <f>IF(C281="","",B280+1)</f>
        <v/>
      </c>
      <c r="C281" s="65" t="n"/>
      <c r="D281" s="77" t="n"/>
      <c r="E281" s="82" t="n"/>
      <c r="F281" s="77" t="n"/>
      <c r="G281" s="64">
        <f>IF($F281="","",IFERROR(INDEX('WORK PACKAGES'!$A$2:$A$100,MATCH($F281,'WORK PACKAGES'!$D$2:$D$100,0)),""))</f>
        <v/>
      </c>
      <c r="H281" s="64" t="n"/>
      <c r="I281" s="78" t="n"/>
      <c r="J281" s="78" t="n"/>
      <c r="K281" s="78" t="n"/>
      <c r="L281" s="98" t="n"/>
      <c r="M281" s="67" t="n"/>
      <c r="N281" s="89" t="n"/>
      <c r="O281" s="78" t="n"/>
      <c r="P281" s="79" t="n"/>
      <c r="R281" s="63">
        <f>IF(Q281="","",IF(Q281="Open",TODAY()-N281,"--"))</f>
        <v/>
      </c>
      <c r="S281" s="63">
        <f>IF(Q281="","",IF(Q281="Closed",P281-N281,"--"))</f>
        <v/>
      </c>
      <c r="T281" s="96" t="n"/>
      <c r="U281" s="79" t="n"/>
      <c r="W281" s="50" t="n"/>
    </row>
    <row r="282" ht="15" customHeight="1" s="130">
      <c r="B282" s="64">
        <f>IF(C282="","",B281+1)</f>
        <v/>
      </c>
      <c r="C282" s="65" t="n"/>
      <c r="D282" s="77" t="n"/>
      <c r="E282" s="82" t="n"/>
      <c r="F282" s="77" t="n"/>
      <c r="G282" s="64">
        <f>IF($F282="","",IFERROR(INDEX('WORK PACKAGES'!$A$2:$A$100,MATCH($F282,'WORK PACKAGES'!$D$2:$D$100,0)),""))</f>
        <v/>
      </c>
      <c r="H282" s="64" t="n"/>
      <c r="I282" s="78" t="n"/>
      <c r="J282" s="78" t="n"/>
      <c r="K282" s="78" t="n"/>
      <c r="L282" s="98" t="n"/>
      <c r="M282" s="67" t="n"/>
      <c r="N282" s="89" t="n"/>
      <c r="O282" s="78" t="n"/>
      <c r="P282" s="79" t="n"/>
      <c r="R282" s="63">
        <f>IF(Q282="","",IF(Q282="Open",TODAY()-N282,"--"))</f>
        <v/>
      </c>
      <c r="S282" s="63">
        <f>IF(Q282="","",IF(Q282="Closed",P282-N282,"--"))</f>
        <v/>
      </c>
      <c r="T282" s="96" t="n"/>
      <c r="U282" s="79" t="n"/>
      <c r="W282" s="50" t="n"/>
    </row>
    <row r="283" ht="15" customHeight="1" s="130">
      <c r="B283" s="64">
        <f>IF(C283="","",B282+1)</f>
        <v/>
      </c>
      <c r="C283" s="77" t="n"/>
      <c r="D283" s="77" t="n"/>
      <c r="E283" s="82" t="n"/>
      <c r="F283" s="77" t="n"/>
      <c r="G283" s="64">
        <f>IF($F283="","",IFERROR(INDEX('WORK PACKAGES'!$A$2:$A$100,MATCH($F283,'WORK PACKAGES'!$D$2:$D$100,0)),""))</f>
        <v/>
      </c>
      <c r="H283" s="64" t="n"/>
      <c r="I283" s="78" t="n"/>
      <c r="J283" s="78" t="n"/>
      <c r="K283" s="78" t="n"/>
      <c r="L283" s="98" t="n"/>
      <c r="M283" s="78" t="n"/>
      <c r="N283" s="79" t="n"/>
      <c r="O283" s="78" t="n"/>
      <c r="P283" s="79" t="n"/>
      <c r="R283" s="63">
        <f>IF(Q283="","",IF(Q283="Open",TODAY()-N283,"--"))</f>
        <v/>
      </c>
      <c r="S283" s="63">
        <f>IF(Q283="","",IF(Q283="Closed",P283-N283,"--"))</f>
        <v/>
      </c>
      <c r="T283" s="96" t="n"/>
      <c r="U283" s="79" t="n"/>
      <c r="W283" s="50" t="n"/>
    </row>
    <row r="284" ht="15" customHeight="1" s="130">
      <c r="B284" s="64">
        <f>IF(C284="","",B283+1)</f>
        <v/>
      </c>
      <c r="C284" s="77" t="n"/>
      <c r="D284" s="77" t="n"/>
      <c r="E284" s="82" t="n"/>
      <c r="F284" s="77" t="n"/>
      <c r="G284" s="64">
        <f>IF($F284="","",IFERROR(INDEX('WORK PACKAGES'!$A$2:$A$100,MATCH($F284,'WORK PACKAGES'!$D$2:$D$100,0)),""))</f>
        <v/>
      </c>
      <c r="H284" s="64" t="n"/>
      <c r="I284" s="78" t="n"/>
      <c r="J284" s="78" t="n"/>
      <c r="K284" s="78" t="n"/>
      <c r="L284" s="82" t="n"/>
      <c r="M284" s="78" t="n"/>
      <c r="N284" s="79" t="n"/>
      <c r="O284" s="78" t="n"/>
      <c r="P284" s="79" t="n"/>
      <c r="R284" s="63">
        <f>IF(Q284="","",IF(Q284="Open",TODAY()-N284,"--"))</f>
        <v/>
      </c>
      <c r="S284" s="63">
        <f>IF(Q284="","",IF(Q284="Closed",P284-N284,"--"))</f>
        <v/>
      </c>
      <c r="T284" s="96" t="n"/>
      <c r="U284" s="79" t="n"/>
      <c r="W284" s="50" t="n"/>
    </row>
    <row r="285" ht="15" customHeight="1" s="130">
      <c r="B285" s="64">
        <f>IF(C285="","",B284+1)</f>
        <v/>
      </c>
      <c r="C285" s="77" t="n"/>
      <c r="D285" s="77" t="n"/>
      <c r="E285" s="82" t="n"/>
      <c r="F285" s="77" t="n"/>
      <c r="G285" s="64">
        <f>IF($F285="","",IFERROR(INDEX('WORK PACKAGES'!$A$2:$A$100,MATCH($F285,'WORK PACKAGES'!$D$2:$D$100,0)),""))</f>
        <v/>
      </c>
      <c r="H285" s="64" t="n"/>
      <c r="I285" s="78" t="n"/>
      <c r="J285" s="78" t="n"/>
      <c r="K285" s="78" t="n"/>
      <c r="L285" s="82" t="n"/>
      <c r="M285" s="78" t="n"/>
      <c r="N285" s="79" t="n"/>
      <c r="O285" s="78" t="n"/>
      <c r="P285" s="79" t="n"/>
      <c r="R285" s="63">
        <f>IF(Q285="","",IF(Q285="Open",TODAY()-N285,"--"))</f>
        <v/>
      </c>
      <c r="S285" s="63">
        <f>IF(Q285="","",IF(Q285="Closed",P285-N285,"--"))</f>
        <v/>
      </c>
      <c r="T285" s="96" t="n"/>
      <c r="U285" s="79" t="n"/>
      <c r="W285" s="50" t="n"/>
    </row>
    <row r="286" ht="15" customHeight="1" s="130">
      <c r="B286" s="64">
        <f>IF(C286="","",B285+1)</f>
        <v/>
      </c>
      <c r="C286" s="77" t="n"/>
      <c r="D286" s="77" t="n"/>
      <c r="E286" s="82" t="n"/>
      <c r="F286" s="77" t="n"/>
      <c r="G286" s="64">
        <f>IF($F286="","",IFERROR(INDEX('WORK PACKAGES'!$A$2:$A$100,MATCH($F286,'WORK PACKAGES'!$D$2:$D$100,0)),""))</f>
        <v/>
      </c>
      <c r="H286" s="64" t="n"/>
      <c r="I286" s="78" t="n"/>
      <c r="J286" s="78" t="n"/>
      <c r="K286" s="78" t="n"/>
      <c r="L286" s="98" t="n"/>
      <c r="M286" s="78" t="n"/>
      <c r="N286" s="79" t="n"/>
      <c r="O286" s="78" t="n"/>
      <c r="P286" s="79" t="n"/>
      <c r="R286" s="63">
        <f>IF(Q286="","",IF(Q286="Open",TODAY()-N286,"--"))</f>
        <v/>
      </c>
      <c r="S286" s="63">
        <f>IF(Q286="","",IF(Q286="Closed",P286-N286,"--"))</f>
        <v/>
      </c>
      <c r="W286" s="50" t="n"/>
    </row>
    <row r="287" ht="15" customHeight="1" s="130">
      <c r="B287" s="64">
        <f>IF(C287="","",B286+1)</f>
        <v/>
      </c>
      <c r="C287" s="77" t="n"/>
      <c r="D287" s="77" t="n"/>
      <c r="E287" s="82" t="n"/>
      <c r="F287" s="77" t="n"/>
      <c r="G287" s="64">
        <f>IF($F287="","",IFERROR(INDEX('WORK PACKAGES'!$A$2:$A$100,MATCH($F287,'WORK PACKAGES'!$D$2:$D$100,0)),""))</f>
        <v/>
      </c>
      <c r="H287" s="64" t="n"/>
      <c r="I287" s="78" t="n"/>
      <c r="J287" s="78" t="n"/>
      <c r="K287" s="78" t="n"/>
      <c r="L287" s="98" t="n"/>
      <c r="M287" s="78" t="n"/>
      <c r="N287" s="79" t="n"/>
      <c r="O287" s="78" t="n"/>
      <c r="P287" s="79" t="n"/>
      <c r="R287" s="63">
        <f>IF(Q287="","",IF(Q287="Open",TODAY()-N287,"--"))</f>
        <v/>
      </c>
      <c r="S287" s="63">
        <f>IF(Q287="","",IF(Q287="Closed",P287-N287,"--"))</f>
        <v/>
      </c>
      <c r="W287" s="50" t="n"/>
    </row>
    <row r="288" ht="15" customHeight="1" s="130">
      <c r="B288" s="64">
        <f>IF(C288="","",B287+1)</f>
        <v/>
      </c>
      <c r="C288" s="77" t="n"/>
      <c r="D288" s="77" t="n"/>
      <c r="E288" s="82" t="n"/>
      <c r="F288" s="77" t="n"/>
      <c r="G288" s="64">
        <f>IF($F288="","",IFERROR(INDEX('WORK PACKAGES'!$A$2:$A$100,MATCH($F288,'WORK PACKAGES'!$D$2:$D$100,0)),""))</f>
        <v/>
      </c>
      <c r="H288" s="64" t="n"/>
      <c r="I288" s="78" t="n"/>
      <c r="J288" s="78" t="n"/>
      <c r="K288" s="78" t="n"/>
      <c r="L288" s="98" t="n"/>
      <c r="M288" s="78" t="n"/>
      <c r="N288" s="79" t="n"/>
      <c r="O288" s="78" t="n"/>
      <c r="P288" s="79" t="n"/>
      <c r="R288" s="63">
        <f>IF(Q288="","",IF(Q288="Open",TODAY()-N288,"--"))</f>
        <v/>
      </c>
      <c r="S288" s="63">
        <f>IF(Q288="","",IF(Q288="Closed",P288-N288,"--"))</f>
        <v/>
      </c>
      <c r="W288" s="50" t="n"/>
    </row>
    <row r="289" ht="15" customHeight="1" s="130">
      <c r="B289" s="64">
        <f>IF(C289="","",B288+1)</f>
        <v/>
      </c>
      <c r="C289" s="77" t="n"/>
      <c r="D289" s="77" t="n"/>
      <c r="E289" s="82" t="n"/>
      <c r="F289" s="77" t="n"/>
      <c r="G289" s="64">
        <f>IF($F289="","",IFERROR(INDEX('WORK PACKAGES'!$A$2:$A$100,MATCH($F289,'WORK PACKAGES'!$D$2:$D$100,0)),""))</f>
        <v/>
      </c>
      <c r="H289" s="64" t="n"/>
      <c r="I289" s="67" t="n"/>
      <c r="J289" s="99" t="n"/>
      <c r="K289" s="67" t="n"/>
      <c r="L289" s="98" t="n"/>
      <c r="M289" s="78" t="n"/>
      <c r="N289" s="79" t="n"/>
      <c r="O289" s="78" t="n"/>
      <c r="P289" s="79" t="n"/>
      <c r="R289" s="63">
        <f>IF(Q289="","",IF(Q289="Open",TODAY()-N289,"--"))</f>
        <v/>
      </c>
      <c r="S289" s="63">
        <f>IF(Q289="","",IF(Q289="Closed",P289-N289,"--"))</f>
        <v/>
      </c>
      <c r="W289" s="50" t="n"/>
    </row>
    <row r="290" ht="15" customHeight="1" s="130">
      <c r="B290" s="64">
        <f>IF(C290="","",B289+1)</f>
        <v/>
      </c>
      <c r="C290" s="77" t="n"/>
      <c r="D290" s="77" t="n"/>
      <c r="E290" s="82" t="n"/>
      <c r="F290" s="77" t="n"/>
      <c r="G290" s="64">
        <f>IF($F290="","",IFERROR(INDEX('WORK PACKAGES'!$A$2:$A$100,MATCH($F290,'WORK PACKAGES'!$D$2:$D$100,0)),""))</f>
        <v/>
      </c>
      <c r="H290" s="64" t="n"/>
      <c r="I290" s="67" t="n"/>
      <c r="J290" s="99" t="n"/>
      <c r="K290" s="67" t="n"/>
      <c r="L290" s="98" t="n"/>
      <c r="M290" s="78" t="n"/>
      <c r="N290" s="79" t="n"/>
      <c r="O290" s="78" t="n"/>
      <c r="P290" s="79" t="n"/>
      <c r="R290" s="63">
        <f>IF(Q290="","",IF(Q290="Open",TODAY()-N290,"--"))</f>
        <v/>
      </c>
      <c r="S290" s="63">
        <f>IF(Q290="","",IF(Q290="Closed",P290-N290,"--"))</f>
        <v/>
      </c>
      <c r="W290" s="50" t="n"/>
    </row>
    <row r="291" ht="15" customHeight="1" s="130">
      <c r="B291" s="64">
        <f>IF(C291="","",B290+1)</f>
        <v/>
      </c>
      <c r="C291" s="65" t="n"/>
      <c r="D291" s="77" t="n"/>
      <c r="E291" s="82" t="n"/>
      <c r="F291" s="77" t="n"/>
      <c r="G291" s="64">
        <f>IF($F291="","",IFERROR(INDEX('WORK PACKAGES'!$A$2:$A$100,MATCH($F291,'WORK PACKAGES'!$D$2:$D$100,0)),""))</f>
        <v/>
      </c>
      <c r="H291" s="64" t="n"/>
      <c r="I291" s="78" t="n"/>
      <c r="J291" s="99" t="n"/>
      <c r="K291" s="78" t="n"/>
      <c r="L291" s="98" t="n"/>
      <c r="M291" s="78" t="n"/>
      <c r="N291" s="79" t="n"/>
      <c r="O291" s="78" t="n"/>
      <c r="P291" s="79" t="n"/>
      <c r="R291" s="63">
        <f>IF(Q291="","",IF(Q291="Open",TODAY()-N291,"--"))</f>
        <v/>
      </c>
      <c r="S291" s="63">
        <f>IF(Q291="","",IF(Q291="Closed",P291-N291,"--"))</f>
        <v/>
      </c>
      <c r="W291" s="50" t="n"/>
    </row>
    <row r="292" ht="15" customHeight="1" s="130">
      <c r="B292" s="64">
        <f>IF(C292="","",B291+1)</f>
        <v/>
      </c>
      <c r="C292" s="65" t="n"/>
      <c r="D292" s="77" t="n"/>
      <c r="E292" s="82" t="n"/>
      <c r="F292" s="77" t="n"/>
      <c r="G292" s="64">
        <f>IF($F292="","",IFERROR(INDEX('WORK PACKAGES'!$A$2:$A$100,MATCH($F292,'WORK PACKAGES'!$D$2:$D$100,0)),""))</f>
        <v/>
      </c>
      <c r="H292" s="64" t="n"/>
      <c r="I292" s="78" t="n"/>
      <c r="J292" s="99" t="n"/>
      <c r="K292" s="67" t="n"/>
      <c r="L292" s="82" t="n"/>
      <c r="M292" s="78" t="n"/>
      <c r="N292" s="79" t="n"/>
      <c r="O292" s="78" t="n"/>
      <c r="P292" s="79" t="n"/>
      <c r="R292" s="63">
        <f>IF(Q292="","",IF(Q292="Open",TODAY()-N292,"--"))</f>
        <v/>
      </c>
      <c r="S292" s="63">
        <f>IF(Q292="","",IF(Q292="Closed",P292-N292,"--"))</f>
        <v/>
      </c>
      <c r="W292" s="50" t="n"/>
    </row>
    <row r="293" ht="15" customHeight="1" s="130">
      <c r="B293" s="64">
        <f>IF(C293="","",B292+1)</f>
        <v/>
      </c>
      <c r="C293" s="65" t="n"/>
      <c r="D293" s="77" t="n"/>
      <c r="E293" s="82" t="n"/>
      <c r="F293" s="77" t="n"/>
      <c r="G293" s="64">
        <f>IF($F293="","",IFERROR(INDEX('WORK PACKAGES'!$A$2:$A$100,MATCH($F293,'WORK PACKAGES'!$D$2:$D$100,0)),""))</f>
        <v/>
      </c>
      <c r="H293" s="64" t="n"/>
      <c r="I293" s="78" t="n"/>
      <c r="J293" s="99" t="n"/>
      <c r="K293" s="78" t="n"/>
      <c r="L293" s="82" t="n"/>
      <c r="M293" s="78" t="n"/>
      <c r="N293" s="79" t="n"/>
      <c r="O293" s="78" t="n"/>
      <c r="P293" s="79" t="n"/>
      <c r="R293" s="63">
        <f>IF(Q293="","",IF(Q293="Open",TODAY()-N293,"--"))</f>
        <v/>
      </c>
      <c r="S293" s="63">
        <f>IF(Q293="","",IF(Q293="Closed",P293-N293,"--"))</f>
        <v/>
      </c>
      <c r="W293" s="50" t="n"/>
    </row>
    <row r="294" ht="15" customHeight="1" s="130">
      <c r="B294" s="64">
        <f>IF(C294="","",B293+1)</f>
        <v/>
      </c>
      <c r="C294" s="65" t="n"/>
      <c r="D294" s="77" t="n"/>
      <c r="E294" s="82" t="n"/>
      <c r="F294" s="77" t="n"/>
      <c r="G294" s="64">
        <f>IF($F294="","",IFERROR(INDEX('WORK PACKAGES'!$A$2:$A$100,MATCH($F294,'WORK PACKAGES'!$D$2:$D$100,0)),""))</f>
        <v/>
      </c>
      <c r="H294" s="64" t="n"/>
      <c r="I294" s="78" t="n"/>
      <c r="J294" s="99" t="n"/>
      <c r="K294" s="78" t="n"/>
      <c r="L294" s="82" t="n"/>
      <c r="M294" s="78" t="n"/>
      <c r="N294" s="79" t="n"/>
      <c r="O294" s="78" t="n"/>
      <c r="P294" s="79" t="n"/>
      <c r="R294" s="63">
        <f>IF(Q294="","",IF(Q294="Open",TODAY()-N294,"--"))</f>
        <v/>
      </c>
      <c r="S294" s="63">
        <f>IF(Q294="","",IF(Q294="Closed",P294-N294,"--"))</f>
        <v/>
      </c>
      <c r="W294" s="50" t="n"/>
    </row>
    <row r="295" ht="15" customHeight="1" s="130">
      <c r="B295" s="64">
        <f>IF(C295="","",B294+1)</f>
        <v/>
      </c>
      <c r="C295" s="65" t="n"/>
      <c r="D295" s="77" t="n"/>
      <c r="E295" s="82" t="n"/>
      <c r="F295" s="77" t="n"/>
      <c r="G295" s="64">
        <f>IF($F295="","",IFERROR(INDEX('WORK PACKAGES'!$A$2:$A$100,MATCH($F295,'WORK PACKAGES'!$D$2:$D$100,0)),""))</f>
        <v/>
      </c>
      <c r="H295" s="64" t="n"/>
      <c r="I295" s="78" t="n"/>
      <c r="J295" s="99" t="n"/>
      <c r="K295" s="78" t="n"/>
      <c r="L295" s="82" t="n"/>
      <c r="M295" s="78" t="n"/>
      <c r="N295" s="79" t="n"/>
      <c r="O295" s="78" t="n"/>
      <c r="P295" s="79" t="n"/>
      <c r="R295" s="63">
        <f>IF(Q295="","",IF(Q295="Open",TODAY()-N295,"--"))</f>
        <v/>
      </c>
      <c r="S295" s="63">
        <f>IF(Q295="","",IF(Q295="Closed",P295-N295,"--"))</f>
        <v/>
      </c>
      <c r="W295" s="50" t="n"/>
    </row>
    <row r="296" ht="15" customHeight="1" s="130">
      <c r="B296" s="64">
        <f>IF(C296="","",B295+1)</f>
        <v/>
      </c>
      <c r="C296" s="65" t="n"/>
      <c r="D296" s="77" t="n"/>
      <c r="E296" s="82" t="n"/>
      <c r="F296" s="77" t="n"/>
      <c r="G296" s="64">
        <f>IF($F296="","",IFERROR(INDEX('WORK PACKAGES'!$A$2:$A$100,MATCH($F296,'WORK PACKAGES'!$D$2:$D$100,0)),""))</f>
        <v/>
      </c>
      <c r="H296" s="64" t="n"/>
      <c r="I296" s="78" t="n"/>
      <c r="J296" s="99" t="n"/>
      <c r="K296" s="67" t="n"/>
      <c r="L296" s="82" t="n"/>
      <c r="M296" s="78" t="n"/>
      <c r="N296" s="79" t="n"/>
      <c r="O296" s="78" t="n"/>
      <c r="P296" s="78" t="n"/>
      <c r="R296" s="63">
        <f>IF(Q296="","",IF(Q296="Open",TODAY()-N296,"--"))</f>
        <v/>
      </c>
      <c r="S296" s="63">
        <f>IF(Q296="","",IF(Q296="Closed",P296-N296,"--"))</f>
        <v/>
      </c>
      <c r="W296" s="50" t="n"/>
    </row>
    <row r="297" ht="15" customHeight="1" s="130">
      <c r="B297" s="64">
        <f>IF(C297="","",B296+1)</f>
        <v/>
      </c>
      <c r="C297" s="65" t="n"/>
      <c r="D297" s="77" t="n"/>
      <c r="E297" s="82" t="n"/>
      <c r="F297" s="77" t="n"/>
      <c r="G297" s="64">
        <f>IF($F297="","",IFERROR(INDEX('WORK PACKAGES'!$A$2:$A$100,MATCH($F297,'WORK PACKAGES'!$D$2:$D$100,0)),""))</f>
        <v/>
      </c>
      <c r="H297" s="64" t="n"/>
      <c r="I297" s="78" t="n"/>
      <c r="J297" s="99" t="n"/>
      <c r="K297" s="78" t="n"/>
      <c r="L297" s="82" t="n"/>
      <c r="M297" s="78" t="n"/>
      <c r="N297" s="79" t="n"/>
      <c r="O297" s="78" t="n"/>
      <c r="P297" s="79" t="n"/>
      <c r="R297" s="63">
        <f>IF(Q297="","",IF(Q297="Open",TODAY()-N297,"--"))</f>
        <v/>
      </c>
      <c r="S297" s="63">
        <f>IF(Q297="","",IF(Q297="Closed",P297-N297,"--"))</f>
        <v/>
      </c>
      <c r="W297" s="50" t="n"/>
    </row>
    <row r="298" ht="15" customHeight="1" s="130">
      <c r="B298" s="64">
        <f>IF(C298="","",B297+1)</f>
        <v/>
      </c>
      <c r="C298" s="65" t="n"/>
      <c r="D298" s="77" t="n"/>
      <c r="E298" s="82" t="n"/>
      <c r="F298" s="77" t="n"/>
      <c r="G298" s="64">
        <f>IF($F298="","",IFERROR(INDEX('WORK PACKAGES'!$A$2:$A$100,MATCH($F298,'WORK PACKAGES'!$D$2:$D$100,0)),""))</f>
        <v/>
      </c>
      <c r="H298" s="64" t="n"/>
      <c r="I298" s="78" t="n"/>
      <c r="J298" s="99" t="n"/>
      <c r="K298" s="67" t="n"/>
      <c r="L298" s="82" t="n"/>
      <c r="M298" s="78" t="n"/>
      <c r="N298" s="79" t="n"/>
      <c r="O298" s="78" t="n"/>
      <c r="P298" s="79" t="n"/>
      <c r="R298" s="63">
        <f>IF(Q298="","",IF(Q298="Open",TODAY()-N298,"--"))</f>
        <v/>
      </c>
      <c r="S298" s="63">
        <f>IF(Q298="","",IF(Q298="Closed",P298-N298,"--"))</f>
        <v/>
      </c>
      <c r="W298" s="50" t="n"/>
    </row>
    <row r="299" ht="15" customHeight="1" s="130">
      <c r="B299" s="64">
        <f>IF(C299="","",B298+1)</f>
        <v/>
      </c>
      <c r="C299" s="65" t="n"/>
      <c r="D299" s="77" t="n"/>
      <c r="E299" s="82" t="n"/>
      <c r="F299" s="77" t="n"/>
      <c r="G299" s="64">
        <f>IF($F299="","",IFERROR(INDEX('WORK PACKAGES'!$A$2:$A$100,MATCH($F299,'WORK PACKAGES'!$D$2:$D$100,0)),""))</f>
        <v/>
      </c>
      <c r="H299" s="64" t="n"/>
      <c r="I299" s="78" t="n"/>
      <c r="J299" s="99" t="n"/>
      <c r="K299" s="78" t="n"/>
      <c r="L299" s="82" t="n"/>
      <c r="M299" s="78" t="n"/>
      <c r="N299" s="79" t="n"/>
      <c r="O299" s="78" t="n"/>
      <c r="P299" s="79" t="n"/>
      <c r="R299" s="63">
        <f>IF(Q299="","",IF(Q299="Open",TODAY()-N299,"--"))</f>
        <v/>
      </c>
      <c r="S299" s="63">
        <f>IF(Q299="","",IF(Q299="Closed",P299-N299,"--"))</f>
        <v/>
      </c>
      <c r="W299" s="50" t="n"/>
    </row>
    <row r="300" ht="15" customHeight="1" s="130">
      <c r="B300" s="64">
        <f>IF(C300="","",B299+1)</f>
        <v/>
      </c>
      <c r="C300" s="65" t="n"/>
      <c r="D300" s="77" t="n"/>
      <c r="E300" s="82" t="n"/>
      <c r="F300" s="77" t="n"/>
      <c r="G300" s="64">
        <f>IF($F300="","",IFERROR(INDEX('WORK PACKAGES'!$A$2:$A$100,MATCH($F300,'WORK PACKAGES'!$D$2:$D$100,0)),""))</f>
        <v/>
      </c>
      <c r="H300" s="64" t="n"/>
      <c r="I300" s="78" t="n"/>
      <c r="J300" s="99" t="n"/>
      <c r="K300" s="78" t="n"/>
      <c r="L300" s="82" t="n"/>
      <c r="M300" s="78" t="n"/>
      <c r="N300" s="79" t="n"/>
      <c r="O300" s="78" t="n"/>
      <c r="P300" s="79" t="n"/>
      <c r="R300" s="63">
        <f>IF(Q300="","",IF(Q300="Open",TODAY()-N300,"--"))</f>
        <v/>
      </c>
      <c r="S300" s="63">
        <f>IF(Q300="","",IF(Q300="Closed",P300-N300,"--"))</f>
        <v/>
      </c>
      <c r="W300" s="50" t="n"/>
    </row>
    <row r="301" ht="15" customHeight="1" s="130">
      <c r="B301" s="64">
        <f>IF(C301="","",B300+1)</f>
        <v/>
      </c>
      <c r="C301" s="65" t="n"/>
      <c r="D301" s="65" t="n"/>
      <c r="E301" s="82" t="n"/>
      <c r="F301" s="77" t="n"/>
      <c r="G301" s="64">
        <f>IF($F301="","",IFERROR(INDEX('WORK PACKAGES'!$A$2:$A$100,MATCH($F301,'WORK PACKAGES'!$D$2:$D$100,0)),""))</f>
        <v/>
      </c>
      <c r="H301" s="64" t="n"/>
      <c r="I301" s="78" t="n"/>
      <c r="J301" s="99" t="n"/>
      <c r="K301" s="78" t="n"/>
      <c r="L301" s="82" t="n"/>
      <c r="M301" s="78" t="n"/>
      <c r="N301" s="79" t="n"/>
      <c r="O301" s="78" t="n"/>
      <c r="P301" s="79" t="n"/>
      <c r="R301" s="63">
        <f>IF(Q301="","",IF(Q301="Open",TODAY()-N301,"--"))</f>
        <v/>
      </c>
      <c r="S301" s="63">
        <f>IF(Q301="","",IF(Q301="Closed",P301-N301,"--"))</f>
        <v/>
      </c>
      <c r="W301" s="50" t="n"/>
    </row>
    <row r="302" ht="15" customHeight="1" s="130">
      <c r="B302" s="64">
        <f>IF(C302="","",B301+1)</f>
        <v/>
      </c>
      <c r="C302" s="65" t="n"/>
      <c r="D302" s="65" t="n"/>
      <c r="E302" s="82" t="n"/>
      <c r="F302" s="77" t="n"/>
      <c r="G302" s="64">
        <f>IF($F302="","",IFERROR(INDEX('WORK PACKAGES'!$A$2:$A$100,MATCH($F302,'WORK PACKAGES'!$D$2:$D$100,0)),""))</f>
        <v/>
      </c>
      <c r="H302" s="64" t="n"/>
      <c r="I302" s="78" t="n"/>
      <c r="J302" s="99" t="n"/>
      <c r="K302" s="78" t="n"/>
      <c r="L302" s="82" t="n"/>
      <c r="M302" s="78" t="n"/>
      <c r="N302" s="79" t="n"/>
      <c r="O302" s="78" t="n"/>
      <c r="P302" s="79" t="n"/>
      <c r="R302" s="63">
        <f>IF(Q302="","",IF(Q302="Open",TODAY()-N302,"--"))</f>
        <v/>
      </c>
      <c r="S302" s="63">
        <f>IF(Q302="","",IF(Q302="Closed",P302-N302,"--"))</f>
        <v/>
      </c>
      <c r="W302" s="50" t="n"/>
    </row>
    <row r="303" ht="15" customHeight="1" s="130">
      <c r="B303" s="64">
        <f>IF(C303="","",B302+1)</f>
        <v/>
      </c>
      <c r="C303" s="65" t="n"/>
      <c r="D303" s="77" t="n"/>
      <c r="E303" s="82" t="n"/>
      <c r="F303" s="77" t="n"/>
      <c r="G303" s="64">
        <f>IF($F303="","",IFERROR(INDEX('WORK PACKAGES'!$A$2:$A$100,MATCH($F303,'WORK PACKAGES'!$D$2:$D$100,0)),""))</f>
        <v/>
      </c>
      <c r="H303" s="64" t="n"/>
      <c r="I303" s="78" t="n"/>
      <c r="J303" s="99" t="n"/>
      <c r="K303" s="67" t="n"/>
      <c r="L303" s="82" t="n"/>
      <c r="M303" s="78" t="n"/>
      <c r="N303" s="79" t="n"/>
      <c r="O303" s="78" t="n"/>
      <c r="P303" s="79" t="n"/>
      <c r="R303" s="63">
        <f>IF(Q303="","",IF(Q303="Open",TODAY()-N303,"--"))</f>
        <v/>
      </c>
      <c r="S303" s="63">
        <f>IF(Q303="","",IF(Q303="Closed",P303-N303,"--"))</f>
        <v/>
      </c>
      <c r="W303" s="50" t="n"/>
    </row>
    <row r="304" ht="15" customHeight="1" s="130">
      <c r="B304" s="64">
        <f>IF(C304="","",B303+1)</f>
        <v/>
      </c>
      <c r="C304" s="65" t="n"/>
      <c r="D304" s="77" t="n"/>
      <c r="E304" s="82" t="n"/>
      <c r="F304" s="77" t="n"/>
      <c r="G304" s="64">
        <f>IF($F304="","",IFERROR(INDEX('WORK PACKAGES'!$A$2:$A$100,MATCH($F304,'WORK PACKAGES'!$D$2:$D$100,0)),""))</f>
        <v/>
      </c>
      <c r="H304" s="64" t="n"/>
      <c r="I304" s="78" t="n"/>
      <c r="J304" s="99" t="n"/>
      <c r="K304" s="67" t="n"/>
      <c r="L304" s="82" t="n"/>
      <c r="M304" s="78" t="n"/>
      <c r="N304" s="79" t="n"/>
      <c r="O304" s="78" t="n"/>
      <c r="P304" s="79" t="n"/>
      <c r="R304" s="63">
        <f>IF(Q304="","",IF(Q304="Open",TODAY()-N304,"--"))</f>
        <v/>
      </c>
      <c r="S304" s="63">
        <f>IF(Q304="","",IF(Q304="Closed",P304-N304,"--"))</f>
        <v/>
      </c>
      <c r="W304" s="50" t="n"/>
    </row>
    <row r="305" ht="15" customHeight="1" s="130">
      <c r="B305" s="64">
        <f>IF(C305="","",B304+1)</f>
        <v/>
      </c>
      <c r="C305" s="65" t="n"/>
      <c r="D305" s="77" t="n"/>
      <c r="E305" s="82" t="n"/>
      <c r="F305" s="77" t="n"/>
      <c r="G305" s="64">
        <f>IF($F305="","",IFERROR(INDEX('WORK PACKAGES'!$A$2:$A$100,MATCH($F305,'WORK PACKAGES'!$D$2:$D$100,0)),""))</f>
        <v/>
      </c>
      <c r="H305" s="64" t="n"/>
      <c r="I305" s="78" t="n"/>
      <c r="J305" s="99" t="n"/>
      <c r="K305" s="67" t="n"/>
      <c r="L305" s="82" t="n"/>
      <c r="M305" s="78" t="n"/>
      <c r="N305" s="79" t="n"/>
      <c r="O305" s="78" t="n"/>
      <c r="P305" s="79" t="n"/>
      <c r="R305" s="63">
        <f>IF(Q305="","",IF(Q305="Open",TODAY()-N305,"--"))</f>
        <v/>
      </c>
      <c r="S305" s="63">
        <f>IF(Q305="","",IF(Q305="Closed",P305-N305,"--"))</f>
        <v/>
      </c>
      <c r="W305" s="50" t="n"/>
    </row>
    <row r="306" ht="15" customHeight="1" s="130">
      <c r="B306" s="64">
        <f>IF(C306="","",B305+1)</f>
        <v/>
      </c>
      <c r="C306" s="65" t="n"/>
      <c r="D306" s="77" t="n"/>
      <c r="E306" s="82" t="n"/>
      <c r="F306" s="77" t="n"/>
      <c r="G306" s="64">
        <f>IF($F306="","",IFERROR(INDEX('WORK PACKAGES'!$A$2:$A$100,MATCH($F306,'WORK PACKAGES'!$D$2:$D$100,0)),""))</f>
        <v/>
      </c>
      <c r="H306" s="64" t="n"/>
      <c r="I306" s="78" t="n"/>
      <c r="J306" s="99" t="n"/>
      <c r="K306" s="67" t="n"/>
      <c r="L306" s="82" t="n"/>
      <c r="M306" s="78" t="n"/>
      <c r="N306" s="79" t="n"/>
      <c r="O306" s="78" t="n"/>
      <c r="P306" s="79" t="n"/>
      <c r="R306" s="63">
        <f>IF(Q306="","",IF(Q306="Open",TODAY()-N306,"--"))</f>
        <v/>
      </c>
      <c r="S306" s="63">
        <f>IF(Q306="","",IF(Q306="Closed",P306-N306,"--"))</f>
        <v/>
      </c>
      <c r="W306" s="50" t="n"/>
    </row>
    <row r="307" ht="15" customHeight="1" s="130">
      <c r="B307" s="64">
        <f>IF(C307="","",B306+1)</f>
        <v/>
      </c>
      <c r="C307" s="77" t="n"/>
      <c r="D307" s="77" t="n"/>
      <c r="E307" s="82" t="n"/>
      <c r="F307" s="77" t="n"/>
      <c r="G307" s="64">
        <f>IF($F307="","",IFERROR(INDEX('WORK PACKAGES'!$A$2:$A$100,MATCH($F307,'WORK PACKAGES'!$D$2:$D$100,0)),""))</f>
        <v/>
      </c>
      <c r="H307" s="64" t="n"/>
      <c r="I307" s="78" t="n"/>
      <c r="J307" s="99" t="n"/>
      <c r="K307" s="78" t="n"/>
      <c r="L307" s="82" t="n"/>
      <c r="M307" s="78" t="n"/>
      <c r="N307" s="79" t="n"/>
      <c r="O307" s="78" t="n"/>
      <c r="P307" s="79" t="n"/>
      <c r="R307" s="63">
        <f>IF(Q307="","",IF(Q307="Open",TODAY()-N307,"--"))</f>
        <v/>
      </c>
      <c r="S307" s="63">
        <f>IF(Q307="","",IF(Q307="Closed",P307-N307,"--"))</f>
        <v/>
      </c>
      <c r="W307" s="50" t="n"/>
    </row>
    <row r="308" ht="15" customHeight="1" s="130">
      <c r="B308" s="64">
        <f>IF(C308="","",B307+1)</f>
        <v/>
      </c>
      <c r="C308" s="77" t="n"/>
      <c r="D308" s="77" t="n"/>
      <c r="E308" s="82" t="n"/>
      <c r="F308" s="77" t="n"/>
      <c r="G308" s="64">
        <f>IF($F308="","",IFERROR(INDEX('WORK PACKAGES'!$A$2:$A$100,MATCH($F308,'WORK PACKAGES'!$D$2:$D$100,0)),""))</f>
        <v/>
      </c>
      <c r="H308" s="64" t="n"/>
      <c r="I308" s="78" t="n"/>
      <c r="J308" s="99" t="n"/>
      <c r="K308" s="78" t="n"/>
      <c r="L308" s="82" t="n"/>
      <c r="M308" s="78" t="n"/>
      <c r="N308" s="79" t="n"/>
      <c r="O308" s="78" t="n"/>
      <c r="P308" s="79" t="n"/>
      <c r="R308" s="63">
        <f>IF(Q308="","",IF(Q308="Open",TODAY()-N308,"--"))</f>
        <v/>
      </c>
      <c r="S308" s="63">
        <f>IF(Q308="","",IF(Q308="Closed",P308-N308,"--"))</f>
        <v/>
      </c>
      <c r="W308" s="50" t="n"/>
    </row>
    <row r="309" ht="15" customHeight="1" s="130">
      <c r="B309" s="64">
        <f>IF(C309="","",B308+1)</f>
        <v/>
      </c>
      <c r="C309" s="65" t="n"/>
      <c r="D309" s="77" t="n"/>
      <c r="E309" s="82" t="n"/>
      <c r="F309" s="77" t="n"/>
      <c r="G309" s="64">
        <f>IF($F309="","",IFERROR(INDEX('WORK PACKAGES'!$A$2:$A$100,MATCH($F309,'WORK PACKAGES'!$D$2:$D$100,0)),""))</f>
        <v/>
      </c>
      <c r="H309" s="64" t="n"/>
      <c r="I309" s="78" t="n"/>
      <c r="J309" s="99" t="n"/>
      <c r="K309" s="78" t="n"/>
      <c r="L309" s="82" t="n"/>
      <c r="M309" s="78" t="n"/>
      <c r="N309" s="79" t="n"/>
      <c r="O309" s="78" t="n"/>
      <c r="P309" s="79" t="n"/>
      <c r="R309" s="63">
        <f>IF(Q309="","",IF(Q309="Open",TODAY()-N309,"--"))</f>
        <v/>
      </c>
      <c r="S309" s="63">
        <f>IF(Q309="","",IF(Q309="Closed",P309-N309,"--"))</f>
        <v/>
      </c>
      <c r="W309" s="50" t="n"/>
    </row>
    <row r="310" ht="15" customHeight="1" s="130">
      <c r="B310" s="64">
        <f>IF(C310="","",B309+1)</f>
        <v/>
      </c>
      <c r="C310" s="100" t="n"/>
      <c r="D310" s="77" t="n"/>
      <c r="E310" s="82" t="n"/>
      <c r="F310" s="77" t="n"/>
      <c r="G310" s="64">
        <f>IF($F310="","",IFERROR(INDEX('WORK PACKAGES'!$A$2:$A$100,MATCH($F310,'WORK PACKAGES'!$D$2:$D$100,0)),""))</f>
        <v/>
      </c>
      <c r="H310" s="64" t="n"/>
      <c r="I310" s="101" t="n"/>
      <c r="J310" s="102" t="n"/>
      <c r="K310" s="78" t="n"/>
      <c r="L310" s="82" t="n"/>
      <c r="M310" s="78" t="n"/>
      <c r="N310" s="79" t="n"/>
      <c r="O310" s="78" t="n"/>
      <c r="P310" s="79" t="n"/>
      <c r="R310" s="63">
        <f>IF(Q310="","",IF(Q310="Open",TODAY()-N310,"--"))</f>
        <v/>
      </c>
      <c r="S310" s="63">
        <f>IF(Q310="","",IF(Q310="Closed",P310-N310,"--"))</f>
        <v/>
      </c>
      <c r="W310" s="50" t="n"/>
    </row>
    <row r="311" ht="15" customHeight="1" s="130">
      <c r="B311" s="64">
        <f>IF(C311="","",B310+1)</f>
        <v/>
      </c>
      <c r="C311" s="100" t="n"/>
      <c r="D311" s="77" t="n"/>
      <c r="E311" s="82" t="n"/>
      <c r="F311" s="77" t="n"/>
      <c r="G311" s="64">
        <f>IF($F311="","",IFERROR(INDEX('WORK PACKAGES'!$A$2:$A$100,MATCH($F311,'WORK PACKAGES'!$D$2:$D$100,0)),""))</f>
        <v/>
      </c>
      <c r="H311" s="64" t="n"/>
      <c r="I311" s="101" t="n"/>
      <c r="J311" s="102" t="n"/>
      <c r="K311" s="67" t="n"/>
      <c r="L311" s="82" t="n"/>
      <c r="M311" s="78" t="n"/>
      <c r="N311" s="79" t="n"/>
      <c r="O311" s="78" t="n"/>
      <c r="P311" s="79" t="n"/>
      <c r="R311" s="63">
        <f>IF(Q311="","",IF(Q311="Open",TODAY()-N311,"--"))</f>
        <v/>
      </c>
      <c r="S311" s="63">
        <f>IF(Q311="","",IF(Q311="Closed",P311-N311,"--"))</f>
        <v/>
      </c>
      <c r="W311" s="50" t="n"/>
    </row>
    <row r="312" ht="15" customHeight="1" s="130">
      <c r="B312" s="64">
        <f>IF(C312="","",B311+1)</f>
        <v/>
      </c>
      <c r="C312" s="100" t="n"/>
      <c r="D312" s="77" t="n"/>
      <c r="E312" s="82" t="n"/>
      <c r="F312" s="77" t="n"/>
      <c r="G312" s="64">
        <f>IF($F312="","",IFERROR(INDEX('WORK PACKAGES'!$A$2:$A$100,MATCH($F312,'WORK PACKAGES'!$D$2:$D$100,0)),""))</f>
        <v/>
      </c>
      <c r="H312" s="64" t="n"/>
      <c r="I312" s="101" t="n"/>
      <c r="J312" s="102" t="n"/>
      <c r="K312" s="67" t="n"/>
      <c r="L312" s="82" t="n"/>
      <c r="M312" s="78" t="n"/>
      <c r="N312" s="79" t="n"/>
      <c r="O312" s="78" t="n"/>
      <c r="P312" s="79" t="n"/>
      <c r="R312" s="63">
        <f>IF(Q312="","",IF(Q312="Open",TODAY()-N312,"--"))</f>
        <v/>
      </c>
      <c r="S312" s="63">
        <f>IF(Q312="","",IF(Q312="Closed",P312-N312,"--"))</f>
        <v/>
      </c>
      <c r="W312" s="50" t="n"/>
    </row>
    <row r="313" ht="15" customHeight="1" s="130">
      <c r="B313" s="64">
        <f>IF(C313="","",B312+1)</f>
        <v/>
      </c>
      <c r="C313" s="100" t="n"/>
      <c r="D313" s="77" t="n"/>
      <c r="E313" s="82" t="n"/>
      <c r="F313" s="77" t="n"/>
      <c r="G313" s="64">
        <f>IF($F313="","",IFERROR(INDEX('WORK PACKAGES'!$A$2:$A$100,MATCH($F313,'WORK PACKAGES'!$D$2:$D$100,0)),""))</f>
        <v/>
      </c>
      <c r="H313" s="64" t="n"/>
      <c r="I313" s="101" t="n"/>
      <c r="J313" s="102" t="n"/>
      <c r="K313" s="67" t="n"/>
      <c r="L313" s="82" t="n"/>
      <c r="M313" s="78" t="n"/>
      <c r="N313" s="79" t="n"/>
      <c r="O313" s="78" t="n"/>
      <c r="P313" s="79" t="n"/>
      <c r="R313" s="63">
        <f>IF(Q313="","",IF(Q313="Open",TODAY()-N313,"--"))</f>
        <v/>
      </c>
      <c r="S313" s="63">
        <f>IF(Q313="","",IF(Q313="Closed",P313-N313,"--"))</f>
        <v/>
      </c>
      <c r="W313" s="50" t="n"/>
    </row>
    <row r="314" ht="15" customHeight="1" s="130">
      <c r="B314" s="64">
        <f>IF(C314="","",B313+1)</f>
        <v/>
      </c>
      <c r="C314" s="100" t="n"/>
      <c r="D314" s="77" t="n"/>
      <c r="E314" s="82" t="n"/>
      <c r="F314" s="77" t="n"/>
      <c r="G314" s="64">
        <f>IF($F314="","",IFERROR(INDEX('WORK PACKAGES'!$A$2:$A$100,MATCH($F314,'WORK PACKAGES'!$D$2:$D$100,0)),""))</f>
        <v/>
      </c>
      <c r="H314" s="64" t="n"/>
      <c r="I314" s="101" t="n"/>
      <c r="J314" s="102" t="n"/>
      <c r="K314" s="78" t="n"/>
      <c r="L314" s="82" t="n"/>
      <c r="M314" s="78" t="n"/>
      <c r="N314" s="79" t="n"/>
      <c r="O314" s="78" t="n"/>
      <c r="P314" s="79" t="n"/>
      <c r="R314" s="63">
        <f>IF(Q314="","",IF(Q314="Open",TODAY()-N314,"--"))</f>
        <v/>
      </c>
      <c r="S314" s="63">
        <f>IF(Q314="","",IF(Q314="Closed",P314-N314,"--"))</f>
        <v/>
      </c>
      <c r="W314" s="50" t="n"/>
    </row>
    <row r="315" ht="15" customHeight="1" s="130">
      <c r="B315" s="64">
        <f>IF(C315="","",B314+1)</f>
        <v/>
      </c>
      <c r="C315" s="100" t="n"/>
      <c r="D315" s="77" t="n"/>
      <c r="E315" s="82" t="n"/>
      <c r="F315" s="77" t="n"/>
      <c r="G315" s="64">
        <f>IF($F315="","",IFERROR(INDEX('WORK PACKAGES'!$A$2:$A$100,MATCH($F315,'WORK PACKAGES'!$D$2:$D$100,0)),""))</f>
        <v/>
      </c>
      <c r="H315" s="64" t="n"/>
      <c r="I315" s="101" t="n"/>
      <c r="J315" s="102" t="n"/>
      <c r="K315" s="78" t="n"/>
      <c r="L315" s="82" t="n"/>
      <c r="M315" s="78" t="n"/>
      <c r="N315" s="79" t="n"/>
      <c r="O315" s="78" t="n"/>
      <c r="P315" s="79" t="n"/>
      <c r="R315" s="63">
        <f>IF(Q315="","",IF(Q315="Open",TODAY()-N315,"--"))</f>
        <v/>
      </c>
      <c r="S315" s="63">
        <f>IF(Q315="","",IF(Q315="Closed",P315-N315,"--"))</f>
        <v/>
      </c>
      <c r="W315" s="50" t="n"/>
    </row>
    <row r="316" ht="15" customHeight="1" s="130">
      <c r="B316" s="64">
        <f>IF(C316="","",B315+1)</f>
        <v/>
      </c>
      <c r="C316" s="65" t="n"/>
      <c r="D316" s="77" t="n"/>
      <c r="E316" s="82" t="n"/>
      <c r="F316" s="77" t="n"/>
      <c r="G316" s="64">
        <f>IF($F316="","",IFERROR(INDEX('WORK PACKAGES'!$A$2:$A$100,MATCH($F316,'WORK PACKAGES'!$D$2:$D$100,0)),""))</f>
        <v/>
      </c>
      <c r="H316" s="64" t="n"/>
      <c r="I316" s="67" t="n"/>
      <c r="J316" s="67" t="n"/>
      <c r="K316" s="67" t="n"/>
      <c r="L316" s="82" t="n"/>
      <c r="M316" s="78" t="n"/>
      <c r="N316" s="79" t="n"/>
      <c r="O316" s="78" t="n"/>
      <c r="P316" s="79" t="n"/>
      <c r="R316" s="63">
        <f>IF(Q316="","",IF(Q316="Open",TODAY()-N316,"--"))</f>
        <v/>
      </c>
      <c r="S316" s="63">
        <f>IF(Q316="","",IF(Q316="Closed",P316-N316,"--"))</f>
        <v/>
      </c>
      <c r="W316" s="50" t="n"/>
    </row>
    <row r="317" ht="15" customHeight="1" s="130">
      <c r="B317" s="64">
        <f>IF(C317="","",B316+1)</f>
        <v/>
      </c>
      <c r="C317" s="77" t="n"/>
      <c r="D317" s="77" t="n"/>
      <c r="E317" s="82" t="n"/>
      <c r="F317" s="77" t="n"/>
      <c r="G317" s="64">
        <f>IF($F317="","",IFERROR(INDEX('WORK PACKAGES'!$A$2:$A$100,MATCH($F317,'WORK PACKAGES'!$D$2:$D$100,0)),""))</f>
        <v/>
      </c>
      <c r="H317" s="64" t="n"/>
      <c r="I317" s="67" t="n"/>
      <c r="J317" s="67" t="n"/>
      <c r="K317" s="67" t="n"/>
      <c r="L317" s="82" t="n"/>
      <c r="M317" s="78" t="n"/>
      <c r="N317" s="79" t="n"/>
      <c r="O317" s="78" t="n"/>
      <c r="P317" s="79" t="n"/>
      <c r="R317" s="63">
        <f>IF(Q317="","",IF(Q317="Open",TODAY()-N317,"--"))</f>
        <v/>
      </c>
      <c r="S317" s="63">
        <f>IF(Q317="","",IF(Q317="Closed",P317-N317,"--"))</f>
        <v/>
      </c>
      <c r="W317" s="50" t="n"/>
    </row>
    <row r="318" ht="15" customHeight="1" s="130">
      <c r="B318" s="64">
        <f>IF(C318="","",B317+1)</f>
        <v/>
      </c>
      <c r="C318" s="77" t="n"/>
      <c r="D318" s="77" t="n"/>
      <c r="E318" s="82" t="n"/>
      <c r="F318" s="77" t="n"/>
      <c r="G318" s="64">
        <f>IF($F318="","",IFERROR(INDEX('WORK PACKAGES'!$A$2:$A$100,MATCH($F318,'WORK PACKAGES'!$D$2:$D$100,0)),""))</f>
        <v/>
      </c>
      <c r="H318" s="64" t="n"/>
      <c r="I318" s="78" t="n"/>
      <c r="J318" s="67" t="n"/>
      <c r="K318" s="78" t="n"/>
      <c r="L318" s="91" t="n"/>
      <c r="M318" s="78" t="n"/>
      <c r="N318" s="79" t="n"/>
      <c r="O318" s="78" t="n"/>
      <c r="P318" s="78" t="n"/>
      <c r="R318" s="63">
        <f>IF(Q318="","",IF(Q318="Open",TODAY()-N318,"--"))</f>
        <v/>
      </c>
      <c r="S318" s="63">
        <f>IF(Q318="","",IF(Q318="Closed",P318-N318,"--"))</f>
        <v/>
      </c>
      <c r="W318" s="50" t="n"/>
    </row>
    <row r="319" ht="15" customHeight="1" s="130">
      <c r="B319" s="64">
        <f>IF(C319="","",B318+1)</f>
        <v/>
      </c>
      <c r="C319" s="65" t="n"/>
      <c r="D319" s="77" t="n"/>
      <c r="E319" s="82" t="n"/>
      <c r="F319" s="77" t="n"/>
      <c r="G319" s="64">
        <f>IF($F319="","",IFERROR(INDEX('WORK PACKAGES'!$A$2:$A$100,MATCH($F319,'WORK PACKAGES'!$D$2:$D$100,0)),""))</f>
        <v/>
      </c>
      <c r="H319" s="64" t="n"/>
      <c r="I319" s="78" t="n"/>
      <c r="J319" s="78" t="n"/>
      <c r="K319" s="78" t="n"/>
      <c r="L319" s="82" t="n"/>
      <c r="M319" s="78" t="n"/>
      <c r="N319" s="79" t="n"/>
      <c r="O319" s="78" t="n"/>
      <c r="P319" s="79" t="n"/>
      <c r="R319" s="63">
        <f>IF(Q319="","",IF(Q319="Open",TODAY()-N319,"--"))</f>
        <v/>
      </c>
      <c r="S319" s="63">
        <f>IF(Q319="","",IF(Q319="Closed",P319-N319,"--"))</f>
        <v/>
      </c>
      <c r="W319" s="50" t="n"/>
    </row>
    <row r="320" ht="15" customHeight="1" s="130">
      <c r="B320" s="64">
        <f>IF(C320="","",B319+1)</f>
        <v/>
      </c>
      <c r="C320" s="65" t="n"/>
      <c r="D320" s="77" t="n"/>
      <c r="E320" s="82" t="n"/>
      <c r="F320" s="77" t="n"/>
      <c r="G320" s="64">
        <f>IF($F320="","",IFERROR(INDEX('WORK PACKAGES'!$A$2:$A$100,MATCH($F320,'WORK PACKAGES'!$D$2:$D$100,0)),""))</f>
        <v/>
      </c>
      <c r="H320" s="64" t="n"/>
      <c r="I320" s="67" t="n"/>
      <c r="J320" s="78" t="n"/>
      <c r="K320" s="78" t="n"/>
      <c r="L320" s="82" t="n"/>
      <c r="M320" s="78" t="n"/>
      <c r="N320" s="79" t="n"/>
      <c r="O320" s="78" t="n"/>
      <c r="P320" s="79" t="n"/>
      <c r="R320" s="63">
        <f>IF(Q320="","",IF(Q320="Open",TODAY()-N320,"--"))</f>
        <v/>
      </c>
      <c r="S320" s="63">
        <f>IF(Q320="","",IF(Q320="Closed",P320-N320,"--"))</f>
        <v/>
      </c>
      <c r="W320" s="50" t="n"/>
    </row>
    <row r="321" ht="15" customHeight="1" s="130">
      <c r="B321" s="64">
        <f>IF(C321="","",B320+1)</f>
        <v/>
      </c>
      <c r="C321" s="65" t="n"/>
      <c r="D321" s="77" t="n"/>
      <c r="E321" s="82" t="n"/>
      <c r="F321" s="77" t="n"/>
      <c r="G321" s="64">
        <f>IF($F321="","",IFERROR(INDEX('WORK PACKAGES'!$A$2:$A$100,MATCH($F321,'WORK PACKAGES'!$D$2:$D$100,0)),""))</f>
        <v/>
      </c>
      <c r="H321" s="64" t="n"/>
      <c r="I321" s="78" t="n"/>
      <c r="J321" s="78" t="n"/>
      <c r="K321" s="78" t="n"/>
      <c r="L321" s="82" t="n"/>
      <c r="M321" s="78" t="n"/>
      <c r="N321" s="79" t="n"/>
      <c r="O321" s="78" t="n"/>
      <c r="P321" s="79" t="n"/>
      <c r="R321" s="63">
        <f>IF(Q321="","",IF(Q321="Open",TODAY()-N321,"--"))</f>
        <v/>
      </c>
      <c r="S321" s="63">
        <f>IF(Q321="","",IF(Q321="Closed",P321-N321,"--"))</f>
        <v/>
      </c>
      <c r="W321" s="50" t="n"/>
    </row>
    <row r="322" ht="15" customHeight="1" s="130">
      <c r="B322" s="64">
        <f>IF(C322="","",B321+1)</f>
        <v/>
      </c>
      <c r="C322" s="77" t="n"/>
      <c r="D322" s="77" t="n"/>
      <c r="E322" s="82" t="n"/>
      <c r="F322" s="77" t="n"/>
      <c r="G322" s="64">
        <f>IF($F322="","",IFERROR(INDEX('WORK PACKAGES'!$A$2:$A$100,MATCH($F322,'WORK PACKAGES'!$D$2:$D$100,0)),""))</f>
        <v/>
      </c>
      <c r="H322" s="64" t="n"/>
      <c r="I322" s="78" t="n"/>
      <c r="J322" s="78" t="n"/>
      <c r="K322" s="78" t="n"/>
      <c r="L322" s="82" t="n"/>
      <c r="M322" s="78" t="n"/>
      <c r="N322" s="79" t="n"/>
      <c r="O322" s="78" t="n"/>
      <c r="P322" s="79" t="n"/>
      <c r="R322" s="63">
        <f>IF(Q322="","",IF(Q322="Open",TODAY()-N322,"--"))</f>
        <v/>
      </c>
      <c r="S322" s="63">
        <f>IF(Q322="","",IF(Q322="Closed",P322-N322,"--"))</f>
        <v/>
      </c>
      <c r="W322" s="50" t="n"/>
    </row>
    <row r="323" ht="15" customHeight="1" s="130">
      <c r="B323" s="64">
        <f>IF(C323="","",B322+1)</f>
        <v/>
      </c>
      <c r="C323" s="77" t="n"/>
      <c r="D323" s="77" t="n"/>
      <c r="E323" s="82" t="n"/>
      <c r="F323" s="77" t="n"/>
      <c r="G323" s="64">
        <f>IF($F323="","",IFERROR(INDEX('WORK PACKAGES'!$A$2:$A$100,MATCH($F323,'WORK PACKAGES'!$D$2:$D$100,0)),""))</f>
        <v/>
      </c>
      <c r="H323" s="64" t="n"/>
      <c r="I323" s="78" t="n"/>
      <c r="J323" s="78" t="n"/>
      <c r="K323" s="78" t="n"/>
      <c r="L323" s="82" t="n"/>
      <c r="M323" s="78" t="n"/>
      <c r="N323" s="79" t="n"/>
      <c r="O323" s="78" t="n"/>
      <c r="P323" s="79" t="n"/>
      <c r="R323" s="63">
        <f>IF(Q323="","",IF(Q323="Open",TODAY()-N323,"--"))</f>
        <v/>
      </c>
      <c r="S323" s="63">
        <f>IF(Q323="","",IF(Q323="Closed",P323-N323,"--"))</f>
        <v/>
      </c>
      <c r="W323" s="50" t="n"/>
    </row>
    <row r="324" ht="15.75" customHeight="1" s="130">
      <c r="B324" s="64">
        <f>IF(C324="","",B323+1)</f>
        <v/>
      </c>
      <c r="C324" s="77" t="n"/>
      <c r="D324" s="77" t="n"/>
      <c r="E324" s="82" t="n"/>
      <c r="F324" s="77" t="n"/>
      <c r="G324" s="64">
        <f>IF($F324="","",IFERROR(INDEX('WORK PACKAGES'!$A$2:$A$100,MATCH($F324,'WORK PACKAGES'!$D$2:$D$100,0)),""))</f>
        <v/>
      </c>
      <c r="H324" s="64" t="n"/>
      <c r="I324" s="78" t="n"/>
      <c r="J324" s="78" t="n"/>
      <c r="K324" s="78" t="n"/>
      <c r="L324" s="82" t="n"/>
      <c r="M324" s="78" t="n"/>
      <c r="N324" s="79" t="n"/>
      <c r="O324" s="78" t="n"/>
      <c r="P324" s="79" t="n"/>
      <c r="R324" s="63">
        <f>IF(Q324="","",IF(Q324="Open",TODAY()-N324,"--"))</f>
        <v/>
      </c>
      <c r="S324" s="63">
        <f>IF(Q324="","",IF(Q324="Closed",P324-N324,"--"))</f>
        <v/>
      </c>
      <c r="W324" s="50" t="n"/>
    </row>
    <row r="325" ht="15.75" customHeight="1" s="130">
      <c r="B325" s="64">
        <f>IF(C325="","",B324+1)</f>
        <v/>
      </c>
      <c r="C325" s="103" t="n"/>
      <c r="D325" s="77" t="n"/>
      <c r="E325" s="82" t="n"/>
      <c r="F325" s="77" t="n"/>
      <c r="G325" s="64">
        <f>IF($F325="","",IFERROR(INDEX('WORK PACKAGES'!$A$2:$A$100,MATCH($F325,'WORK PACKAGES'!$D$2:$D$100,0)),""))</f>
        <v/>
      </c>
      <c r="H325" s="64" t="n"/>
      <c r="I325" s="78" t="n"/>
      <c r="J325" s="78" t="n"/>
      <c r="K325" s="78" t="n"/>
      <c r="L325" s="82" t="n"/>
      <c r="M325" s="78" t="n"/>
      <c r="N325" s="79" t="n"/>
      <c r="O325" s="78" t="n"/>
      <c r="P325" s="79" t="n"/>
      <c r="R325" s="63">
        <f>IF(Q325="","",IF(Q325="Open",TODAY()-N325,"--"))</f>
        <v/>
      </c>
      <c r="S325" s="63">
        <f>IF(Q325="","",IF(Q325="Closed",P325-N325,"--"))</f>
        <v/>
      </c>
      <c r="W325" s="50" t="n"/>
    </row>
    <row r="326" ht="15" customHeight="1" s="130">
      <c r="B326" s="64">
        <f>IF(C326="","",B325+1)</f>
        <v/>
      </c>
      <c r="C326" s="77" t="n"/>
      <c r="D326" s="77" t="n"/>
      <c r="E326" s="82" t="n"/>
      <c r="F326" s="77" t="n"/>
      <c r="G326" s="64">
        <f>IF($F326="","",IFERROR(INDEX('WORK PACKAGES'!$A$2:$A$100,MATCH($F326,'WORK PACKAGES'!$D$2:$D$100,0)),""))</f>
        <v/>
      </c>
      <c r="H326" s="64" t="n"/>
      <c r="I326" s="78" t="n"/>
      <c r="J326" s="78" t="n"/>
      <c r="K326" s="78" t="n"/>
      <c r="L326" s="82" t="n"/>
      <c r="M326" s="78" t="n"/>
      <c r="N326" s="79" t="n"/>
      <c r="O326" s="78" t="n"/>
      <c r="P326" s="79" t="n"/>
      <c r="R326" s="63">
        <f>IF(Q326="","",IF(Q326="Open",TODAY()-N326,"--"))</f>
        <v/>
      </c>
      <c r="S326" s="63">
        <f>IF(Q326="","",IF(Q326="Closed",P326-N326,"--"))</f>
        <v/>
      </c>
      <c r="W326" s="50" t="n"/>
    </row>
    <row r="327" ht="15" customHeight="1" s="130">
      <c r="B327" s="64">
        <f>IF(C327="","",B326+1)</f>
        <v/>
      </c>
      <c r="C327" s="77" t="n"/>
      <c r="D327" s="77" t="n"/>
      <c r="E327" s="82" t="n"/>
      <c r="F327" s="77" t="n"/>
      <c r="G327" s="64">
        <f>IF($F327="","",IFERROR(INDEX('WORK PACKAGES'!$A$2:$A$100,MATCH($F327,'WORK PACKAGES'!$D$2:$D$100,0)),""))</f>
        <v/>
      </c>
      <c r="H327" s="64" t="n"/>
      <c r="I327" s="78" t="n"/>
      <c r="J327" s="78" t="n"/>
      <c r="K327" s="78" t="n"/>
      <c r="L327" s="82" t="n"/>
      <c r="M327" s="78" t="n"/>
      <c r="N327" s="79" t="n"/>
      <c r="O327" s="78" t="n"/>
      <c r="P327" s="79" t="n"/>
      <c r="R327" s="63">
        <f>IF(Q327="","",IF(Q327="Open",TODAY()-N327,"--"))</f>
        <v/>
      </c>
      <c r="S327" s="63">
        <f>IF(Q327="","",IF(Q327="Closed",P327-N327,"--"))</f>
        <v/>
      </c>
      <c r="W327" s="50" t="n"/>
    </row>
    <row r="328" ht="15" customHeight="1" s="130">
      <c r="B328" s="64">
        <f>IF(C328="","",B327+1)</f>
        <v/>
      </c>
      <c r="C328" s="77" t="n"/>
      <c r="D328" s="65" t="n"/>
      <c r="E328" s="82" t="n"/>
      <c r="F328" s="77" t="n"/>
      <c r="G328" s="64">
        <f>IF($F328="","",IFERROR(INDEX('WORK PACKAGES'!$A$2:$A$100,MATCH($F328,'WORK PACKAGES'!$D$2:$D$100,0)),""))</f>
        <v/>
      </c>
      <c r="H328" s="64" t="n"/>
      <c r="I328" s="78" t="n"/>
      <c r="J328" s="78" t="n"/>
      <c r="K328" s="78" t="n"/>
      <c r="L328" s="82" t="n"/>
      <c r="M328" s="78" t="n"/>
      <c r="N328" s="79" t="n"/>
      <c r="O328" s="78" t="n"/>
      <c r="P328" s="79" t="n"/>
      <c r="R328" s="63">
        <f>IF(Q328="","",IF(Q328="Open",TODAY()-N328,"--"))</f>
        <v/>
      </c>
      <c r="S328" s="63">
        <f>IF(Q328="","",IF(Q328="Closed",P328-N328,"--"))</f>
        <v/>
      </c>
      <c r="W328" s="50" t="n"/>
    </row>
    <row r="329" ht="15" customHeight="1" s="130">
      <c r="B329" s="64">
        <f>IF(C329="","",B328+1)</f>
        <v/>
      </c>
      <c r="C329" s="77" t="n"/>
      <c r="D329" s="65" t="n"/>
      <c r="E329" s="82" t="n"/>
      <c r="F329" s="77" t="n"/>
      <c r="G329" s="64">
        <f>IF($F329="","",IFERROR(INDEX('WORK PACKAGES'!$A$2:$A$100,MATCH($F329,'WORK PACKAGES'!$D$2:$D$100,0)),""))</f>
        <v/>
      </c>
      <c r="H329" s="64" t="n"/>
      <c r="I329" s="78" t="n"/>
      <c r="J329" s="78" t="n"/>
      <c r="K329" s="78" t="n"/>
      <c r="L329" s="82" t="n"/>
      <c r="M329" s="78" t="n"/>
      <c r="N329" s="79" t="n"/>
      <c r="O329" s="78" t="n"/>
      <c r="P329" s="79" t="n"/>
      <c r="R329" s="63">
        <f>IF(Q329="","",IF(Q329="Open",TODAY()-N329,"--"))</f>
        <v/>
      </c>
      <c r="S329" s="63">
        <f>IF(Q329="","",IF(Q329="Closed",P329-N329,"--"))</f>
        <v/>
      </c>
      <c r="W329" s="50" t="n"/>
    </row>
    <row r="330" ht="15" customHeight="1" s="130">
      <c r="B330" s="64">
        <f>IF(C330="","",B329+1)</f>
        <v/>
      </c>
      <c r="C330" s="77" t="n"/>
      <c r="D330" s="65" t="n"/>
      <c r="E330" s="82" t="n"/>
      <c r="F330" s="77" t="n"/>
      <c r="G330" s="64">
        <f>IF($F330="","",IFERROR(INDEX('WORK PACKAGES'!$A$2:$A$100,MATCH($F330,'WORK PACKAGES'!$D$2:$D$100,0)),""))</f>
        <v/>
      </c>
      <c r="H330" s="64" t="n"/>
      <c r="I330" s="78" t="n"/>
      <c r="J330" s="78" t="n"/>
      <c r="K330" s="78" t="n"/>
      <c r="L330" s="82" t="n"/>
      <c r="M330" s="78" t="n"/>
      <c r="N330" s="79" t="n"/>
      <c r="O330" s="78" t="n"/>
      <c r="P330" s="79" t="n"/>
      <c r="R330" s="63">
        <f>IF(Q330="","",IF(Q330="Open",TODAY()-N330,"--"))</f>
        <v/>
      </c>
      <c r="S330" s="63">
        <f>IF(Q330="","",IF(Q330="Closed",P330-N330,"--"))</f>
        <v/>
      </c>
      <c r="W330" s="50" t="n"/>
    </row>
    <row r="331" ht="15" customHeight="1" s="130">
      <c r="B331" s="64">
        <f>IF(C331="","",B330+1)</f>
        <v/>
      </c>
      <c r="C331" s="77" t="n"/>
      <c r="D331" s="77" t="n"/>
      <c r="E331" s="82" t="n"/>
      <c r="F331" s="77" t="n"/>
      <c r="G331" s="64">
        <f>IF($F331="","",IFERROR(INDEX('WORK PACKAGES'!$A$2:$A$100,MATCH($F331,'WORK PACKAGES'!$D$2:$D$100,0)),""))</f>
        <v/>
      </c>
      <c r="H331" s="64" t="n"/>
      <c r="I331" s="78" t="n"/>
      <c r="J331" s="78" t="n"/>
      <c r="K331" s="78" t="n"/>
      <c r="L331" s="82" t="n"/>
      <c r="M331" s="78" t="n"/>
      <c r="N331" s="79" t="n"/>
      <c r="O331" s="78" t="n"/>
      <c r="P331" s="78" t="n"/>
      <c r="R331" s="63">
        <f>IF(Q331="","",IF(Q331="Open",TODAY()-N331,"--"))</f>
        <v/>
      </c>
      <c r="S331" s="63">
        <f>IF(Q331="","",IF(Q331="Closed",P331-N331,"--"))</f>
        <v/>
      </c>
      <c r="W331" s="50" t="n"/>
    </row>
    <row r="332" ht="15" customHeight="1" s="130">
      <c r="B332" s="64">
        <f>IF(C332="","",B331+1)</f>
        <v/>
      </c>
      <c r="C332" s="77" t="n"/>
      <c r="D332" s="77" t="n"/>
      <c r="E332" s="82" t="n"/>
      <c r="F332" s="77" t="n"/>
      <c r="G332" s="64">
        <f>IF($F332="","",IFERROR(INDEX('WORK PACKAGES'!$A$2:$A$100,MATCH($F332,'WORK PACKAGES'!$D$2:$D$100,0)),""))</f>
        <v/>
      </c>
      <c r="H332" s="64" t="n"/>
      <c r="I332" s="78" t="n"/>
      <c r="J332" s="78" t="n"/>
      <c r="K332" s="78" t="n"/>
      <c r="L332" s="82" t="n"/>
      <c r="M332" s="78" t="n"/>
      <c r="N332" s="79" t="n"/>
      <c r="O332" s="78" t="n"/>
      <c r="P332" s="78" t="n"/>
      <c r="R332" s="63">
        <f>IF(Q332="","",IF(Q332="Open",TODAY()-N332,"--"))</f>
        <v/>
      </c>
      <c r="S332" s="63">
        <f>IF(Q332="","",IF(Q332="Closed",P332-N332,"--"))</f>
        <v/>
      </c>
      <c r="W332" s="50" t="n"/>
    </row>
    <row r="333" ht="15" customHeight="1" s="130">
      <c r="B333" s="64">
        <f>IF(C333="","",B332+1)</f>
        <v/>
      </c>
      <c r="C333" s="77" t="n"/>
      <c r="D333" s="77" t="n"/>
      <c r="E333" s="82" t="n"/>
      <c r="F333" s="77" t="n"/>
      <c r="G333" s="64">
        <f>IF($F333="","",IFERROR(INDEX('WORK PACKAGES'!$A$2:$A$100,MATCH($F333,'WORK PACKAGES'!$D$2:$D$100,0)),""))</f>
        <v/>
      </c>
      <c r="H333" s="64" t="n"/>
      <c r="I333" s="78" t="n"/>
      <c r="J333" s="78" t="n"/>
      <c r="K333" s="78" t="n"/>
      <c r="L333" s="82" t="n"/>
      <c r="M333" s="78" t="n"/>
      <c r="N333" s="79" t="n"/>
      <c r="O333" s="78" t="n"/>
      <c r="P333" s="78" t="n"/>
      <c r="R333" s="63">
        <f>IF(Q333="","",IF(Q333="Open",TODAY()-N333,"--"))</f>
        <v/>
      </c>
      <c r="S333" s="63">
        <f>IF(Q333="","",IF(Q333="Closed",P333-N333,"--"))</f>
        <v/>
      </c>
      <c r="W333" s="50" t="n"/>
    </row>
    <row r="334" ht="15" customHeight="1" s="130">
      <c r="B334" s="64">
        <f>IF(C334="","",B333+1)</f>
        <v/>
      </c>
      <c r="C334" s="77" t="n"/>
      <c r="D334" s="77" t="n"/>
      <c r="E334" s="82" t="n"/>
      <c r="F334" s="77" t="n"/>
      <c r="G334" s="64">
        <f>IF($F334="","",IFERROR(INDEX('WORK PACKAGES'!$A$2:$A$100,MATCH($F334,'WORK PACKAGES'!$D$2:$D$100,0)),""))</f>
        <v/>
      </c>
      <c r="H334" s="64" t="n"/>
      <c r="I334" s="78" t="n"/>
      <c r="J334" s="78" t="n"/>
      <c r="K334" s="78" t="n"/>
      <c r="L334" s="82" t="n"/>
      <c r="M334" s="78" t="n"/>
      <c r="N334" s="79" t="n"/>
      <c r="O334" s="78" t="n"/>
      <c r="P334" s="79" t="n"/>
      <c r="R334" s="63">
        <f>IF(Q334="","",IF(Q334="Open",TODAY()-N334,"--"))</f>
        <v/>
      </c>
      <c r="S334" s="63">
        <f>IF(Q334="","",IF(Q334="Closed",P334-N334,"--"))</f>
        <v/>
      </c>
      <c r="W334" s="50" t="n"/>
    </row>
    <row r="335" ht="15" customHeight="1" s="130">
      <c r="B335" s="64">
        <f>IF(C335="","",B334+1)</f>
        <v/>
      </c>
      <c r="C335" s="77" t="n"/>
      <c r="D335" s="77" t="n"/>
      <c r="E335" s="82" t="n"/>
      <c r="F335" s="77" t="n"/>
      <c r="G335" s="64">
        <f>IF($F335="","",IFERROR(INDEX('WORK PACKAGES'!$A$2:$A$100,MATCH($F335,'WORK PACKAGES'!$D$2:$D$100,0)),""))</f>
        <v/>
      </c>
      <c r="H335" s="64" t="n"/>
      <c r="I335" s="78" t="n"/>
      <c r="J335" s="78" t="n"/>
      <c r="K335" s="78" t="n"/>
      <c r="L335" s="82" t="n"/>
      <c r="M335" s="78" t="n"/>
      <c r="N335" s="79" t="n"/>
      <c r="O335" s="78" t="n"/>
      <c r="P335" s="79" t="n"/>
      <c r="R335" s="63">
        <f>IF(Q335="","",IF(Q335="Open",TODAY()-N335,"--"))</f>
        <v/>
      </c>
      <c r="S335" s="63">
        <f>IF(Q335="","",IF(Q335="Closed",P335-N335,"--"))</f>
        <v/>
      </c>
      <c r="W335" s="50" t="n"/>
    </row>
    <row r="336" ht="15" customHeight="1" s="130">
      <c r="B336" s="64">
        <f>IF(C336="","",B335+1)</f>
        <v/>
      </c>
      <c r="C336" s="77" t="n"/>
      <c r="D336" s="77" t="n"/>
      <c r="E336" s="82" t="n"/>
      <c r="F336" s="77" t="n"/>
      <c r="G336" s="64">
        <f>IF($F336="","",IFERROR(INDEX('WORK PACKAGES'!$A$2:$A$100,MATCH($F336,'WORK PACKAGES'!$D$2:$D$100,0)),""))</f>
        <v/>
      </c>
      <c r="H336" s="64" t="n"/>
      <c r="I336" s="78" t="n"/>
      <c r="J336" s="78" t="n"/>
      <c r="K336" s="78" t="n"/>
      <c r="L336" s="82" t="n"/>
      <c r="M336" s="78" t="n"/>
      <c r="N336" s="79" t="n"/>
      <c r="O336" s="78" t="n"/>
      <c r="P336" s="79" t="n"/>
      <c r="R336" s="63">
        <f>IF(Q336="","",IF(Q336="Open",TODAY()-N336,"--"))</f>
        <v/>
      </c>
      <c r="S336" s="63">
        <f>IF(Q336="","",IF(Q336="Closed",P336-N336,"--"))</f>
        <v/>
      </c>
      <c r="W336" s="50" t="n"/>
    </row>
    <row r="337" ht="15" customHeight="1" s="130">
      <c r="B337" s="64">
        <f>IF(C337="","",B336+1)</f>
        <v/>
      </c>
      <c r="C337" s="77" t="n"/>
      <c r="D337" s="77" t="n"/>
      <c r="E337" s="82" t="n"/>
      <c r="F337" s="77" t="n"/>
      <c r="G337" s="64">
        <f>IF($F337="","",IFERROR(INDEX('WORK PACKAGES'!$A$2:$A$100,MATCH($F337,'WORK PACKAGES'!$D$2:$D$100,0)),""))</f>
        <v/>
      </c>
      <c r="H337" s="64" t="n"/>
      <c r="I337" s="78" t="n"/>
      <c r="J337" s="78" t="n"/>
      <c r="K337" s="78" t="n"/>
      <c r="L337" s="82" t="n"/>
      <c r="M337" s="78" t="n"/>
      <c r="N337" s="79" t="n"/>
      <c r="O337" s="78" t="n"/>
      <c r="P337" s="79" t="n"/>
      <c r="R337" s="63">
        <f>IF(Q337="","",IF(Q337="Open",TODAY()-N337,"--"))</f>
        <v/>
      </c>
      <c r="S337" s="63">
        <f>IF(Q337="","",IF(Q337="Closed",P337-N337,"--"))</f>
        <v/>
      </c>
      <c r="W337" s="50" t="n"/>
    </row>
    <row r="338" ht="15" customHeight="1" s="130">
      <c r="B338" s="64">
        <f>IF(C338="","",B337+1)</f>
        <v/>
      </c>
      <c r="C338" s="77" t="n"/>
      <c r="D338" s="77" t="n"/>
      <c r="E338" s="82" t="n"/>
      <c r="F338" s="77" t="n"/>
      <c r="G338" s="64">
        <f>IF($F338="","",IFERROR(INDEX('WORK PACKAGES'!$A$2:$A$100,MATCH($F338,'WORK PACKAGES'!$D$2:$D$100,0)),""))</f>
        <v/>
      </c>
      <c r="H338" s="64" t="n"/>
      <c r="I338" s="78" t="n"/>
      <c r="J338" s="78" t="n"/>
      <c r="K338" s="78" t="n"/>
      <c r="L338" s="82" t="n"/>
      <c r="M338" s="78" t="n"/>
      <c r="N338" s="79" t="n"/>
      <c r="O338" s="78" t="n"/>
      <c r="P338" s="78" t="n"/>
      <c r="R338" s="63">
        <f>IF(Q338="","",IF(Q338="Open",TODAY()-N338,"--"))</f>
        <v/>
      </c>
      <c r="S338" s="63">
        <f>IF(Q338="","",IF(Q338="Closed",P338-N338,"--"))</f>
        <v/>
      </c>
      <c r="W338" s="50" t="n"/>
    </row>
    <row r="339" ht="15" customHeight="1" s="130">
      <c r="B339" s="64">
        <f>IF(C339="","",B338+1)</f>
        <v/>
      </c>
      <c r="C339" s="77" t="n"/>
      <c r="D339" s="77" t="n"/>
      <c r="E339" s="82" t="n"/>
      <c r="F339" s="77" t="n"/>
      <c r="G339" s="64">
        <f>IF($F339="","",IFERROR(INDEX('WORK PACKAGES'!$A$2:$A$100,MATCH($F339,'WORK PACKAGES'!$D$2:$D$100,0)),""))</f>
        <v/>
      </c>
      <c r="H339" s="64" t="n"/>
      <c r="I339" s="78" t="n"/>
      <c r="J339" s="78" t="n"/>
      <c r="K339" s="78" t="n"/>
      <c r="L339" s="82" t="n"/>
      <c r="M339" s="78" t="n"/>
      <c r="N339" s="79" t="n"/>
      <c r="O339" s="78" t="n"/>
      <c r="P339" s="79" t="n"/>
      <c r="R339" s="63">
        <f>IF(Q339="","",IF(Q339="Open",TODAY()-N339,"--"))</f>
        <v/>
      </c>
      <c r="S339" s="63">
        <f>IF(Q339="","",IF(Q339="Closed",P339-N339,"--"))</f>
        <v/>
      </c>
      <c r="W339" s="50" t="n"/>
    </row>
    <row r="340" ht="15" customHeight="1" s="130">
      <c r="B340" s="64">
        <f>IF(C340="","",B339+1)</f>
        <v/>
      </c>
      <c r="C340" s="77" t="n"/>
      <c r="D340" s="77" t="n"/>
      <c r="E340" s="82" t="n"/>
      <c r="F340" s="77" t="n"/>
      <c r="G340" s="64">
        <f>IF($F340="","",IFERROR(INDEX('WORK PACKAGES'!$A$2:$A$100,MATCH($F340,'WORK PACKAGES'!$D$2:$D$100,0)),""))</f>
        <v/>
      </c>
      <c r="H340" s="64" t="n"/>
      <c r="I340" s="78" t="n"/>
      <c r="J340" s="78" t="n"/>
      <c r="K340" s="78" t="n"/>
      <c r="L340" s="82" t="n"/>
      <c r="M340" s="78" t="n"/>
      <c r="N340" s="79" t="n"/>
      <c r="O340" s="78" t="n"/>
      <c r="P340" s="78" t="n"/>
      <c r="R340" s="63">
        <f>IF(Q340="","",IF(Q340="Open",TODAY()-N340,"--"))</f>
        <v/>
      </c>
      <c r="S340" s="63">
        <f>IF(Q340="","",IF(Q340="Closed",P340-N340,"--"))</f>
        <v/>
      </c>
      <c r="W340" s="50" t="n"/>
    </row>
    <row r="341" ht="15" customHeight="1" s="130">
      <c r="A341" s="87" t="n"/>
      <c r="B341" s="64">
        <f>IF(C341="","",B340+1)</f>
        <v/>
      </c>
      <c r="C341" s="77" t="n"/>
      <c r="D341" s="77" t="n"/>
      <c r="E341" s="82" t="n"/>
      <c r="F341" s="77" t="n"/>
      <c r="G341" s="64">
        <f>IF($F341="","",IFERROR(INDEX('WORK PACKAGES'!$A$2:$A$100,MATCH($F341,'WORK PACKAGES'!$D$2:$D$100,0)),""))</f>
        <v/>
      </c>
      <c r="H341" s="64" t="n"/>
      <c r="I341" s="78" t="n"/>
      <c r="J341" s="78" t="n"/>
      <c r="K341" s="78" t="n"/>
      <c r="L341" s="82" t="n"/>
      <c r="M341" s="78" t="n"/>
      <c r="N341" s="79" t="n"/>
      <c r="O341" s="78" t="n"/>
      <c r="P341" s="78" t="n"/>
      <c r="R341" s="63">
        <f>IF(Q341="","",IF(Q341="Open",TODAY()-N341,"--"))</f>
        <v/>
      </c>
      <c r="S341" s="63">
        <f>IF(Q341="","",IF(Q341="Closed",P341-N341,"--"))</f>
        <v/>
      </c>
      <c r="W341" s="50" t="n"/>
    </row>
    <row r="342" ht="15" customHeight="1" s="130">
      <c r="A342" s="87" t="n"/>
      <c r="B342" s="64">
        <f>IF(C342="","",B341+1)</f>
        <v/>
      </c>
      <c r="C342" s="77" t="n"/>
      <c r="D342" s="77" t="n"/>
      <c r="E342" s="82" t="n"/>
      <c r="F342" s="77" t="n"/>
      <c r="G342" s="64">
        <f>IF($F342="","",IFERROR(INDEX('WORK PACKAGES'!$A$2:$A$100,MATCH($F342,'WORK PACKAGES'!$D$2:$D$100,0)),""))</f>
        <v/>
      </c>
      <c r="H342" s="64" t="n"/>
      <c r="I342" s="78" t="n"/>
      <c r="J342" s="78" t="n"/>
      <c r="K342" s="78" t="n"/>
      <c r="L342" s="82" t="n"/>
      <c r="M342" s="78" t="n"/>
      <c r="N342" s="79" t="n"/>
      <c r="O342" s="78" t="n"/>
      <c r="P342" s="79" t="n"/>
      <c r="R342" s="63">
        <f>IF(Q342="","",IF(Q342="Open",TODAY()-N342,"--"))</f>
        <v/>
      </c>
      <c r="S342" s="63">
        <f>IF(Q342="","",IF(Q342="Closed",P342-N342,"--"))</f>
        <v/>
      </c>
      <c r="W342" s="50" t="n"/>
    </row>
    <row r="343" ht="15" customHeight="1" s="130">
      <c r="A343" s="87" t="n"/>
      <c r="B343" s="64">
        <f>IF(C343="","",B342+1)</f>
        <v/>
      </c>
      <c r="C343" s="77" t="n"/>
      <c r="D343" s="77" t="n"/>
      <c r="E343" s="82" t="n"/>
      <c r="F343" s="77" t="n"/>
      <c r="G343" s="64">
        <f>IF($F343="","",IFERROR(INDEX('WORK PACKAGES'!$A$2:$A$100,MATCH($F343,'WORK PACKAGES'!$D$2:$D$100,0)),""))</f>
        <v/>
      </c>
      <c r="H343" s="64" t="n"/>
      <c r="I343" s="78" t="n"/>
      <c r="J343" s="78" t="n"/>
      <c r="K343" s="78" t="n"/>
      <c r="L343" s="82" t="n"/>
      <c r="M343" s="78" t="n"/>
      <c r="N343" s="79" t="n"/>
      <c r="O343" s="78" t="n"/>
      <c r="P343" s="78" t="n"/>
      <c r="R343" s="63">
        <f>IF(Q343="","",IF(Q343="Open",TODAY()-N343,"--"))</f>
        <v/>
      </c>
      <c r="S343" s="63">
        <f>IF(Q343="","",IF(Q343="Closed",P343-N343,"--"))</f>
        <v/>
      </c>
      <c r="W343" s="50" t="n"/>
    </row>
    <row r="344" ht="15" customHeight="1" s="130">
      <c r="A344" s="87" t="n"/>
      <c r="B344" s="64">
        <f>IF(C344="","",B343+1)</f>
        <v/>
      </c>
      <c r="C344" s="77" t="n"/>
      <c r="D344" s="77" t="n"/>
      <c r="E344" s="82" t="n"/>
      <c r="F344" s="77" t="n"/>
      <c r="G344" s="64">
        <f>IF($F344="","",IFERROR(INDEX('WORK PACKAGES'!$A$2:$A$100,MATCH($F344,'WORK PACKAGES'!$D$2:$D$100,0)),""))</f>
        <v/>
      </c>
      <c r="H344" s="64" t="n"/>
      <c r="I344" s="78" t="n"/>
      <c r="J344" s="78" t="n"/>
      <c r="K344" s="78" t="n"/>
      <c r="L344" s="82" t="n"/>
      <c r="M344" s="78" t="n"/>
      <c r="N344" s="79" t="n"/>
      <c r="O344" s="78" t="n"/>
      <c r="P344" s="79" t="n"/>
      <c r="R344" s="63">
        <f>IF(Q344="","",IF(Q344="Open",TODAY()-N344,"--"))</f>
        <v/>
      </c>
      <c r="S344" s="63">
        <f>IF(Q344="","",IF(Q344="Closed",P344-N344,"--"))</f>
        <v/>
      </c>
      <c r="W344" s="50" t="n"/>
    </row>
    <row r="345" ht="15" customHeight="1" s="130">
      <c r="B345" s="64">
        <f>IF(C345="","",B344+1)</f>
        <v/>
      </c>
      <c r="C345" s="77" t="n"/>
      <c r="D345" s="77" t="n"/>
      <c r="E345" s="82" t="n"/>
      <c r="F345" s="77" t="n"/>
      <c r="G345" s="64">
        <f>IF($F345="","",IFERROR(INDEX('WORK PACKAGES'!$A$2:$A$100,MATCH($F345,'WORK PACKAGES'!$D$2:$D$100,0)),""))</f>
        <v/>
      </c>
      <c r="H345" s="64" t="n"/>
      <c r="I345" s="78" t="n"/>
      <c r="J345" s="78" t="n"/>
      <c r="K345" s="78" t="n"/>
      <c r="L345" s="82" t="n"/>
      <c r="M345" s="78" t="n"/>
      <c r="N345" s="79" t="n"/>
      <c r="O345" s="78" t="n"/>
      <c r="P345" s="79" t="n"/>
      <c r="R345" s="63">
        <f>IF(Q345="","",IF(Q345="Open",TODAY()-N345,"--"))</f>
        <v/>
      </c>
      <c r="S345" s="63">
        <f>IF(Q345="","",IF(Q345="Closed",P345-N345,"--"))</f>
        <v/>
      </c>
      <c r="W345" s="50" t="n"/>
    </row>
    <row r="346" ht="15" customHeight="1" s="130">
      <c r="B346" s="64">
        <f>IF(C346="","",B345+1)</f>
        <v/>
      </c>
      <c r="C346" s="77" t="n"/>
      <c r="D346" s="77" t="n"/>
      <c r="E346" s="82" t="n"/>
      <c r="F346" s="77" t="n"/>
      <c r="G346" s="64">
        <f>IF($F346="","",IFERROR(INDEX('WORK PACKAGES'!$A$2:$A$100,MATCH($F346,'WORK PACKAGES'!$D$2:$D$100,0)),""))</f>
        <v/>
      </c>
      <c r="H346" s="64" t="n"/>
      <c r="I346" s="78" t="n"/>
      <c r="J346" s="78" t="n"/>
      <c r="K346" s="78" t="n"/>
      <c r="L346" s="82" t="n"/>
      <c r="M346" s="78" t="n"/>
      <c r="N346" s="79" t="n"/>
      <c r="O346" s="78" t="n"/>
      <c r="P346" s="79" t="n"/>
      <c r="R346" s="63">
        <f>IF(Q346="","",IF(Q346="Open",TODAY()-N346,"--"))</f>
        <v/>
      </c>
      <c r="S346" s="63">
        <f>IF(Q346="","",IF(Q346="Closed",P346-N346,"--"))</f>
        <v/>
      </c>
      <c r="W346" s="50" t="n"/>
    </row>
    <row r="347" ht="15" customHeight="1" s="130">
      <c r="B347" s="64">
        <f>IF(C347="","",B346+1)</f>
        <v/>
      </c>
      <c r="C347" s="77" t="n"/>
      <c r="D347" s="77" t="n"/>
      <c r="E347" s="82" t="n"/>
      <c r="F347" s="77" t="n"/>
      <c r="G347" s="64">
        <f>IF($F347="","",IFERROR(INDEX('WORK PACKAGES'!$A$2:$A$100,MATCH($F347,'WORK PACKAGES'!$D$2:$D$100,0)),""))</f>
        <v/>
      </c>
      <c r="H347" s="64" t="n"/>
      <c r="I347" s="78" t="n"/>
      <c r="J347" s="78" t="n"/>
      <c r="K347" s="78" t="n"/>
      <c r="L347" s="82" t="n"/>
      <c r="M347" s="78" t="n"/>
      <c r="N347" s="79" t="n"/>
      <c r="O347" s="78" t="n"/>
      <c r="P347" s="79" t="n"/>
      <c r="R347" s="63">
        <f>IF(Q347="","",IF(Q347="Open",TODAY()-N347,"--"))</f>
        <v/>
      </c>
      <c r="S347" s="63">
        <f>IF(Q347="","",IF(Q347="Closed",P347-N347,"--"))</f>
        <v/>
      </c>
      <c r="W347" s="50" t="n"/>
    </row>
    <row r="348" ht="15" customHeight="1" s="130">
      <c r="B348" s="64">
        <f>IF(C348="","",B347+1)</f>
        <v/>
      </c>
      <c r="C348" s="77" t="n"/>
      <c r="D348" s="77" t="n"/>
      <c r="E348" s="82" t="n"/>
      <c r="F348" s="77" t="n"/>
      <c r="G348" s="64">
        <f>IF($F348="","",IFERROR(INDEX('WORK PACKAGES'!$A$2:$A$100,MATCH($F348,'WORK PACKAGES'!$D$2:$D$100,0)),""))</f>
        <v/>
      </c>
      <c r="H348" s="64" t="n"/>
      <c r="I348" s="78" t="n"/>
      <c r="J348" s="78" t="n"/>
      <c r="K348" s="78" t="n"/>
      <c r="L348" s="82" t="n"/>
      <c r="M348" s="78" t="n"/>
      <c r="N348" s="79" t="n"/>
      <c r="O348" s="78" t="n"/>
      <c r="P348" s="79" t="n"/>
      <c r="R348" s="63">
        <f>IF(Q348="","",IF(Q348="Open",TODAY()-N348,"--"))</f>
        <v/>
      </c>
      <c r="S348" s="63">
        <f>IF(Q348="","",IF(Q348="Closed",P348-N348,"--"))</f>
        <v/>
      </c>
      <c r="W348" s="50" t="n"/>
    </row>
    <row r="349" ht="15" customHeight="1" s="130">
      <c r="B349" s="64">
        <f>IF(C349="","",B348+1)</f>
        <v/>
      </c>
      <c r="C349" s="77" t="n"/>
      <c r="D349" s="77" t="n"/>
      <c r="E349" s="82" t="n"/>
      <c r="F349" s="77" t="n"/>
      <c r="G349" s="64">
        <f>IF($F349="","",IFERROR(INDEX('WORK PACKAGES'!$A$2:$A$100,MATCH($F349,'WORK PACKAGES'!$D$2:$D$100,0)),""))</f>
        <v/>
      </c>
      <c r="H349" s="64" t="n"/>
      <c r="I349" s="78" t="n"/>
      <c r="J349" s="78" t="n"/>
      <c r="K349" s="78" t="n"/>
      <c r="L349" s="82" t="n"/>
      <c r="M349" s="78" t="n"/>
      <c r="N349" s="79" t="n"/>
      <c r="O349" s="78" t="n"/>
      <c r="P349" s="79" t="n"/>
      <c r="R349" s="63">
        <f>IF(Q349="","",IF(Q349="Open",TODAY()-N349,"--"))</f>
        <v/>
      </c>
      <c r="S349" s="63">
        <f>IF(Q349="","",IF(Q349="Closed",P349-N349,"--"))</f>
        <v/>
      </c>
      <c r="W349" s="50" t="n"/>
    </row>
    <row r="350" ht="15" customHeight="1" s="130">
      <c r="B350" s="64">
        <f>IF(C350="","",B349+1)</f>
        <v/>
      </c>
      <c r="C350" s="77" t="n"/>
      <c r="D350" s="77" t="n"/>
      <c r="E350" s="82" t="n"/>
      <c r="F350" s="77" t="n"/>
      <c r="G350" s="64">
        <f>IF($F350="","",IFERROR(INDEX('WORK PACKAGES'!$A$2:$A$100,MATCH($F350,'WORK PACKAGES'!$D$2:$D$100,0)),""))</f>
        <v/>
      </c>
      <c r="H350" s="64" t="n"/>
      <c r="I350" s="78" t="n"/>
      <c r="J350" s="78" t="n"/>
      <c r="K350" s="78" t="n"/>
      <c r="L350" s="82" t="n"/>
      <c r="M350" s="78" t="n"/>
      <c r="N350" s="79" t="n"/>
      <c r="O350" s="78" t="n"/>
      <c r="P350" s="78" t="n"/>
      <c r="R350" s="63">
        <f>IF(Q350="","",IF(Q350="Open",TODAY()-N350,"--"))</f>
        <v/>
      </c>
      <c r="S350" s="63">
        <f>IF(Q350="","",IF(Q350="Closed",P350-N350,"--"))</f>
        <v/>
      </c>
      <c r="W350" s="50" t="n"/>
    </row>
    <row r="351" ht="15" customHeight="1" s="130">
      <c r="B351" s="64">
        <f>IF(C351="","",B350+1)</f>
        <v/>
      </c>
      <c r="C351" s="65" t="n"/>
      <c r="D351" s="77" t="n"/>
      <c r="E351" s="82" t="n"/>
      <c r="F351" s="77" t="n"/>
      <c r="G351" s="64">
        <f>IF($F351="","",IFERROR(INDEX('WORK PACKAGES'!$A$2:$A$100,MATCH($F351,'WORK PACKAGES'!$D$2:$D$100,0)),""))</f>
        <v/>
      </c>
      <c r="H351" s="64" t="n"/>
      <c r="I351" s="78" t="n"/>
      <c r="J351" s="78" t="n"/>
      <c r="K351" s="78" t="n"/>
      <c r="L351" s="82" t="n"/>
      <c r="M351" s="78" t="n"/>
      <c r="N351" s="79" t="n"/>
      <c r="O351" s="78" t="n"/>
      <c r="P351" s="78" t="n"/>
      <c r="R351" s="63">
        <f>IF(Q351="","",IF(Q351="Open",TODAY()-N351,"--"))</f>
        <v/>
      </c>
      <c r="S351" s="63">
        <f>IF(Q351="","",IF(Q351="Closed",P351-N351,"--"))</f>
        <v/>
      </c>
      <c r="W351" s="50" t="n"/>
    </row>
    <row r="352" ht="15" customHeight="1" s="130">
      <c r="B352" s="64">
        <f>IF(C352="","",B351+1)</f>
        <v/>
      </c>
      <c r="C352" s="65" t="n"/>
      <c r="D352" s="77" t="n"/>
      <c r="E352" s="82" t="n"/>
      <c r="F352" s="77" t="n"/>
      <c r="G352" s="64">
        <f>IF($F352="","",IFERROR(INDEX('WORK PACKAGES'!$A$2:$A$100,MATCH($F352,'WORK PACKAGES'!$D$2:$D$100,0)),""))</f>
        <v/>
      </c>
      <c r="H352" s="64" t="n"/>
      <c r="I352" s="78" t="n"/>
      <c r="J352" s="78" t="n"/>
      <c r="K352" s="78" t="n"/>
      <c r="L352" s="82" t="n"/>
      <c r="M352" s="78" t="n"/>
      <c r="N352" s="79" t="n"/>
      <c r="O352" s="78" t="n"/>
      <c r="P352" s="78" t="n"/>
      <c r="R352" s="63">
        <f>IF(Q352="","",IF(Q352="Open",TODAY()-N352,"--"))</f>
        <v/>
      </c>
      <c r="S352" s="63">
        <f>IF(Q352="","",IF(Q352="Closed",P352-N352,"--"))</f>
        <v/>
      </c>
      <c r="W352" s="50" t="n"/>
    </row>
    <row r="353" ht="15" customHeight="1" s="130">
      <c r="B353" s="64">
        <f>IF(C353="","",B352+1)</f>
        <v/>
      </c>
      <c r="C353" s="77" t="n"/>
      <c r="D353" s="77" t="n"/>
      <c r="E353" s="82" t="n"/>
      <c r="F353" s="77" t="n"/>
      <c r="G353" s="64">
        <f>IF($F353="","",IFERROR(INDEX('WORK PACKAGES'!$A$2:$A$100,MATCH($F353,'WORK PACKAGES'!$D$2:$D$100,0)),""))</f>
        <v/>
      </c>
      <c r="H353" s="64" t="n"/>
      <c r="I353" s="78" t="n"/>
      <c r="J353" s="78" t="n"/>
      <c r="K353" s="78" t="n"/>
      <c r="L353" s="82" t="n"/>
      <c r="M353" s="78" t="n"/>
      <c r="N353" s="79" t="n"/>
      <c r="O353" s="78" t="n"/>
      <c r="P353" s="78" t="n"/>
      <c r="R353" s="63">
        <f>IF(Q353="","",IF(Q353="Open",TODAY()-N353,"--"))</f>
        <v/>
      </c>
      <c r="S353" s="63">
        <f>IF(Q353="","",IF(Q353="Closed",P353-N353,"--"))</f>
        <v/>
      </c>
      <c r="W353" s="50" t="n"/>
    </row>
    <row r="354" ht="15" customHeight="1" s="130">
      <c r="B354" s="64">
        <f>IF(C354="","",B353+1)</f>
        <v/>
      </c>
      <c r="C354" s="77" t="n"/>
      <c r="D354" s="77" t="n"/>
      <c r="E354" s="82" t="n"/>
      <c r="F354" s="77" t="n"/>
      <c r="G354" s="64">
        <f>IF($F354="","",IFERROR(INDEX('WORK PACKAGES'!$A$2:$A$100,MATCH($F354,'WORK PACKAGES'!$D$2:$D$100,0)),""))</f>
        <v/>
      </c>
      <c r="H354" s="64" t="n"/>
      <c r="I354" s="78" t="n"/>
      <c r="J354" s="78" t="n"/>
      <c r="K354" s="78" t="n"/>
      <c r="L354" s="82" t="n"/>
      <c r="M354" s="78" t="n"/>
      <c r="N354" s="79" t="n"/>
      <c r="O354" s="78" t="n"/>
      <c r="P354" s="78" t="n"/>
      <c r="R354" s="63">
        <f>IF(Q354="","",IF(Q354="Open",TODAY()-N354,"--"))</f>
        <v/>
      </c>
      <c r="S354" s="63">
        <f>IF(Q354="","",IF(Q354="Closed",P354-N354,"--"))</f>
        <v/>
      </c>
      <c r="W354" s="50" t="n"/>
    </row>
    <row r="355" ht="15" customHeight="1" s="130">
      <c r="B355" s="64">
        <f>IF(C355="","",B354+1)</f>
        <v/>
      </c>
      <c r="C355" s="77" t="n"/>
      <c r="D355" s="77" t="n"/>
      <c r="E355" s="82" t="n"/>
      <c r="F355" s="77" t="n"/>
      <c r="G355" s="64">
        <f>IF($F355="","",IFERROR(INDEX('WORK PACKAGES'!$A$2:$A$100,MATCH($F355,'WORK PACKAGES'!$D$2:$D$100,0)),""))</f>
        <v/>
      </c>
      <c r="H355" s="64" t="n"/>
      <c r="I355" s="78" t="n"/>
      <c r="J355" s="78" t="n"/>
      <c r="K355" s="78" t="n"/>
      <c r="L355" s="82" t="n"/>
      <c r="M355" s="78" t="n"/>
      <c r="N355" s="79" t="n"/>
      <c r="O355" s="78" t="n"/>
      <c r="P355" s="78" t="n"/>
      <c r="R355" s="63">
        <f>IF(Q355="","",IF(Q355="Open",TODAY()-N355,"--"))</f>
        <v/>
      </c>
      <c r="S355" s="63">
        <f>IF(Q355="","",IF(Q355="Closed",P355-N355,"--"))</f>
        <v/>
      </c>
      <c r="W355" s="50" t="n"/>
    </row>
    <row r="356" ht="15" customHeight="1" s="130">
      <c r="B356" s="64">
        <f>IF(C356="","",B355+1)</f>
        <v/>
      </c>
      <c r="C356" s="77" t="n"/>
      <c r="D356" s="77" t="n"/>
      <c r="E356" s="82" t="n"/>
      <c r="F356" s="77" t="n"/>
      <c r="G356" s="64">
        <f>IF($F356="","",IFERROR(INDEX('WORK PACKAGES'!$A$2:$A$100,MATCH($F356,'WORK PACKAGES'!$D$2:$D$100,0)),""))</f>
        <v/>
      </c>
      <c r="H356" s="64" t="n"/>
      <c r="I356" s="78" t="n"/>
      <c r="J356" s="78" t="n"/>
      <c r="K356" s="78" t="n"/>
      <c r="L356" s="82" t="n"/>
      <c r="M356" s="78" t="n"/>
      <c r="N356" s="79" t="n"/>
      <c r="O356" s="78" t="n"/>
      <c r="P356" s="78" t="n"/>
      <c r="R356" s="63">
        <f>IF(Q356="","",IF(Q356="Open",TODAY()-N356,"--"))</f>
        <v/>
      </c>
      <c r="S356" s="63">
        <f>IF(Q356="","",IF(Q356="Closed",P356-N356,"--"))</f>
        <v/>
      </c>
      <c r="W356" s="50" t="n"/>
    </row>
    <row r="357" ht="15" customHeight="1" s="130">
      <c r="B357" s="64">
        <f>IF(C357="","",B356+1)</f>
        <v/>
      </c>
      <c r="C357" s="77" t="n"/>
      <c r="D357" s="77" t="n"/>
      <c r="E357" s="82" t="n"/>
      <c r="F357" s="77" t="n"/>
      <c r="G357" s="64">
        <f>IF($F357="","",IFERROR(INDEX('WORK PACKAGES'!$A$2:$A$100,MATCH($F357,'WORK PACKAGES'!$D$2:$D$100,0)),""))</f>
        <v/>
      </c>
      <c r="H357" s="64" t="n"/>
      <c r="I357" s="78" t="n"/>
      <c r="J357" s="78" t="n"/>
      <c r="K357" s="78" t="n"/>
      <c r="L357" s="82" t="n"/>
      <c r="M357" s="78" t="n"/>
      <c r="N357" s="79" t="n"/>
      <c r="O357" s="78" t="n"/>
      <c r="P357" s="78" t="n"/>
      <c r="R357" s="63">
        <f>IF(Q357="","",IF(Q357="Open",TODAY()-N357,"--"))</f>
        <v/>
      </c>
      <c r="S357" s="63">
        <f>IF(Q357="","",IF(Q357="Closed",P357-N357,"--"))</f>
        <v/>
      </c>
      <c r="W357" s="50" t="n"/>
    </row>
    <row r="358" ht="15" customHeight="1" s="130">
      <c r="B358" s="64">
        <f>IF(C358="","",B357+1)</f>
        <v/>
      </c>
      <c r="C358" s="77" t="n"/>
      <c r="D358" s="77" t="n"/>
      <c r="E358" s="82" t="n"/>
      <c r="F358" s="77" t="n"/>
      <c r="G358" s="64">
        <f>IF($F358="","",IFERROR(INDEX('WORK PACKAGES'!$A$2:$A$100,MATCH($F358,'WORK PACKAGES'!$D$2:$D$100,0)),""))</f>
        <v/>
      </c>
      <c r="H358" s="64" t="n"/>
      <c r="I358" s="78" t="n"/>
      <c r="J358" s="78" t="n"/>
      <c r="K358" s="78" t="n"/>
      <c r="L358" s="82" t="n"/>
      <c r="M358" s="78" t="n"/>
      <c r="N358" s="79" t="n"/>
      <c r="O358" s="78" t="n"/>
      <c r="P358" s="78" t="n"/>
      <c r="R358" s="63">
        <f>IF(Q358="","",IF(Q358="Open",TODAY()-N358,"--"))</f>
        <v/>
      </c>
      <c r="S358" s="63">
        <f>IF(Q358="","",IF(Q358="Closed",P358-N358,"--"))</f>
        <v/>
      </c>
      <c r="W358" s="50" t="n"/>
    </row>
    <row r="359" ht="15" customHeight="1" s="130">
      <c r="B359" s="64">
        <f>IF(C359="","",B358+1)</f>
        <v/>
      </c>
      <c r="C359" s="77" t="n"/>
      <c r="D359" s="77" t="n"/>
      <c r="E359" s="82" t="n"/>
      <c r="F359" s="77" t="n"/>
      <c r="G359" s="64">
        <f>IF($F359="","",IFERROR(INDEX('WORK PACKAGES'!$A$2:$A$100,MATCH($F359,'WORK PACKAGES'!$D$2:$D$100,0)),""))</f>
        <v/>
      </c>
      <c r="H359" s="64" t="n"/>
      <c r="I359" s="78" t="n"/>
      <c r="J359" s="78" t="n"/>
      <c r="K359" s="78" t="n"/>
      <c r="L359" s="82" t="n"/>
      <c r="M359" s="78" t="n"/>
      <c r="N359" s="79" t="n"/>
      <c r="O359" s="78" t="n"/>
      <c r="P359" s="78" t="n"/>
      <c r="R359" s="63">
        <f>IF(Q359="","",IF(Q359="Open",TODAY()-N359,"--"))</f>
        <v/>
      </c>
      <c r="S359" s="63">
        <f>IF(Q359="","",IF(Q359="Closed",P359-N359,"--"))</f>
        <v/>
      </c>
      <c r="W359" s="50" t="n"/>
    </row>
    <row r="360" ht="15" customHeight="1" s="130">
      <c r="B360" s="64">
        <f>IF(C360="","",B359+1)</f>
        <v/>
      </c>
      <c r="C360" s="77" t="n"/>
      <c r="D360" s="77" t="n"/>
      <c r="E360" s="82" t="n"/>
      <c r="F360" s="77" t="n"/>
      <c r="G360" s="64">
        <f>IF($F360="","",IFERROR(INDEX('WORK PACKAGES'!$A$2:$A$100,MATCH($F360,'WORK PACKAGES'!$D$2:$D$100,0)),""))</f>
        <v/>
      </c>
      <c r="H360" s="64" t="n"/>
      <c r="I360" s="78" t="n"/>
      <c r="J360" s="78" t="n"/>
      <c r="K360" s="78" t="n"/>
      <c r="L360" s="82" t="n"/>
      <c r="M360" s="78" t="n"/>
      <c r="N360" s="79" t="n"/>
      <c r="O360" s="78" t="n"/>
      <c r="P360" s="79" t="n"/>
      <c r="R360" s="63">
        <f>IF(Q360="","",IF(Q360="Open",TODAY()-N360,"--"))</f>
        <v/>
      </c>
      <c r="S360" s="63">
        <f>IF(Q360="","",IF(Q360="Closed",P360-N360,"--"))</f>
        <v/>
      </c>
      <c r="W360" s="50" t="n"/>
    </row>
    <row r="361" ht="15" customHeight="1" s="130">
      <c r="B361" s="64">
        <f>IF(C361="","",B360+1)</f>
        <v/>
      </c>
      <c r="C361" s="77" t="n"/>
      <c r="D361" s="77" t="n"/>
      <c r="E361" s="82" t="n"/>
      <c r="F361" s="77" t="n"/>
      <c r="G361" s="64">
        <f>IF($F361="","",IFERROR(INDEX('WORK PACKAGES'!$A$2:$A$100,MATCH($F361,'WORK PACKAGES'!$D$2:$D$100,0)),""))</f>
        <v/>
      </c>
      <c r="H361" s="64" t="n"/>
      <c r="I361" s="78" t="n"/>
      <c r="J361" s="78" t="n"/>
      <c r="K361" s="78" t="n"/>
      <c r="L361" s="82" t="n"/>
      <c r="M361" s="78" t="n"/>
      <c r="N361" s="79" t="n"/>
      <c r="O361" s="78" t="n"/>
      <c r="P361" s="78" t="n"/>
      <c r="R361" s="63">
        <f>IF(Q361="","",IF(Q361="Open",TODAY()-N361,"--"))</f>
        <v/>
      </c>
      <c r="S361" s="63">
        <f>IF(Q361="","",IF(Q361="Closed",P361-N361,"--"))</f>
        <v/>
      </c>
      <c r="W361" s="50" t="n"/>
    </row>
    <row r="362" ht="15" customHeight="1" s="130">
      <c r="B362" s="64">
        <f>IF(C362="","",B361+1)</f>
        <v/>
      </c>
      <c r="C362" s="77" t="n"/>
      <c r="D362" s="77" t="n"/>
      <c r="E362" s="82" t="n"/>
      <c r="F362" s="77" t="n"/>
      <c r="G362" s="64">
        <f>IF($F362="","",IFERROR(INDEX('WORK PACKAGES'!$A$2:$A$100,MATCH($F362,'WORK PACKAGES'!$D$2:$D$100,0)),""))</f>
        <v/>
      </c>
      <c r="H362" s="64" t="n"/>
      <c r="I362" s="78" t="n"/>
      <c r="J362" s="78" t="n"/>
      <c r="K362" s="78" t="n"/>
      <c r="L362" s="82" t="n"/>
      <c r="M362" s="78" t="n"/>
      <c r="N362" s="79" t="n"/>
      <c r="O362" s="78" t="n"/>
      <c r="P362" s="78" t="n"/>
      <c r="R362" s="63">
        <f>IF(Q362="","",IF(Q362="Open",TODAY()-N362,"--"))</f>
        <v/>
      </c>
      <c r="S362" s="63">
        <f>IF(Q362="","",IF(Q362="Closed",P362-N362,"--"))</f>
        <v/>
      </c>
      <c r="W362" s="50" t="n"/>
    </row>
    <row r="363" ht="15" customHeight="1" s="130">
      <c r="B363" s="64">
        <f>IF(C363="","",B362+1)</f>
        <v/>
      </c>
      <c r="C363" s="77" t="n"/>
      <c r="D363" s="77" t="n"/>
      <c r="E363" s="82" t="n"/>
      <c r="F363" s="77" t="n"/>
      <c r="G363" s="64">
        <f>IF($F363="","",IFERROR(INDEX('WORK PACKAGES'!$A$2:$A$100,MATCH($F363,'WORK PACKAGES'!$D$2:$D$100,0)),""))</f>
        <v/>
      </c>
      <c r="H363" s="64" t="n"/>
      <c r="I363" s="78" t="n"/>
      <c r="J363" s="78" t="n"/>
      <c r="K363" s="78" t="n"/>
      <c r="L363" s="82" t="n"/>
      <c r="M363" s="78" t="n"/>
      <c r="N363" s="79" t="n"/>
      <c r="O363" s="78" t="n"/>
      <c r="P363" s="78" t="n"/>
      <c r="R363" s="63">
        <f>IF(Q363="","",IF(Q363="Open",TODAY()-N363,"--"))</f>
        <v/>
      </c>
      <c r="S363" s="63">
        <f>IF(Q363="","",IF(Q363="Closed",P363-N363,"--"))</f>
        <v/>
      </c>
      <c r="W363" s="50" t="n"/>
    </row>
    <row r="364" ht="15" customHeight="1" s="130">
      <c r="B364" s="64">
        <f>IF(C364="","",B363+1)</f>
        <v/>
      </c>
      <c r="C364" s="77" t="n"/>
      <c r="D364" s="77" t="n"/>
      <c r="E364" s="82" t="n"/>
      <c r="F364" s="77" t="n"/>
      <c r="G364" s="64">
        <f>IF($F364="","",IFERROR(INDEX('WORK PACKAGES'!$A$2:$A$100,MATCH($F364,'WORK PACKAGES'!$D$2:$D$100,0)),""))</f>
        <v/>
      </c>
      <c r="H364" s="64" t="n"/>
      <c r="I364" s="78" t="n"/>
      <c r="J364" s="78" t="n"/>
      <c r="K364" s="78" t="n"/>
      <c r="L364" s="82" t="n"/>
      <c r="M364" s="78" t="n"/>
      <c r="N364" s="79" t="n"/>
      <c r="O364" s="78" t="n"/>
      <c r="P364" s="78" t="n"/>
      <c r="R364" s="63">
        <f>IF(Q364="","",IF(Q364="Open",TODAY()-N364,"--"))</f>
        <v/>
      </c>
      <c r="S364" s="63">
        <f>IF(Q364="","",IF(Q364="Closed",P364-N364,"--"))</f>
        <v/>
      </c>
      <c r="W364" s="50" t="n"/>
    </row>
    <row r="365" ht="15" customHeight="1" s="130">
      <c r="B365" s="64">
        <f>IF(C365="","",B364+1)</f>
        <v/>
      </c>
      <c r="C365" s="77" t="n"/>
      <c r="D365" s="77" t="n"/>
      <c r="E365" s="82" t="n"/>
      <c r="F365" s="77" t="n"/>
      <c r="G365" s="64">
        <f>IF($F365="","",IFERROR(INDEX('WORK PACKAGES'!$A$2:$A$100,MATCH($F365,'WORK PACKAGES'!$D$2:$D$100,0)),""))</f>
        <v/>
      </c>
      <c r="H365" s="64" t="n"/>
      <c r="I365" s="78" t="n"/>
      <c r="J365" s="78" t="n"/>
      <c r="K365" s="78" t="n"/>
      <c r="L365" s="82" t="n"/>
      <c r="M365" s="78" t="n"/>
      <c r="N365" s="79" t="n"/>
      <c r="O365" s="78" t="n"/>
      <c r="P365" s="79" t="n"/>
      <c r="R365" s="63">
        <f>IF(Q365="","",IF(Q365="Open",TODAY()-N365,"--"))</f>
        <v/>
      </c>
      <c r="S365" s="63">
        <f>IF(Q365="","",IF(Q365="Closed",P365-N365,"--"))</f>
        <v/>
      </c>
      <c r="W365" s="50" t="n"/>
    </row>
    <row r="366" ht="15" customHeight="1" s="130">
      <c r="B366" s="64">
        <f>IF(C366="","",B365+1)</f>
        <v/>
      </c>
      <c r="C366" s="77" t="n"/>
      <c r="D366" s="77" t="n"/>
      <c r="E366" s="82" t="n"/>
      <c r="F366" s="77" t="n"/>
      <c r="G366" s="64">
        <f>IF($F366="","",IFERROR(INDEX('WORK PACKAGES'!$A$2:$A$100,MATCH($F366,'WORK PACKAGES'!$D$2:$D$100,0)),""))</f>
        <v/>
      </c>
      <c r="H366" s="64" t="n"/>
      <c r="I366" s="78" t="n"/>
      <c r="J366" s="78" t="n"/>
      <c r="K366" s="78" t="n"/>
      <c r="L366" s="82" t="n"/>
      <c r="M366" s="78" t="n"/>
      <c r="N366" s="79" t="n"/>
      <c r="O366" s="78" t="n"/>
      <c r="P366" s="78" t="n"/>
      <c r="R366" s="63">
        <f>IF(Q366="","",IF(Q366="Open",TODAY()-N366,"--"))</f>
        <v/>
      </c>
      <c r="S366" s="63">
        <f>IF(Q366="","",IF(Q366="Closed",P366-N366,"--"))</f>
        <v/>
      </c>
      <c r="W366" s="50" t="n"/>
    </row>
    <row r="367" ht="15" customHeight="1" s="130">
      <c r="B367" s="64">
        <f>IF(C367="","",B366+1)</f>
        <v/>
      </c>
      <c r="C367" s="77" t="n"/>
      <c r="D367" s="77" t="n"/>
      <c r="E367" s="82" t="n"/>
      <c r="F367" s="77" t="n"/>
      <c r="G367" s="64">
        <f>IF($F367="","",IFERROR(INDEX('WORK PACKAGES'!$A$2:$A$100,MATCH($F367,'WORK PACKAGES'!$D$2:$D$100,0)),""))</f>
        <v/>
      </c>
      <c r="H367" s="64" t="n"/>
      <c r="I367" s="78" t="n"/>
      <c r="J367" s="78" t="n"/>
      <c r="K367" s="78" t="n"/>
      <c r="L367" s="82" t="n"/>
      <c r="M367" s="78" t="n"/>
      <c r="N367" s="79" t="n"/>
      <c r="O367" s="78" t="n"/>
      <c r="P367" s="78" t="n"/>
      <c r="R367" s="63">
        <f>IF(Q367="","",IF(Q367="Open",TODAY()-N367,"--"))</f>
        <v/>
      </c>
      <c r="S367" s="63">
        <f>IF(Q367="","",IF(Q367="Closed",P367-N367,"--"))</f>
        <v/>
      </c>
      <c r="W367" s="50" t="n"/>
    </row>
    <row r="368" ht="15" customHeight="1" s="130">
      <c r="B368" s="64">
        <f>IF(C368="","",B367+1)</f>
        <v/>
      </c>
      <c r="C368" s="77" t="n"/>
      <c r="D368" s="77" t="n"/>
      <c r="E368" s="82" t="n"/>
      <c r="F368" s="77" t="n"/>
      <c r="G368" s="64">
        <f>IF($F368="","",IFERROR(INDEX('WORK PACKAGES'!$A$2:$A$100,MATCH($F368,'WORK PACKAGES'!$D$2:$D$100,0)),""))</f>
        <v/>
      </c>
      <c r="H368" s="64" t="n"/>
      <c r="I368" s="78" t="n"/>
      <c r="J368" s="78" t="n"/>
      <c r="K368" s="78" t="n"/>
      <c r="L368" s="82" t="n"/>
      <c r="M368" s="78" t="n"/>
      <c r="N368" s="79" t="n"/>
      <c r="O368" s="78" t="n"/>
      <c r="P368" s="78" t="n"/>
      <c r="R368" s="63">
        <f>IF(Q368="","",IF(Q368="Open",TODAY()-N368,"--"))</f>
        <v/>
      </c>
      <c r="S368" s="63">
        <f>IF(Q368="","",IF(Q368="Closed",P368-N368,"--"))</f>
        <v/>
      </c>
      <c r="W368" s="50" t="n"/>
    </row>
    <row r="369" ht="15" customHeight="1" s="130">
      <c r="B369" s="64">
        <f>IF(C369="","",B368+1)</f>
        <v/>
      </c>
      <c r="C369" s="77" t="n"/>
      <c r="D369" s="77" t="n"/>
      <c r="E369" s="82" t="n"/>
      <c r="F369" s="77" t="n"/>
      <c r="G369" s="64">
        <f>IF($F369="","",IFERROR(INDEX('WORK PACKAGES'!$A$2:$A$100,MATCH($F369,'WORK PACKAGES'!$D$2:$D$100,0)),""))</f>
        <v/>
      </c>
      <c r="H369" s="64" t="n"/>
      <c r="I369" s="78" t="n"/>
      <c r="J369" s="78" t="n"/>
      <c r="K369" s="78" t="n"/>
      <c r="L369" s="82" t="n"/>
      <c r="M369" s="78" t="n"/>
      <c r="N369" s="79" t="n"/>
      <c r="O369" s="78" t="n"/>
      <c r="P369" s="78" t="n"/>
      <c r="R369" s="63">
        <f>IF(Q369="","",IF(Q369="Open",TODAY()-N369,"--"))</f>
        <v/>
      </c>
      <c r="S369" s="63">
        <f>IF(Q369="","",IF(Q369="Closed",P369-N369,"--"))</f>
        <v/>
      </c>
      <c r="W369" s="50" t="n"/>
    </row>
    <row r="370" ht="15" customHeight="1" s="130">
      <c r="B370" s="64">
        <f>IF(C370="","",B369+1)</f>
        <v/>
      </c>
      <c r="C370" s="77" t="n"/>
      <c r="D370" s="77" t="n"/>
      <c r="E370" s="82" t="n"/>
      <c r="F370" s="77" t="n"/>
      <c r="G370" s="64">
        <f>IF($F370="","",IFERROR(INDEX('WORK PACKAGES'!$A$2:$A$100,MATCH($F370,'WORK PACKAGES'!$D$2:$D$100,0)),""))</f>
        <v/>
      </c>
      <c r="H370" s="64" t="n"/>
      <c r="I370" s="78" t="n"/>
      <c r="J370" s="78" t="n"/>
      <c r="K370" s="78" t="n"/>
      <c r="L370" s="82" t="n"/>
      <c r="M370" s="78" t="n"/>
      <c r="N370" s="79" t="n"/>
      <c r="O370" s="78" t="n"/>
      <c r="P370" s="78" t="n"/>
      <c r="R370" s="63">
        <f>IF(Q370="","",IF(Q370="Open",TODAY()-N370,"--"))</f>
        <v/>
      </c>
      <c r="S370" s="63">
        <f>IF(Q370="","",IF(Q370="Closed",P370-N370,"--"))</f>
        <v/>
      </c>
      <c r="W370" s="50" t="n"/>
    </row>
    <row r="371" ht="15" customHeight="1" s="130">
      <c r="B371" s="64">
        <f>IF(C371="","",B370+1)</f>
        <v/>
      </c>
      <c r="C371" s="77" t="n"/>
      <c r="D371" s="77" t="n"/>
      <c r="E371" s="82" t="n"/>
      <c r="F371" s="77" t="n"/>
      <c r="G371" s="64">
        <f>IF($F371="","",IFERROR(INDEX('WORK PACKAGES'!$A$2:$A$100,MATCH($F371,'WORK PACKAGES'!$D$2:$D$100,0)),""))</f>
        <v/>
      </c>
      <c r="H371" s="64" t="n"/>
      <c r="I371" s="78" t="n"/>
      <c r="J371" s="78" t="n"/>
      <c r="K371" s="78" t="n"/>
      <c r="L371" s="82" t="n"/>
      <c r="M371" s="78" t="n"/>
      <c r="N371" s="79" t="n"/>
      <c r="O371" s="78" t="n"/>
      <c r="P371" s="79" t="n"/>
      <c r="R371" s="63">
        <f>IF(Q371="","",IF(Q371="Open",TODAY()-N371,"--"))</f>
        <v/>
      </c>
      <c r="S371" s="63">
        <f>IF(Q371="","",IF(Q371="Closed",P371-N371,"--"))</f>
        <v/>
      </c>
      <c r="W371" s="50" t="n"/>
    </row>
    <row r="372" ht="15" customHeight="1" s="130">
      <c r="B372" s="64">
        <f>IF(C372="","",B371+1)</f>
        <v/>
      </c>
      <c r="C372" s="77" t="n"/>
      <c r="D372" s="77" t="n"/>
      <c r="E372" s="82" t="n"/>
      <c r="F372" s="77" t="n"/>
      <c r="G372" s="64">
        <f>IF($F372="","",IFERROR(INDEX('WORK PACKAGES'!$A$2:$A$100,MATCH($F372,'WORK PACKAGES'!$D$2:$D$100,0)),""))</f>
        <v/>
      </c>
      <c r="H372" s="64" t="n"/>
      <c r="I372" s="78" t="n"/>
      <c r="J372" s="78" t="n"/>
      <c r="K372" s="78" t="n"/>
      <c r="L372" s="82" t="n"/>
      <c r="M372" s="78" t="n"/>
      <c r="N372" s="79" t="n"/>
      <c r="O372" s="78" t="n"/>
      <c r="P372" s="79" t="n"/>
      <c r="R372" s="63">
        <f>IF(Q372="","",IF(Q372="Open",TODAY()-N372,"--"))</f>
        <v/>
      </c>
      <c r="S372" s="63">
        <f>IF(Q372="","",IF(Q372="Closed",P372-N372,"--"))</f>
        <v/>
      </c>
      <c r="W372" s="50" t="n"/>
    </row>
    <row r="373" ht="15" customHeight="1" s="130">
      <c r="B373" s="64">
        <f>IF(C373="","",B372+1)</f>
        <v/>
      </c>
      <c r="C373" s="77" t="n"/>
      <c r="D373" s="77" t="n"/>
      <c r="E373" s="82" t="n"/>
      <c r="F373" s="77" t="n"/>
      <c r="G373" s="64">
        <f>IF($F373="","",IFERROR(INDEX('WORK PACKAGES'!$A$2:$A$100,MATCH($F373,'WORK PACKAGES'!$D$2:$D$100,0)),""))</f>
        <v/>
      </c>
      <c r="H373" s="64" t="n"/>
      <c r="I373" s="78" t="n"/>
      <c r="J373" s="78" t="n"/>
      <c r="K373" s="78" t="n"/>
      <c r="L373" s="82" t="n"/>
      <c r="M373" s="78" t="n"/>
      <c r="N373" s="79" t="n"/>
      <c r="O373" s="78" t="n"/>
      <c r="P373" s="79" t="n"/>
      <c r="R373" s="63">
        <f>IF(Q373="","",IF(Q373="Open",TODAY()-N373,"--"))</f>
        <v/>
      </c>
      <c r="S373" s="63">
        <f>IF(Q373="","",IF(Q373="Closed",P373-N373,"--"))</f>
        <v/>
      </c>
      <c r="W373" s="50" t="n"/>
    </row>
    <row r="374" ht="15" customHeight="1" s="130">
      <c r="B374" s="64">
        <f>IF(C374="","",B373+1)</f>
        <v/>
      </c>
      <c r="C374" s="77" t="n"/>
      <c r="D374" s="77" t="n"/>
      <c r="E374" s="82" t="n"/>
      <c r="F374" s="77" t="n"/>
      <c r="G374" s="64">
        <f>IF($F374="","",IFERROR(INDEX('WORK PACKAGES'!$A$2:$A$100,MATCH($F374,'WORK PACKAGES'!$D$2:$D$100,0)),""))</f>
        <v/>
      </c>
      <c r="H374" s="64" t="n"/>
      <c r="I374" s="78" t="n"/>
      <c r="J374" s="78" t="n"/>
      <c r="K374" s="78" t="n"/>
      <c r="L374" s="82" t="n"/>
      <c r="M374" s="78" t="n"/>
      <c r="N374" s="79" t="n"/>
      <c r="O374" s="78" t="n"/>
      <c r="P374" s="78" t="n"/>
      <c r="R374" s="63">
        <f>IF(Q374="","",IF(Q374="Open",TODAY()-N374,"--"))</f>
        <v/>
      </c>
      <c r="S374" s="63">
        <f>IF(Q374="","",IF(Q374="Closed",P374-N374,"--"))</f>
        <v/>
      </c>
      <c r="W374" s="50" t="n"/>
    </row>
    <row r="375" ht="15" customHeight="1" s="130">
      <c r="B375" s="64">
        <f>IF(C375="","",B374+1)</f>
        <v/>
      </c>
      <c r="C375" s="77" t="n"/>
      <c r="D375" s="77" t="n"/>
      <c r="E375" s="82" t="n"/>
      <c r="F375" s="77" t="n"/>
      <c r="G375" s="64">
        <f>IF($F375="","",IFERROR(INDEX('WORK PACKAGES'!$A$2:$A$100,MATCH($F375,'WORK PACKAGES'!$D$2:$D$100,0)),""))</f>
        <v/>
      </c>
      <c r="H375" s="64" t="n"/>
      <c r="I375" s="78" t="n"/>
      <c r="J375" s="78" t="n"/>
      <c r="K375" s="78" t="n"/>
      <c r="L375" s="82" t="n"/>
      <c r="M375" s="78" t="n"/>
      <c r="N375" s="79" t="n"/>
      <c r="O375" s="78" t="n"/>
      <c r="P375" s="78" t="n"/>
      <c r="R375" s="63">
        <f>IF(Q375="","",IF(Q375="Open",TODAY()-N375,"--"))</f>
        <v/>
      </c>
      <c r="S375" s="63">
        <f>IF(Q375="","",IF(Q375="Closed",P375-N375,"--"))</f>
        <v/>
      </c>
      <c r="W375" s="50" t="n"/>
    </row>
    <row r="376" ht="15" customHeight="1" s="130">
      <c r="B376" s="64">
        <f>IF(C376="","",B375+1)</f>
        <v/>
      </c>
      <c r="C376" s="77" t="n"/>
      <c r="D376" s="77" t="n"/>
      <c r="E376" s="82" t="n"/>
      <c r="F376" s="77" t="n"/>
      <c r="G376" s="64">
        <f>IF($F376="","",IFERROR(INDEX('WORK PACKAGES'!$A$2:$A$100,MATCH($F376,'WORK PACKAGES'!$D$2:$D$100,0)),""))</f>
        <v/>
      </c>
      <c r="H376" s="64" t="n"/>
      <c r="I376" s="78" t="n"/>
      <c r="J376" s="78" t="n"/>
      <c r="K376" s="78" t="n"/>
      <c r="L376" s="82" t="n"/>
      <c r="M376" s="78" t="n"/>
      <c r="N376" s="79" t="n"/>
      <c r="O376" s="78" t="n"/>
      <c r="P376" s="78" t="n"/>
      <c r="R376" s="63">
        <f>IF(Q376="","",IF(Q376="Open",TODAY()-N376,"--"))</f>
        <v/>
      </c>
      <c r="S376" s="63">
        <f>IF(Q376="","",IF(Q376="Closed",P376-N376,"--"))</f>
        <v/>
      </c>
      <c r="W376" s="50" t="n"/>
    </row>
    <row r="377" ht="15" customHeight="1" s="130">
      <c r="B377" s="64">
        <f>IF(C377="","",B376+1)</f>
        <v/>
      </c>
      <c r="C377" s="77" t="n"/>
      <c r="D377" s="77" t="n"/>
      <c r="E377" s="82" t="n"/>
      <c r="F377" s="77" t="n"/>
      <c r="G377" s="64">
        <f>IF($F377="","",IFERROR(INDEX('WORK PACKAGES'!$A$2:$A$100,MATCH($F377,'WORK PACKAGES'!$D$2:$D$100,0)),""))</f>
        <v/>
      </c>
      <c r="H377" s="64" t="n"/>
      <c r="I377" s="78" t="n"/>
      <c r="J377" s="78" t="n"/>
      <c r="K377" s="78" t="n"/>
      <c r="L377" s="82" t="n"/>
      <c r="M377" s="78" t="n"/>
      <c r="N377" s="79" t="n"/>
      <c r="O377" s="78" t="n"/>
      <c r="P377" s="78" t="n"/>
      <c r="R377" s="63">
        <f>IF(Q377="","",IF(Q377="Open",TODAY()-N377,"--"))</f>
        <v/>
      </c>
      <c r="S377" s="63">
        <f>IF(Q377="","",IF(Q377="Closed",P377-N377,"--"))</f>
        <v/>
      </c>
      <c r="W377" s="50" t="n"/>
    </row>
    <row r="378" ht="15" customHeight="1" s="130">
      <c r="B378" s="64">
        <f>IF(C378="","",B377+1)</f>
        <v/>
      </c>
      <c r="C378" s="77" t="n"/>
      <c r="D378" s="77" t="n"/>
      <c r="E378" s="82" t="n"/>
      <c r="F378" s="77" t="n"/>
      <c r="G378" s="64">
        <f>IF($F378="","",IFERROR(INDEX('WORK PACKAGES'!$A$2:$A$100,MATCH($F378,'WORK PACKAGES'!$D$2:$D$100,0)),""))</f>
        <v/>
      </c>
      <c r="H378" s="64" t="n"/>
      <c r="I378" s="78" t="n"/>
      <c r="J378" s="78" t="n"/>
      <c r="K378" s="78" t="n"/>
      <c r="L378" s="82" t="n"/>
      <c r="M378" s="78" t="n"/>
      <c r="N378" s="79" t="n"/>
      <c r="O378" s="78" t="n"/>
      <c r="P378" s="78" t="n"/>
      <c r="R378" s="63">
        <f>IF(Q378="","",IF(Q378="Open",TODAY()-N378,"--"))</f>
        <v/>
      </c>
      <c r="S378" s="63">
        <f>IF(Q378="","",IF(Q378="Closed",P378-N378,"--"))</f>
        <v/>
      </c>
      <c r="W378" s="50" t="n"/>
    </row>
    <row r="379" ht="15" customHeight="1" s="130">
      <c r="B379" s="64">
        <f>IF(C379="","",B378+1)</f>
        <v/>
      </c>
      <c r="C379" s="77" t="n"/>
      <c r="D379" s="77" t="n"/>
      <c r="E379" s="82" t="n"/>
      <c r="F379" s="77" t="n"/>
      <c r="G379" s="64">
        <f>IF($F379="","",IFERROR(INDEX('WORK PACKAGES'!$A$2:$A$100,MATCH($F379,'WORK PACKAGES'!$D$2:$D$100,0)),""))</f>
        <v/>
      </c>
      <c r="H379" s="64" t="n"/>
      <c r="I379" s="78" t="n"/>
      <c r="J379" s="78" t="n"/>
      <c r="K379" s="78" t="n"/>
      <c r="L379" s="82" t="n"/>
      <c r="M379" s="78" t="n"/>
      <c r="N379" s="79" t="n"/>
      <c r="O379" s="78" t="n"/>
      <c r="P379" s="78" t="n"/>
      <c r="R379" s="63">
        <f>IF(Q379="","",IF(Q379="Open",TODAY()-N379,"--"))</f>
        <v/>
      </c>
      <c r="S379" s="63">
        <f>IF(Q379="","",IF(Q379="Closed",P379-N379,"--"))</f>
        <v/>
      </c>
      <c r="W379" s="50" t="n"/>
    </row>
    <row r="380" ht="15" customHeight="1" s="130">
      <c r="B380" s="64">
        <f>IF(C380="","",B379+1)</f>
        <v/>
      </c>
      <c r="C380" s="77" t="n"/>
      <c r="D380" s="77" t="n"/>
      <c r="E380" s="82" t="n"/>
      <c r="F380" s="77" t="n"/>
      <c r="G380" s="64">
        <f>IF($F380="","",IFERROR(INDEX('WORK PACKAGES'!$A$2:$A$100,MATCH($F380,'WORK PACKAGES'!$D$2:$D$100,0)),""))</f>
        <v/>
      </c>
      <c r="H380" s="64" t="n"/>
      <c r="I380" s="78" t="n"/>
      <c r="J380" s="78" t="n"/>
      <c r="K380" s="78" t="n"/>
      <c r="L380" s="82" t="n"/>
      <c r="M380" s="78" t="n"/>
      <c r="N380" s="79" t="n"/>
      <c r="O380" s="78" t="n"/>
      <c r="P380" s="78" t="n"/>
      <c r="R380" s="63">
        <f>IF(Q380="","",IF(Q380="Open",TODAY()-N380,"--"))</f>
        <v/>
      </c>
      <c r="S380" s="63">
        <f>IF(Q380="","",IF(Q380="Closed",P380-N380,"--"))</f>
        <v/>
      </c>
      <c r="W380" s="50" t="n"/>
    </row>
    <row r="381" ht="15" customHeight="1" s="130">
      <c r="B381" s="64">
        <f>IF(C381="","",B380+1)</f>
        <v/>
      </c>
      <c r="C381" s="77" t="n"/>
      <c r="D381" s="77" t="n"/>
      <c r="E381" s="82" t="n"/>
      <c r="F381" s="77" t="n"/>
      <c r="G381" s="64">
        <f>IF($F381="","",IFERROR(INDEX('WORK PACKAGES'!$A$2:$A$100,MATCH($F381,'WORK PACKAGES'!$D$2:$D$100,0)),""))</f>
        <v/>
      </c>
      <c r="H381" s="64" t="n"/>
      <c r="I381" s="78" t="n"/>
      <c r="J381" s="78" t="n"/>
      <c r="K381" s="78" t="n"/>
      <c r="L381" s="82" t="n"/>
      <c r="M381" s="78" t="n"/>
      <c r="N381" s="79" t="n"/>
      <c r="O381" s="78" t="n"/>
      <c r="P381" s="78" t="n"/>
      <c r="R381" s="63">
        <f>IF(Q381="","",IF(Q381="Open",TODAY()-N381,"--"))</f>
        <v/>
      </c>
      <c r="S381" s="63">
        <f>IF(Q381="","",IF(Q381="Closed",P381-N381,"--"))</f>
        <v/>
      </c>
      <c r="W381" s="50" t="n"/>
    </row>
    <row r="382" ht="15" customHeight="1" s="130">
      <c r="B382" s="64">
        <f>IF(C382="","",B381+1)</f>
        <v/>
      </c>
      <c r="C382" s="77" t="n"/>
      <c r="D382" s="77" t="n"/>
      <c r="E382" s="82" t="n"/>
      <c r="F382" s="77" t="n"/>
      <c r="G382" s="64">
        <f>IF($F382="","",IFERROR(INDEX('WORK PACKAGES'!$A$2:$A$100,MATCH($F382,'WORK PACKAGES'!$D$2:$D$100,0)),""))</f>
        <v/>
      </c>
      <c r="H382" s="64" t="n"/>
      <c r="I382" s="78" t="n"/>
      <c r="J382" s="78" t="n"/>
      <c r="K382" s="78" t="n"/>
      <c r="L382" s="82" t="n"/>
      <c r="M382" s="78" t="n"/>
      <c r="N382" s="79" t="n"/>
      <c r="O382" s="78" t="n"/>
      <c r="P382" s="79" t="n"/>
      <c r="R382" s="63">
        <f>IF(Q382="","",IF(Q382="Open",TODAY()-N382,"--"))</f>
        <v/>
      </c>
      <c r="S382" s="63">
        <f>IF(Q382="","",IF(Q382="Closed",P382-N382,"--"))</f>
        <v/>
      </c>
      <c r="W382" s="50" t="n"/>
    </row>
    <row r="383" ht="15" customHeight="1" s="130">
      <c r="B383" s="64">
        <f>IF(C383="","",B382+1)</f>
        <v/>
      </c>
      <c r="C383" s="77" t="n"/>
      <c r="D383" s="77" t="n"/>
      <c r="E383" s="82" t="n"/>
      <c r="F383" s="77" t="n"/>
      <c r="G383" s="64">
        <f>IF($F383="","",IFERROR(INDEX('WORK PACKAGES'!$A$2:$A$100,MATCH($F383,'WORK PACKAGES'!$D$2:$D$100,0)),""))</f>
        <v/>
      </c>
      <c r="H383" s="64" t="n"/>
      <c r="I383" s="78" t="n"/>
      <c r="J383" s="78" t="n"/>
      <c r="K383" s="78" t="n"/>
      <c r="L383" s="82" t="n"/>
      <c r="M383" s="78" t="n"/>
      <c r="N383" s="79" t="n"/>
      <c r="O383" s="78" t="n"/>
      <c r="P383" s="79" t="n"/>
      <c r="R383" s="63">
        <f>IF(Q383="","",IF(Q383="Open",TODAY()-N383,"--"))</f>
        <v/>
      </c>
      <c r="S383" s="63">
        <f>IF(Q383="","",IF(Q383="Closed",P383-N383,"--"))</f>
        <v/>
      </c>
      <c r="W383" s="50" t="n"/>
    </row>
    <row r="384" ht="15" customHeight="1" s="130">
      <c r="B384" s="64">
        <f>IF(C384="","",B383+1)</f>
        <v/>
      </c>
      <c r="C384" s="77" t="n"/>
      <c r="D384" s="77" t="n"/>
      <c r="E384" s="82" t="n"/>
      <c r="F384" s="77" t="n"/>
      <c r="G384" s="64">
        <f>IF($F384="","",IFERROR(INDEX('WORK PACKAGES'!$A$2:$A$100,MATCH($F384,'WORK PACKAGES'!$D$2:$D$100,0)),""))</f>
        <v/>
      </c>
      <c r="H384" s="64" t="n"/>
      <c r="I384" s="78" t="n"/>
      <c r="J384" s="78" t="n"/>
      <c r="K384" s="78" t="n"/>
      <c r="L384" s="82" t="n"/>
      <c r="M384" s="78" t="n"/>
      <c r="N384" s="79" t="n"/>
      <c r="O384" s="78" t="n"/>
      <c r="P384" s="79" t="n"/>
      <c r="R384" s="63">
        <f>IF(Q384="","",IF(Q384="Open",TODAY()-N384,"--"))</f>
        <v/>
      </c>
      <c r="S384" s="63">
        <f>IF(Q384="","",IF(Q384="Closed",P384-N384,"--"))</f>
        <v/>
      </c>
      <c r="W384" s="50" t="n"/>
    </row>
    <row r="385" ht="15" customHeight="1" s="130">
      <c r="B385" s="64">
        <f>IF(C385="","",B384+1)</f>
        <v/>
      </c>
      <c r="C385" s="77" t="n"/>
      <c r="D385" s="77" t="n"/>
      <c r="E385" s="82" t="n"/>
      <c r="F385" s="77" t="n"/>
      <c r="G385" s="64">
        <f>IF($F385="","",IFERROR(INDEX('WORK PACKAGES'!$A$2:$A$100,MATCH($F385,'WORK PACKAGES'!$D$2:$D$100,0)),""))</f>
        <v/>
      </c>
      <c r="H385" s="64" t="n"/>
      <c r="I385" s="78" t="n"/>
      <c r="J385" s="78" t="n"/>
      <c r="K385" s="78" t="n"/>
      <c r="L385" s="82" t="n"/>
      <c r="M385" s="78" t="n"/>
      <c r="N385" s="79" t="n"/>
      <c r="O385" s="78" t="n"/>
      <c r="P385" s="78" t="n"/>
      <c r="R385" s="63">
        <f>IF(Q385="","",IF(Q385="Open",TODAY()-N385,"--"))</f>
        <v/>
      </c>
      <c r="S385" s="63">
        <f>IF(Q385="","",IF(Q385="Closed",P385-N385,"--"))</f>
        <v/>
      </c>
      <c r="W385" s="50" t="n"/>
    </row>
    <row r="386" ht="15" customHeight="1" s="130">
      <c r="B386" s="64">
        <f>IF(C386="","",B385+1)</f>
        <v/>
      </c>
      <c r="C386" s="77" t="n"/>
      <c r="D386" s="77" t="n"/>
      <c r="E386" s="82" t="n"/>
      <c r="F386" s="77" t="n"/>
      <c r="G386" s="64">
        <f>IF($F386="","",IFERROR(INDEX('WORK PACKAGES'!$A$2:$A$100,MATCH($F386,'WORK PACKAGES'!$D$2:$D$100,0)),""))</f>
        <v/>
      </c>
      <c r="H386" s="64" t="n"/>
      <c r="I386" s="78" t="n"/>
      <c r="J386" s="78" t="n"/>
      <c r="K386" s="78" t="n"/>
      <c r="L386" s="82" t="n"/>
      <c r="M386" s="78" t="n"/>
      <c r="N386" s="79" t="n"/>
      <c r="O386" s="78" t="n"/>
      <c r="P386" s="78" t="n"/>
      <c r="R386" s="63">
        <f>IF(Q386="","",IF(Q386="Open",TODAY()-N386,"--"))</f>
        <v/>
      </c>
      <c r="S386" s="63">
        <f>IF(Q386="","",IF(Q386="Closed",P386-N386,"--"))</f>
        <v/>
      </c>
      <c r="W386" s="50" t="n"/>
    </row>
    <row r="387" ht="15" customHeight="1" s="130">
      <c r="B387" s="64">
        <f>IF(C387="","",B386+1)</f>
        <v/>
      </c>
      <c r="C387" s="77" t="n"/>
      <c r="D387" s="77" t="n"/>
      <c r="E387" s="82" t="n"/>
      <c r="F387" s="77" t="n"/>
      <c r="G387" s="64">
        <f>IF($F387="","",IFERROR(INDEX('WORK PACKAGES'!$A$2:$A$100,MATCH($F387,'WORK PACKAGES'!$D$2:$D$100,0)),""))</f>
        <v/>
      </c>
      <c r="H387" s="64" t="n"/>
      <c r="I387" s="78" t="n"/>
      <c r="J387" s="78" t="n"/>
      <c r="K387" s="78" t="n"/>
      <c r="L387" s="82" t="n"/>
      <c r="M387" s="78" t="n"/>
      <c r="N387" s="79" t="n"/>
      <c r="O387" s="78" t="n"/>
      <c r="P387" s="78" t="n"/>
      <c r="R387" s="63">
        <f>IF(Q387="","",IF(Q387="Open",TODAY()-N387,"--"))</f>
        <v/>
      </c>
      <c r="S387" s="63">
        <f>IF(Q387="","",IF(Q387="Closed",P387-N387,"--"))</f>
        <v/>
      </c>
      <c r="W387" s="50" t="n"/>
    </row>
    <row r="388" ht="15" customHeight="1" s="130">
      <c r="B388" s="64">
        <f>IF(C388="","",B387+1)</f>
        <v/>
      </c>
      <c r="C388" s="77" t="n"/>
      <c r="D388" s="77" t="n"/>
      <c r="E388" s="82" t="n"/>
      <c r="F388" s="77" t="n"/>
      <c r="G388" s="64">
        <f>IF($F388="","",IFERROR(INDEX('WORK PACKAGES'!$A$2:$A$100,MATCH($F388,'WORK PACKAGES'!$D$2:$D$100,0)),""))</f>
        <v/>
      </c>
      <c r="H388" s="64" t="n"/>
      <c r="I388" s="78" t="n"/>
      <c r="J388" s="78" t="n"/>
      <c r="K388" s="78" t="n"/>
      <c r="L388" s="82" t="n"/>
      <c r="M388" s="78" t="n"/>
      <c r="N388" s="79" t="n"/>
      <c r="O388" s="78" t="n"/>
      <c r="P388" s="78" t="n"/>
      <c r="R388" s="63">
        <f>IF(Q388="","",IF(Q388="Open",TODAY()-N388,"--"))</f>
        <v/>
      </c>
      <c r="S388" s="63">
        <f>IF(Q388="","",IF(Q388="Closed",P388-N388,"--"))</f>
        <v/>
      </c>
      <c r="W388" s="50" t="n"/>
    </row>
    <row r="389" ht="15" customHeight="1" s="130">
      <c r="B389" s="64">
        <f>IF(C389="","",B388+1)</f>
        <v/>
      </c>
      <c r="C389" s="77" t="n"/>
      <c r="D389" s="77" t="n"/>
      <c r="E389" s="82" t="n"/>
      <c r="F389" s="77" t="n"/>
      <c r="G389" s="64">
        <f>IF($F389="","",IFERROR(INDEX('WORK PACKAGES'!$A$2:$A$100,MATCH($F389,'WORK PACKAGES'!$D$2:$D$100,0)),""))</f>
        <v/>
      </c>
      <c r="H389" s="64" t="n"/>
      <c r="I389" s="78" t="n"/>
      <c r="J389" s="78" t="n"/>
      <c r="K389" s="78" t="n"/>
      <c r="L389" s="82" t="n"/>
      <c r="M389" s="78" t="n"/>
      <c r="N389" s="79" t="n"/>
      <c r="O389" s="78" t="n"/>
      <c r="P389" s="78" t="n"/>
      <c r="R389" s="63">
        <f>IF(Q389="","",IF(Q389="Open",TODAY()-N389,"--"))</f>
        <v/>
      </c>
      <c r="S389" s="63">
        <f>IF(Q389="","",IF(Q389="Closed",P389-N389,"--"))</f>
        <v/>
      </c>
      <c r="W389" s="50" t="n"/>
    </row>
    <row r="390" ht="15" customHeight="1" s="130">
      <c r="B390" s="64">
        <f>IF(C390="","",B389+1)</f>
        <v/>
      </c>
      <c r="C390" s="77" t="n"/>
      <c r="D390" s="77" t="n"/>
      <c r="E390" s="82" t="n"/>
      <c r="F390" s="77" t="n"/>
      <c r="G390" s="64">
        <f>IF($F390="","",IFERROR(INDEX('WORK PACKAGES'!$A$2:$A$100,MATCH($F390,'WORK PACKAGES'!$D$2:$D$100,0)),""))</f>
        <v/>
      </c>
      <c r="H390" s="64" t="n"/>
      <c r="I390" s="78" t="n"/>
      <c r="J390" s="78" t="n"/>
      <c r="K390" s="78" t="n"/>
      <c r="L390" s="82" t="n"/>
      <c r="M390" s="78" t="n"/>
      <c r="N390" s="79" t="n"/>
      <c r="O390" s="78" t="n"/>
      <c r="P390" s="79" t="n"/>
      <c r="R390" s="63">
        <f>IF(Q390="","",IF(Q390="Open",TODAY()-N390,"--"))</f>
        <v/>
      </c>
      <c r="S390" s="63">
        <f>IF(Q390="","",IF(Q390="Closed",P390-N390,"--"))</f>
        <v/>
      </c>
      <c r="W390" s="50" t="n"/>
    </row>
    <row r="391" ht="15" customHeight="1" s="130">
      <c r="B391" s="64">
        <f>IF(C391="","",B390+1)</f>
        <v/>
      </c>
      <c r="C391" s="77" t="n"/>
      <c r="D391" s="77" t="n"/>
      <c r="E391" s="82" t="n"/>
      <c r="F391" s="77" t="n"/>
      <c r="G391" s="64">
        <f>IF($F391="","",IFERROR(INDEX('WORK PACKAGES'!$A$2:$A$100,MATCH($F391,'WORK PACKAGES'!$D$2:$D$100,0)),""))</f>
        <v/>
      </c>
      <c r="H391" s="64" t="n"/>
      <c r="I391" s="78" t="n"/>
      <c r="J391" s="78" t="n"/>
      <c r="K391" s="78" t="n"/>
      <c r="L391" s="82" t="n"/>
      <c r="M391" s="78" t="n"/>
      <c r="N391" s="79" t="n"/>
      <c r="O391" s="78" t="n"/>
      <c r="P391" s="78" t="n"/>
      <c r="R391" s="63">
        <f>IF(Q391="","",IF(Q391="Open",TODAY()-N391,"--"))</f>
        <v/>
      </c>
      <c r="S391" s="63">
        <f>IF(Q391="","",IF(Q391="Closed",P391-N391,"--"))</f>
        <v/>
      </c>
      <c r="W391" s="50" t="n"/>
    </row>
    <row r="392" ht="15" customHeight="1" s="130">
      <c r="B392" s="64">
        <f>IF(C392="","",B391+1)</f>
        <v/>
      </c>
      <c r="C392" s="77" t="n"/>
      <c r="D392" s="77" t="n"/>
      <c r="E392" s="82" t="n"/>
      <c r="F392" s="77" t="n"/>
      <c r="G392" s="64">
        <f>IF($F392="","",IFERROR(INDEX('WORK PACKAGES'!$A$2:$A$100,MATCH($F392,'WORK PACKAGES'!$D$2:$D$100,0)),""))</f>
        <v/>
      </c>
      <c r="H392" s="64" t="n"/>
      <c r="I392" s="78" t="n"/>
      <c r="J392" s="78" t="n"/>
      <c r="K392" s="78" t="n"/>
      <c r="L392" s="82" t="n"/>
      <c r="M392" s="78" t="n"/>
      <c r="N392" s="79" t="n"/>
      <c r="O392" s="78" t="n"/>
      <c r="P392" s="78" t="n"/>
      <c r="R392" s="63">
        <f>IF(Q392="","",IF(Q392="Open",TODAY()-N392,"--"))</f>
        <v/>
      </c>
      <c r="S392" s="63">
        <f>IF(Q392="","",IF(Q392="Closed",P392-N392,"--"))</f>
        <v/>
      </c>
      <c r="W392" s="50" t="n"/>
    </row>
    <row r="393" ht="15" customHeight="1" s="130">
      <c r="B393" s="64">
        <f>IF(C393="","",B392+1)</f>
        <v/>
      </c>
      <c r="C393" s="77" t="n"/>
      <c r="D393" s="77" t="n"/>
      <c r="E393" s="82" t="n"/>
      <c r="F393" s="77" t="n"/>
      <c r="G393" s="64">
        <f>IF($F393="","",IFERROR(INDEX('WORK PACKAGES'!$A$2:$A$100,MATCH($F393,'WORK PACKAGES'!$D$2:$D$100,0)),""))</f>
        <v/>
      </c>
      <c r="H393" s="64" t="n"/>
      <c r="I393" s="78" t="n"/>
      <c r="J393" s="78" t="n"/>
      <c r="K393" s="78" t="n"/>
      <c r="L393" s="82" t="n"/>
      <c r="M393" s="78" t="n"/>
      <c r="N393" s="79" t="n"/>
      <c r="O393" s="78" t="n"/>
      <c r="P393" s="78" t="n"/>
      <c r="R393" s="63">
        <f>IF(Q393="","",IF(Q393="Open",TODAY()-N393,"--"))</f>
        <v/>
      </c>
      <c r="S393" s="63">
        <f>IF(Q393="","",IF(Q393="Closed",P393-N393,"--"))</f>
        <v/>
      </c>
      <c r="W393" s="50" t="n"/>
    </row>
    <row r="394" ht="15" customHeight="1" s="130">
      <c r="B394" s="64">
        <f>IF(C394="","",B393+1)</f>
        <v/>
      </c>
      <c r="C394" s="77" t="n"/>
      <c r="D394" s="77" t="n"/>
      <c r="E394" s="82" t="n"/>
      <c r="F394" s="77" t="n"/>
      <c r="G394" s="64">
        <f>IF($F394="","",IFERROR(INDEX('WORK PACKAGES'!$A$2:$A$100,MATCH($F394,'WORK PACKAGES'!$D$2:$D$100,0)),""))</f>
        <v/>
      </c>
      <c r="H394" s="64" t="n"/>
      <c r="I394" s="78" t="n"/>
      <c r="J394" s="78" t="n"/>
      <c r="K394" s="78" t="n"/>
      <c r="L394" s="82" t="n"/>
      <c r="M394" s="78" t="n"/>
      <c r="N394" s="79" t="n"/>
      <c r="O394" s="78" t="n"/>
      <c r="P394" s="78" t="n"/>
      <c r="R394" s="63">
        <f>IF(Q394="","",IF(Q394="Open",TODAY()-N394,"--"))</f>
        <v/>
      </c>
      <c r="S394" s="63">
        <f>IF(Q394="","",IF(Q394="Closed",P394-N394,"--"))</f>
        <v/>
      </c>
      <c r="W394" s="50" t="n"/>
    </row>
    <row r="395" ht="15" customHeight="1" s="130">
      <c r="B395" s="64">
        <f>IF(C395="","",B394+1)</f>
        <v/>
      </c>
      <c r="C395" s="77" t="n"/>
      <c r="D395" s="77" t="n"/>
      <c r="E395" s="82" t="n"/>
      <c r="F395" s="77" t="n"/>
      <c r="G395" s="64">
        <f>IF($F395="","",IFERROR(INDEX('WORK PACKAGES'!$A$2:$A$100,MATCH($F395,'WORK PACKAGES'!$D$2:$D$100,0)),""))</f>
        <v/>
      </c>
      <c r="H395" s="64" t="n"/>
      <c r="I395" s="78" t="n"/>
      <c r="J395" s="78" t="n"/>
      <c r="K395" s="78" t="n"/>
      <c r="L395" s="82" t="n"/>
      <c r="M395" s="78" t="n"/>
      <c r="N395" s="79" t="n"/>
      <c r="O395" s="78" t="n"/>
      <c r="P395" s="78" t="n"/>
      <c r="R395" s="63">
        <f>IF(Q395="","",IF(Q395="Open",TODAY()-N395,"--"))</f>
        <v/>
      </c>
      <c r="S395" s="63">
        <f>IF(Q395="","",IF(Q395="Closed",P395-N395,"--"))</f>
        <v/>
      </c>
      <c r="W395" s="50" t="n"/>
    </row>
    <row r="396" ht="15" customHeight="1" s="130">
      <c r="B396" s="64">
        <f>IF(C396="","",B395+1)</f>
        <v/>
      </c>
      <c r="C396" s="77" t="n"/>
      <c r="D396" s="77" t="n"/>
      <c r="E396" s="82" t="n"/>
      <c r="F396" s="77" t="n"/>
      <c r="G396" s="64">
        <f>IF($F396="","",IFERROR(INDEX('WORK PACKAGES'!$A$2:$A$100,MATCH($F396,'WORK PACKAGES'!$D$2:$D$100,0)),""))</f>
        <v/>
      </c>
      <c r="H396" s="64" t="n"/>
      <c r="I396" s="78" t="n"/>
      <c r="J396" s="78" t="n"/>
      <c r="K396" s="78" t="n"/>
      <c r="L396" s="82" t="n"/>
      <c r="M396" s="78" t="n"/>
      <c r="N396" s="79" t="n"/>
      <c r="O396" s="78" t="n"/>
      <c r="P396" s="78" t="n"/>
      <c r="R396" s="63">
        <f>IF(Q396="","",IF(Q396="Open",TODAY()-N396,"--"))</f>
        <v/>
      </c>
      <c r="S396" s="63">
        <f>IF(Q396="","",IF(Q396="Closed",P396-N396,"--"))</f>
        <v/>
      </c>
      <c r="W396" s="50" t="n"/>
    </row>
    <row r="397" ht="15" customHeight="1" s="130">
      <c r="B397" s="64">
        <f>IF(C397="","",B396+1)</f>
        <v/>
      </c>
      <c r="C397" s="77" t="n"/>
      <c r="D397" s="77" t="n"/>
      <c r="E397" s="82" t="n"/>
      <c r="F397" s="77" t="n"/>
      <c r="G397" s="64">
        <f>IF($F397="","",IFERROR(INDEX('WORK PACKAGES'!$A$2:$A$100,MATCH($F397,'WORK PACKAGES'!$D$2:$D$100,0)),""))</f>
        <v/>
      </c>
      <c r="H397" s="64" t="n"/>
      <c r="I397" s="78" t="n"/>
      <c r="J397" s="78" t="n"/>
      <c r="K397" s="78" t="n"/>
      <c r="L397" s="82" t="n"/>
      <c r="M397" s="78" t="n"/>
      <c r="N397" s="79" t="n"/>
      <c r="O397" s="78" t="n"/>
      <c r="P397" s="78" t="n"/>
      <c r="R397" s="63">
        <f>IF(Q397="","",IF(Q397="Open",TODAY()-N397,"--"))</f>
        <v/>
      </c>
      <c r="S397" s="63">
        <f>IF(Q397="","",IF(Q397="Closed",P397-N397,"--"))</f>
        <v/>
      </c>
      <c r="W397" s="50" t="n"/>
    </row>
    <row r="398" ht="15" customHeight="1" s="130">
      <c r="B398" s="64">
        <f>IF(C398="","",B397+1)</f>
        <v/>
      </c>
      <c r="C398" s="77" t="n"/>
      <c r="D398" s="77" t="n"/>
      <c r="E398" s="82" t="n"/>
      <c r="F398" s="77" t="n"/>
      <c r="G398" s="64">
        <f>IF($F398="","",IFERROR(INDEX('WORK PACKAGES'!$A$2:$A$100,MATCH($F398,'WORK PACKAGES'!$D$2:$D$100,0)),""))</f>
        <v/>
      </c>
      <c r="H398" s="64" t="n"/>
      <c r="I398" s="78" t="n"/>
      <c r="J398" s="78" t="n"/>
      <c r="K398" s="78" t="n"/>
      <c r="L398" s="82" t="n"/>
      <c r="M398" s="78" t="n"/>
      <c r="N398" s="79" t="n"/>
      <c r="O398" s="78" t="n"/>
      <c r="P398" s="78" t="n"/>
      <c r="R398" s="63">
        <f>IF(Q398="","",IF(Q398="Open",TODAY()-N398,"--"))</f>
        <v/>
      </c>
      <c r="S398" s="63">
        <f>IF(Q398="","",IF(Q398="Closed",P398-N398,"--"))</f>
        <v/>
      </c>
      <c r="W398" s="50" t="n"/>
    </row>
    <row r="399" ht="15" customHeight="1" s="130">
      <c r="B399" s="64">
        <f>IF(C399="","",B398+1)</f>
        <v/>
      </c>
      <c r="C399" s="77" t="n"/>
      <c r="D399" s="77" t="n"/>
      <c r="E399" s="82" t="n"/>
      <c r="F399" s="77" t="n"/>
      <c r="G399" s="64">
        <f>IF($F399="","",IFERROR(INDEX('WORK PACKAGES'!$A$2:$A$100,MATCH($F399,'WORK PACKAGES'!$D$2:$D$100,0)),""))</f>
        <v/>
      </c>
      <c r="H399" s="64" t="n"/>
      <c r="I399" s="78" t="n"/>
      <c r="J399" s="78" t="n"/>
      <c r="K399" s="78" t="n"/>
      <c r="L399" s="82" t="n"/>
      <c r="M399" s="78" t="n"/>
      <c r="N399" s="79" t="n"/>
      <c r="O399" s="78" t="n"/>
      <c r="P399" s="78" t="n"/>
      <c r="R399" s="63">
        <f>IF(Q399="","",IF(Q399="Open",TODAY()-N399,"--"))</f>
        <v/>
      </c>
      <c r="S399" s="63">
        <f>IF(Q399="","",IF(Q399="Closed",P399-N399,"--"))</f>
        <v/>
      </c>
      <c r="W399" s="50" t="n"/>
    </row>
    <row r="400" ht="15" customHeight="1" s="130">
      <c r="B400" s="64">
        <f>IF(C400="","",B399+1)</f>
        <v/>
      </c>
      <c r="C400" s="77" t="n"/>
      <c r="D400" s="77" t="n"/>
      <c r="E400" s="82" t="n"/>
      <c r="F400" s="77" t="n"/>
      <c r="G400" s="64">
        <f>IF($F400="","",IFERROR(INDEX('WORK PACKAGES'!$A$2:$A$100,MATCH($F400,'WORK PACKAGES'!$D$2:$D$100,0)),""))</f>
        <v/>
      </c>
      <c r="H400" s="64" t="n"/>
      <c r="I400" s="78" t="n"/>
      <c r="J400" s="78" t="n"/>
      <c r="K400" s="78" t="n"/>
      <c r="L400" s="82" t="n"/>
      <c r="M400" s="78" t="n"/>
      <c r="N400" s="79" t="n"/>
      <c r="O400" s="78" t="n"/>
      <c r="P400" s="79" t="n"/>
      <c r="R400" s="63">
        <f>IF(Q400="","",IF(Q400="Open",TODAY()-N400,"--"))</f>
        <v/>
      </c>
      <c r="S400" s="63">
        <f>IF(Q400="","",IF(Q400="Closed",P400-N400,"--"))</f>
        <v/>
      </c>
      <c r="W400" s="50" t="n"/>
    </row>
    <row r="401" ht="15" customHeight="1" s="130">
      <c r="B401" s="64">
        <f>IF(C401="","",B400+1)</f>
        <v/>
      </c>
      <c r="C401" s="77" t="n"/>
      <c r="D401" s="77" t="n"/>
      <c r="E401" s="82" t="n"/>
      <c r="F401" s="77" t="n"/>
      <c r="G401" s="64">
        <f>IF($F401="","",IFERROR(INDEX('WORK PACKAGES'!$A$2:$A$100,MATCH($F401,'WORK PACKAGES'!$D$2:$D$100,0)),""))</f>
        <v/>
      </c>
      <c r="H401" s="64" t="n"/>
      <c r="I401" s="78" t="n"/>
      <c r="J401" s="78" t="n"/>
      <c r="K401" s="78" t="n"/>
      <c r="L401" s="82" t="n"/>
      <c r="M401" s="78" t="n"/>
      <c r="N401" s="79" t="n"/>
      <c r="O401" s="78" t="n"/>
      <c r="P401" s="78" t="n"/>
      <c r="R401" s="63">
        <f>IF(Q401="","",IF(Q401="Open",TODAY()-N401,"--"))</f>
        <v/>
      </c>
      <c r="S401" s="63">
        <f>IF(Q401="","",IF(Q401="Closed",P401-N401,"--"))</f>
        <v/>
      </c>
      <c r="W401" s="50" t="n"/>
    </row>
    <row r="402" ht="15" customHeight="1" s="130">
      <c r="B402" s="64">
        <f>IF(C402="","",B401+1)</f>
        <v/>
      </c>
      <c r="C402" s="77" t="n"/>
      <c r="D402" s="77" t="n"/>
      <c r="E402" s="82" t="n"/>
      <c r="F402" s="77" t="n"/>
      <c r="G402" s="64">
        <f>IF($F402="","",IFERROR(INDEX('WORK PACKAGES'!$A$2:$A$100,MATCH($F402,'WORK PACKAGES'!$D$2:$D$100,0)),""))</f>
        <v/>
      </c>
      <c r="H402" s="64" t="n"/>
      <c r="I402" s="78" t="n"/>
      <c r="J402" s="78" t="n"/>
      <c r="K402" s="78" t="n"/>
      <c r="L402" s="82" t="n"/>
      <c r="M402" s="78" t="n"/>
      <c r="N402" s="79" t="n"/>
      <c r="O402" s="78" t="n"/>
      <c r="P402" s="78" t="n"/>
      <c r="R402" s="63">
        <f>IF(Q402="","",IF(Q402="Open",TODAY()-N402,"--"))</f>
        <v/>
      </c>
      <c r="S402" s="63">
        <f>IF(Q402="","",IF(Q402="Closed",P402-N402,"--"))</f>
        <v/>
      </c>
      <c r="W402" s="50" t="n"/>
    </row>
    <row r="403" ht="15" customHeight="1" s="130">
      <c r="B403" s="64">
        <f>IF(C403="","",B402+1)</f>
        <v/>
      </c>
      <c r="C403" s="77" t="n"/>
      <c r="D403" s="77" t="n"/>
      <c r="E403" s="82" t="n"/>
      <c r="F403" s="77" t="n"/>
      <c r="G403" s="64">
        <f>IF($F403="","",IFERROR(INDEX('WORK PACKAGES'!$A$2:$A$100,MATCH($F403,'WORK PACKAGES'!$D$2:$D$100,0)),""))</f>
        <v/>
      </c>
      <c r="H403" s="64" t="n"/>
      <c r="I403" s="78" t="n"/>
      <c r="J403" s="78" t="n"/>
      <c r="K403" s="78" t="n"/>
      <c r="L403" s="82" t="n"/>
      <c r="M403" s="78" t="n"/>
      <c r="N403" s="79" t="n"/>
      <c r="O403" s="78" t="n"/>
      <c r="P403" s="78" t="n"/>
      <c r="R403" s="63">
        <f>IF(Q403="","",IF(Q403="Open",TODAY()-N403,"--"))</f>
        <v/>
      </c>
      <c r="S403" s="63">
        <f>IF(Q403="","",IF(Q403="Closed",P403-N403,"--"))</f>
        <v/>
      </c>
      <c r="W403" s="50" t="n"/>
    </row>
    <row r="404" ht="15" customHeight="1" s="130">
      <c r="B404" s="64">
        <f>IF(C404="","",B403+1)</f>
        <v/>
      </c>
      <c r="C404" s="77" t="n"/>
      <c r="D404" s="77" t="n"/>
      <c r="E404" s="82" t="n"/>
      <c r="F404" s="77" t="n"/>
      <c r="G404" s="64">
        <f>IF($F404="","",IFERROR(INDEX('WORK PACKAGES'!$A$2:$A$100,MATCH($F404,'WORK PACKAGES'!$D$2:$D$100,0)),""))</f>
        <v/>
      </c>
      <c r="H404" s="64" t="n"/>
      <c r="I404" s="78" t="n"/>
      <c r="J404" s="78" t="n"/>
      <c r="K404" s="78" t="n"/>
      <c r="L404" s="82" t="n"/>
      <c r="M404" s="78" t="n"/>
      <c r="N404" s="79" t="n"/>
      <c r="O404" s="78" t="n"/>
      <c r="P404" s="78" t="n"/>
      <c r="R404" s="63">
        <f>IF(Q404="","",IF(Q404="Open",TODAY()-N404,"--"))</f>
        <v/>
      </c>
      <c r="S404" s="63">
        <f>IF(Q404="","",IF(Q404="Closed",P404-N404,"--"))</f>
        <v/>
      </c>
      <c r="W404" s="50" t="n"/>
    </row>
    <row r="405" ht="15" customHeight="1" s="130">
      <c r="B405" s="64">
        <f>IF(C405="","",B404+1)</f>
        <v/>
      </c>
      <c r="C405" s="77" t="n"/>
      <c r="D405" s="77" t="n"/>
      <c r="E405" s="82" t="n"/>
      <c r="F405" s="77" t="n"/>
      <c r="G405" s="64">
        <f>IF($F405="","",IFERROR(INDEX('WORK PACKAGES'!$A$2:$A$100,MATCH($F405,'WORK PACKAGES'!$D$2:$D$100,0)),""))</f>
        <v/>
      </c>
      <c r="H405" s="64" t="n"/>
      <c r="I405" s="78" t="n"/>
      <c r="J405" s="78" t="n"/>
      <c r="K405" s="78" t="n"/>
      <c r="L405" s="82" t="n"/>
      <c r="M405" s="78" t="n"/>
      <c r="N405" s="79" t="n"/>
      <c r="O405" s="78" t="n"/>
      <c r="P405" s="78" t="n"/>
      <c r="R405" s="63">
        <f>IF(Q405="","",IF(Q405="Open",TODAY()-N405,"--"))</f>
        <v/>
      </c>
      <c r="S405" s="63">
        <f>IF(Q405="","",IF(Q405="Closed",P405-N405,"--"))</f>
        <v/>
      </c>
      <c r="W405" s="50" t="n"/>
    </row>
    <row r="406" ht="15" customHeight="1" s="130">
      <c r="B406" s="64">
        <f>IF(C406="","",B405+1)</f>
        <v/>
      </c>
      <c r="C406" s="77" t="n"/>
      <c r="D406" s="77" t="n"/>
      <c r="E406" s="82" t="n"/>
      <c r="F406" s="77" t="n"/>
      <c r="G406" s="64">
        <f>IF($F406="","",IFERROR(INDEX('WORK PACKAGES'!$A$2:$A$100,MATCH($F406,'WORK PACKAGES'!$D$2:$D$100,0)),""))</f>
        <v/>
      </c>
      <c r="H406" s="64" t="n"/>
      <c r="I406" s="78" t="n"/>
      <c r="J406" s="78" t="n"/>
      <c r="K406" s="78" t="n"/>
      <c r="L406" s="82" t="n"/>
      <c r="M406" s="78" t="n"/>
      <c r="N406" s="79" t="n"/>
      <c r="O406" s="78" t="n"/>
      <c r="P406" s="78" t="n"/>
      <c r="R406" s="63">
        <f>IF(Q406="","",IF(Q406="Open",TODAY()-N406,"--"))</f>
        <v/>
      </c>
      <c r="S406" s="63">
        <f>IF(Q406="","",IF(Q406="Closed",P406-N406,"--"))</f>
        <v/>
      </c>
      <c r="W406" s="50" t="n"/>
    </row>
    <row r="407" ht="15" customHeight="1" s="130">
      <c r="B407" s="64">
        <f>IF(C407="","",B406+1)</f>
        <v/>
      </c>
      <c r="C407" s="77" t="n"/>
      <c r="D407" s="77" t="n"/>
      <c r="E407" s="82" t="n"/>
      <c r="F407" s="77" t="n"/>
      <c r="G407" s="64">
        <f>IF($F407="","",IFERROR(INDEX('WORK PACKAGES'!$A$2:$A$100,MATCH($F407,'WORK PACKAGES'!$D$2:$D$100,0)),""))</f>
        <v/>
      </c>
      <c r="H407" s="64" t="n"/>
      <c r="I407" s="78" t="n"/>
      <c r="J407" s="78" t="n"/>
      <c r="K407" s="78" t="n"/>
      <c r="L407" s="82" t="n"/>
      <c r="M407" s="78" t="n"/>
      <c r="N407" s="79" t="n"/>
      <c r="O407" s="78" t="n"/>
      <c r="P407" s="78" t="n"/>
      <c r="R407" s="63">
        <f>IF(Q407="","",IF(Q407="Open",TODAY()-N407,"--"))</f>
        <v/>
      </c>
      <c r="S407" s="63">
        <f>IF(Q407="","",IF(Q407="Closed",P407-N407,"--"))</f>
        <v/>
      </c>
      <c r="W407" s="50" t="n"/>
    </row>
    <row r="408" ht="15" customHeight="1" s="130">
      <c r="B408" s="64">
        <f>IF(C408="","",B407+1)</f>
        <v/>
      </c>
      <c r="C408" s="77" t="n"/>
      <c r="D408" s="77" t="n"/>
      <c r="E408" s="82" t="n"/>
      <c r="F408" s="77" t="n"/>
      <c r="G408" s="64">
        <f>IF($F408="","",IFERROR(INDEX('WORK PACKAGES'!$A$2:$A$100,MATCH($F408,'WORK PACKAGES'!$D$2:$D$100,0)),""))</f>
        <v/>
      </c>
      <c r="H408" s="64" t="n"/>
      <c r="I408" s="78" t="n"/>
      <c r="J408" s="78" t="n"/>
      <c r="K408" s="78" t="n"/>
      <c r="L408" s="82" t="n"/>
      <c r="M408" s="78" t="n"/>
      <c r="N408" s="79" t="n"/>
      <c r="O408" s="78" t="n"/>
      <c r="P408" s="78" t="n"/>
      <c r="R408" s="63">
        <f>IF(Q408="","",IF(Q408="Open",TODAY()-N408,"--"))</f>
        <v/>
      </c>
      <c r="S408" s="63">
        <f>IF(Q408="","",IF(Q408="Closed",P408-N408,"--"))</f>
        <v/>
      </c>
      <c r="W408" s="50" t="n"/>
    </row>
    <row r="409" ht="15" customHeight="1" s="130">
      <c r="B409" s="64">
        <f>IF(C409="","",B408+1)</f>
        <v/>
      </c>
      <c r="C409" s="77" t="n"/>
      <c r="D409" s="77" t="n"/>
      <c r="E409" s="82" t="n"/>
      <c r="F409" s="77" t="n"/>
      <c r="G409" s="64">
        <f>IF($F409="","",IFERROR(INDEX('WORK PACKAGES'!$A$2:$A$100,MATCH($F409,'WORK PACKAGES'!$D$2:$D$100,0)),""))</f>
        <v/>
      </c>
      <c r="H409" s="64" t="n"/>
      <c r="I409" s="78" t="n"/>
      <c r="J409" s="78" t="n"/>
      <c r="K409" s="78" t="n"/>
      <c r="L409" s="82" t="n"/>
      <c r="M409" s="78" t="n"/>
      <c r="N409" s="79" t="n"/>
      <c r="O409" s="78" t="n"/>
      <c r="P409" s="78" t="n"/>
      <c r="R409" s="63">
        <f>IF(Q409="","",IF(Q409="Open",TODAY()-N409,"--"))</f>
        <v/>
      </c>
      <c r="S409" s="63">
        <f>IF(Q409="","",IF(Q409="Closed",P409-N409,"--"))</f>
        <v/>
      </c>
      <c r="W409" s="50" t="n"/>
    </row>
    <row r="410" ht="15" customHeight="1" s="130">
      <c r="B410" s="64">
        <f>IF(C410="","",B409+1)</f>
        <v/>
      </c>
      <c r="C410" s="77" t="n"/>
      <c r="D410" s="77" t="n"/>
      <c r="E410" s="82" t="n"/>
      <c r="F410" s="77" t="n"/>
      <c r="G410" s="64">
        <f>IF($F410="","",IFERROR(INDEX('WORK PACKAGES'!$A$2:$A$100,MATCH($F410,'WORK PACKAGES'!$D$2:$D$100,0)),""))</f>
        <v/>
      </c>
      <c r="H410" s="64" t="n"/>
      <c r="I410" s="78" t="n"/>
      <c r="J410" s="78" t="n"/>
      <c r="K410" s="78" t="n"/>
      <c r="L410" s="82" t="n"/>
      <c r="M410" s="78" t="n"/>
      <c r="N410" s="79" t="n"/>
      <c r="O410" s="78" t="n"/>
      <c r="P410" s="78" t="n"/>
      <c r="R410" s="63">
        <f>IF(Q410="","",IF(Q410="Open",TODAY()-N410,"--"))</f>
        <v/>
      </c>
      <c r="S410" s="63">
        <f>IF(Q410="","",IF(Q410="Closed",P410-N410,"--"))</f>
        <v/>
      </c>
      <c r="W410" s="50" t="n"/>
    </row>
    <row r="411" ht="15" customHeight="1" s="130">
      <c r="B411" s="64">
        <f>IF(C411="","",B410+1)</f>
        <v/>
      </c>
      <c r="C411" s="77" t="n"/>
      <c r="D411" s="77" t="n"/>
      <c r="E411" s="82" t="n"/>
      <c r="F411" s="77" t="n"/>
      <c r="G411" s="64">
        <f>IF($F411="","",IFERROR(INDEX('WORK PACKAGES'!$A$2:$A$100,MATCH($F411,'WORK PACKAGES'!$D$2:$D$100,0)),""))</f>
        <v/>
      </c>
      <c r="H411" s="64" t="n"/>
      <c r="I411" s="78" t="n"/>
      <c r="J411" s="78" t="n"/>
      <c r="K411" s="78" t="n"/>
      <c r="L411" s="82" t="n"/>
      <c r="M411" s="78" t="n"/>
      <c r="N411" s="79" t="n"/>
      <c r="O411" s="78" t="n"/>
      <c r="P411" s="78" t="n"/>
      <c r="R411" s="63">
        <f>IF(Q411="","",IF(Q411="Open",TODAY()-N411,"--"))</f>
        <v/>
      </c>
      <c r="S411" s="63">
        <f>IF(Q411="","",IF(Q411="Closed",P411-N411,"--"))</f>
        <v/>
      </c>
      <c r="W411" s="50" t="n"/>
    </row>
    <row r="412" ht="15" customHeight="1" s="130">
      <c r="B412" s="64">
        <f>IF(C412="","",B411+1)</f>
        <v/>
      </c>
      <c r="C412" s="77" t="n"/>
      <c r="D412" s="77" t="n"/>
      <c r="E412" s="82" t="n"/>
      <c r="F412" s="77" t="n"/>
      <c r="G412" s="64">
        <f>IF($F412="","",IFERROR(INDEX('WORK PACKAGES'!$A$2:$A$100,MATCH($F412,'WORK PACKAGES'!$D$2:$D$100,0)),""))</f>
        <v/>
      </c>
      <c r="H412" s="64" t="n"/>
      <c r="I412" s="78" t="n"/>
      <c r="J412" s="78" t="n"/>
      <c r="K412" s="78" t="n"/>
      <c r="L412" s="82" t="n"/>
      <c r="M412" s="78" t="n"/>
      <c r="N412" s="79" t="n"/>
      <c r="O412" s="78" t="n"/>
      <c r="P412" s="78" t="n"/>
      <c r="R412" s="63">
        <f>IF(Q412="","",IF(Q412="Open",TODAY()-N412,"--"))</f>
        <v/>
      </c>
      <c r="S412" s="63">
        <f>IF(Q412="","",IF(Q412="Closed",P412-N412,"--"))</f>
        <v/>
      </c>
      <c r="W412" s="50" t="n"/>
    </row>
    <row r="413" ht="15" customHeight="1" s="130">
      <c r="B413" s="64">
        <f>IF(C413="","",B412+1)</f>
        <v/>
      </c>
      <c r="C413" s="77" t="n"/>
      <c r="D413" s="77" t="n"/>
      <c r="E413" s="82" t="n"/>
      <c r="F413" s="77" t="n"/>
      <c r="G413" s="64">
        <f>IF($F413="","",IFERROR(INDEX('WORK PACKAGES'!$A$2:$A$100,MATCH($F413,'WORK PACKAGES'!$D$2:$D$100,0)),""))</f>
        <v/>
      </c>
      <c r="H413" s="64" t="n"/>
      <c r="I413" s="78" t="n"/>
      <c r="J413" s="78" t="n"/>
      <c r="K413" s="78" t="n"/>
      <c r="L413" s="82" t="n"/>
      <c r="M413" s="78" t="n"/>
      <c r="N413" s="79" t="n"/>
      <c r="O413" s="78" t="n"/>
      <c r="P413" s="79" t="n"/>
      <c r="R413" s="63">
        <f>IF(Q413="","",IF(Q413="Open",TODAY()-N413,"--"))</f>
        <v/>
      </c>
      <c r="S413" s="63">
        <f>IF(Q413="","",IF(Q413="Closed",P413-N413,"--"))</f>
        <v/>
      </c>
      <c r="W413" s="50" t="n"/>
    </row>
    <row r="414" ht="15" customHeight="1" s="130">
      <c r="B414" s="64">
        <f>IF(C414="","",B413+1)</f>
        <v/>
      </c>
      <c r="C414" s="77" t="n"/>
      <c r="D414" s="77" t="n"/>
      <c r="E414" s="82" t="n"/>
      <c r="F414" s="77" t="n"/>
      <c r="G414" s="64">
        <f>IF($F414="","",IFERROR(INDEX('WORK PACKAGES'!$A$2:$A$100,MATCH($F414,'WORK PACKAGES'!$D$2:$D$100,0)),""))</f>
        <v/>
      </c>
      <c r="H414" s="64" t="n"/>
      <c r="I414" s="78" t="n"/>
      <c r="J414" s="78" t="n"/>
      <c r="K414" s="78" t="n"/>
      <c r="L414" s="82" t="n"/>
      <c r="M414" s="78" t="n"/>
      <c r="N414" s="79" t="n"/>
      <c r="O414" s="78" t="n"/>
      <c r="P414" s="79" t="n"/>
      <c r="R414" s="63">
        <f>IF(Q414="","",IF(Q414="Open",TODAY()-N414,"--"))</f>
        <v/>
      </c>
      <c r="S414" s="63">
        <f>IF(Q414="","",IF(Q414="Closed",P414-N414,"--"))</f>
        <v/>
      </c>
      <c r="W414" s="50" t="n"/>
    </row>
    <row r="415" ht="15" customHeight="1" s="130">
      <c r="B415" s="64">
        <f>IF(C415="","",B414+1)</f>
        <v/>
      </c>
      <c r="C415" s="77" t="n"/>
      <c r="D415" s="77" t="n"/>
      <c r="E415" s="82" t="n"/>
      <c r="F415" s="77" t="n"/>
      <c r="G415" s="64">
        <f>IF($F415="","",IFERROR(INDEX('WORK PACKAGES'!$A$2:$A$100,MATCH($F415,'WORK PACKAGES'!$D$2:$D$100,0)),""))</f>
        <v/>
      </c>
      <c r="H415" s="64" t="n"/>
      <c r="I415" s="78" t="n"/>
      <c r="J415" s="78" t="n"/>
      <c r="K415" s="78" t="n"/>
      <c r="L415" s="82" t="n"/>
      <c r="M415" s="78" t="n"/>
      <c r="N415" s="79" t="n"/>
      <c r="O415" s="78" t="n"/>
      <c r="P415" s="78" t="n"/>
      <c r="R415" s="63">
        <f>IF(Q415="","",IF(Q415="Open",TODAY()-N415,"--"))</f>
        <v/>
      </c>
      <c r="S415" s="63">
        <f>IF(Q415="","",IF(Q415="Closed",P415-N415,"--"))</f>
        <v/>
      </c>
      <c r="W415" s="50" t="n"/>
    </row>
    <row r="416" ht="15" customHeight="1" s="130">
      <c r="B416" s="64">
        <f>IF(C416="","",B415+1)</f>
        <v/>
      </c>
      <c r="C416" s="77" t="n"/>
      <c r="D416" s="77" t="n"/>
      <c r="E416" s="82" t="n"/>
      <c r="F416" s="77" t="n"/>
      <c r="G416" s="64">
        <f>IF($F416="","",IFERROR(INDEX('WORK PACKAGES'!$A$2:$A$100,MATCH($F416,'WORK PACKAGES'!$D$2:$D$100,0)),""))</f>
        <v/>
      </c>
      <c r="H416" s="64" t="n"/>
      <c r="I416" s="78" t="n"/>
      <c r="J416" s="78" t="n"/>
      <c r="K416" s="78" t="n"/>
      <c r="L416" s="82" t="n"/>
      <c r="M416" s="78" t="n"/>
      <c r="N416" s="79" t="n"/>
      <c r="O416" s="78" t="n"/>
      <c r="P416" s="78" t="n"/>
      <c r="R416" s="63">
        <f>IF(Q416="","",IF(Q416="Open",TODAY()-N416,"--"))</f>
        <v/>
      </c>
      <c r="S416" s="63">
        <f>IF(Q416="","",IF(Q416="Closed",P416-N416,"--"))</f>
        <v/>
      </c>
      <c r="W416" s="50" t="n"/>
    </row>
    <row r="417" ht="15" customHeight="1" s="130">
      <c r="B417" s="64">
        <f>IF(C417="","",B416+1)</f>
        <v/>
      </c>
      <c r="C417" s="77" t="n"/>
      <c r="D417" s="77" t="n"/>
      <c r="E417" s="82" t="n"/>
      <c r="F417" s="77" t="n"/>
      <c r="G417" s="64">
        <f>IF($F417="","",IFERROR(INDEX('WORK PACKAGES'!$A$2:$A$100,MATCH($F417,'WORK PACKAGES'!$D$2:$D$100,0)),""))</f>
        <v/>
      </c>
      <c r="H417" s="64" t="n"/>
      <c r="I417" s="78" t="n"/>
      <c r="J417" s="78" t="n"/>
      <c r="K417" s="78" t="n"/>
      <c r="L417" s="82" t="n"/>
      <c r="M417" s="78" t="n"/>
      <c r="N417" s="79" t="n"/>
      <c r="O417" s="78" t="n"/>
      <c r="P417" s="78" t="n"/>
      <c r="R417" s="63">
        <f>IF(Q417="","",IF(Q417="Open",TODAY()-N417,"--"))</f>
        <v/>
      </c>
      <c r="S417" s="63">
        <f>IF(Q417="","",IF(Q417="Closed",P417-N417,"--"))</f>
        <v/>
      </c>
      <c r="W417" s="50" t="n"/>
    </row>
    <row r="418" ht="15" customHeight="1" s="130">
      <c r="B418" s="64">
        <f>IF(C418="","",B417+1)</f>
        <v/>
      </c>
      <c r="C418" s="77" t="n"/>
      <c r="D418" s="77" t="n"/>
      <c r="E418" s="82" t="n"/>
      <c r="F418" s="77" t="n"/>
      <c r="G418" s="64">
        <f>IF($F418="","",IFERROR(INDEX('WORK PACKAGES'!$A$2:$A$100,MATCH($F418,'WORK PACKAGES'!$D$2:$D$100,0)),""))</f>
        <v/>
      </c>
      <c r="H418" s="64" t="n"/>
      <c r="I418" s="78" t="n"/>
      <c r="J418" s="78" t="n"/>
      <c r="K418" s="78" t="n"/>
      <c r="L418" s="82" t="n"/>
      <c r="M418" s="78" t="n"/>
      <c r="N418" s="79" t="n"/>
      <c r="O418" s="78" t="n"/>
      <c r="P418" s="78" t="n"/>
      <c r="R418" s="63">
        <f>IF(Q418="","",IF(Q418="Open",TODAY()-N418,"--"))</f>
        <v/>
      </c>
      <c r="S418" s="63">
        <f>IF(Q418="","",IF(Q418="Closed",P418-N418,"--"))</f>
        <v/>
      </c>
      <c r="W418" s="50" t="n"/>
    </row>
    <row r="419" ht="15" customHeight="1" s="130">
      <c r="B419" s="64">
        <f>IF(C419="","",B418+1)</f>
        <v/>
      </c>
      <c r="C419" s="77" t="n"/>
      <c r="D419" s="77" t="n"/>
      <c r="E419" s="82" t="n"/>
      <c r="F419" s="77" t="n"/>
      <c r="G419" s="64">
        <f>IF($F419="","",IFERROR(INDEX('WORK PACKAGES'!$A$2:$A$100,MATCH($F419,'WORK PACKAGES'!$D$2:$D$100,0)),""))</f>
        <v/>
      </c>
      <c r="H419" s="64" t="n"/>
      <c r="I419" s="78" t="n"/>
      <c r="J419" s="78" t="n"/>
      <c r="K419" s="78" t="n"/>
      <c r="L419" s="82" t="n"/>
      <c r="M419" s="78" t="n"/>
      <c r="N419" s="79" t="n"/>
      <c r="O419" s="78" t="n"/>
      <c r="P419" s="78" t="n"/>
      <c r="R419" s="63">
        <f>IF(Q419="","",IF(Q419="Open",TODAY()-N419,"--"))</f>
        <v/>
      </c>
      <c r="S419" s="63">
        <f>IF(Q419="","",IF(Q419="Closed",P419-N419,"--"))</f>
        <v/>
      </c>
      <c r="W419" s="50" t="n"/>
    </row>
    <row r="420" ht="15" customHeight="1" s="130">
      <c r="B420" s="64">
        <f>IF(C420="","",B419+1)</f>
        <v/>
      </c>
      <c r="C420" s="77" t="n"/>
      <c r="D420" s="77" t="n"/>
      <c r="E420" s="82" t="n"/>
      <c r="F420" s="77" t="n"/>
      <c r="G420" s="64">
        <f>IF($F420="","",IFERROR(INDEX('WORK PACKAGES'!$A$2:$A$100,MATCH($F420,'WORK PACKAGES'!$D$2:$D$100,0)),""))</f>
        <v/>
      </c>
      <c r="H420" s="64" t="n"/>
      <c r="I420" s="78" t="n"/>
      <c r="J420" s="78" t="n"/>
      <c r="K420" s="78" t="n"/>
      <c r="L420" s="82" t="n"/>
      <c r="M420" s="78" t="n"/>
      <c r="N420" s="79" t="n"/>
      <c r="O420" s="78" t="n"/>
      <c r="P420" s="78" t="n"/>
      <c r="R420" s="63">
        <f>IF(Q420="","",IF(Q420="Open",TODAY()-N420,"--"))</f>
        <v/>
      </c>
      <c r="S420" s="63">
        <f>IF(Q420="","",IF(Q420="Closed",P420-N420,"--"))</f>
        <v/>
      </c>
      <c r="W420" s="50" t="n"/>
    </row>
    <row r="421" ht="15" customHeight="1" s="130">
      <c r="B421" s="64">
        <f>IF(C421="","",B420+1)</f>
        <v/>
      </c>
      <c r="C421" s="77" t="n"/>
      <c r="D421" s="77" t="n"/>
      <c r="E421" s="82" t="n"/>
      <c r="F421" s="77" t="n"/>
      <c r="G421" s="64">
        <f>IF($F421="","",IFERROR(INDEX('WORK PACKAGES'!$A$2:$A$100,MATCH($F421,'WORK PACKAGES'!$D$2:$D$100,0)),""))</f>
        <v/>
      </c>
      <c r="H421" s="64" t="n"/>
      <c r="I421" s="78" t="n"/>
      <c r="J421" s="78" t="n"/>
      <c r="K421" s="78" t="n"/>
      <c r="L421" s="82" t="n"/>
      <c r="M421" s="78" t="n"/>
      <c r="N421" s="79" t="n"/>
      <c r="O421" s="78" t="n"/>
      <c r="P421" s="78" t="n"/>
      <c r="R421" s="63">
        <f>IF(Q421="","",IF(Q421="Open",TODAY()-N421,"--"))</f>
        <v/>
      </c>
      <c r="S421" s="63">
        <f>IF(Q421="","",IF(Q421="Closed",P421-N421,"--"))</f>
        <v/>
      </c>
      <c r="W421" s="50" t="n"/>
    </row>
    <row r="422" ht="15" customHeight="1" s="130">
      <c r="B422" s="64">
        <f>IF(C422="","",B421+1)</f>
        <v/>
      </c>
      <c r="C422" s="77" t="n"/>
      <c r="D422" s="77" t="n"/>
      <c r="E422" s="82" t="n"/>
      <c r="F422" s="77" t="n"/>
      <c r="G422" s="64">
        <f>IF($F422="","",IFERROR(INDEX('WORK PACKAGES'!$A$2:$A$100,MATCH($F422,'WORK PACKAGES'!$D$2:$D$100,0)),""))</f>
        <v/>
      </c>
      <c r="H422" s="64" t="n"/>
      <c r="I422" s="78" t="n"/>
      <c r="J422" s="78" t="n"/>
      <c r="K422" s="78" t="n"/>
      <c r="L422" s="82" t="n"/>
      <c r="M422" s="78" t="n"/>
      <c r="N422" s="79" t="n"/>
      <c r="O422" s="78" t="n"/>
      <c r="P422" s="78" t="n"/>
      <c r="R422" s="63">
        <f>IF(Q422="","",IF(Q422="Open",TODAY()-N422,"--"))</f>
        <v/>
      </c>
      <c r="S422" s="63">
        <f>IF(Q422="","",IF(Q422="Closed",P422-N422,"--"))</f>
        <v/>
      </c>
      <c r="W422" s="50" t="n"/>
    </row>
    <row r="423" ht="15" customHeight="1" s="130">
      <c r="B423" s="64">
        <f>IF(C423="","",B422+1)</f>
        <v/>
      </c>
      <c r="C423" s="77" t="n"/>
      <c r="D423" s="77" t="n"/>
      <c r="E423" s="82" t="n"/>
      <c r="F423" s="77" t="n"/>
      <c r="G423" s="64">
        <f>IF($F423="","",IFERROR(INDEX('WORK PACKAGES'!$A$2:$A$100,MATCH($F423,'WORK PACKAGES'!$D$2:$D$100,0)),""))</f>
        <v/>
      </c>
      <c r="H423" s="64" t="n"/>
      <c r="I423" s="78" t="n"/>
      <c r="J423" s="78" t="n"/>
      <c r="K423" s="78" t="n"/>
      <c r="L423" s="82" t="n"/>
      <c r="M423" s="78" t="n"/>
      <c r="N423" s="79" t="n"/>
      <c r="O423" s="78" t="n"/>
      <c r="P423" s="78" t="n"/>
      <c r="R423" s="63">
        <f>IF(Q423="","",IF(Q423="Open",TODAY()-N423,"--"))</f>
        <v/>
      </c>
      <c r="S423" s="63">
        <f>IF(Q423="","",IF(Q423="Closed",P423-N423,"--"))</f>
        <v/>
      </c>
      <c r="W423" s="50" t="n"/>
    </row>
    <row r="424" ht="15" customHeight="1" s="130">
      <c r="B424" s="64">
        <f>IF(C424="","",B423+1)</f>
        <v/>
      </c>
      <c r="C424" s="77" t="n"/>
      <c r="D424" s="77" t="n"/>
      <c r="E424" s="82" t="n"/>
      <c r="F424" s="77" t="n"/>
      <c r="G424" s="64">
        <f>IF($F424="","",IFERROR(INDEX('WORK PACKAGES'!$A$2:$A$100,MATCH($F424,'WORK PACKAGES'!$D$2:$D$100,0)),""))</f>
        <v/>
      </c>
      <c r="H424" s="64" t="n"/>
      <c r="I424" s="78" t="n"/>
      <c r="J424" s="78" t="n"/>
      <c r="K424" s="78" t="n"/>
      <c r="L424" s="82" t="n"/>
      <c r="M424" s="78" t="n"/>
      <c r="N424" s="79" t="n"/>
      <c r="O424" s="78" t="n"/>
      <c r="P424" s="78" t="n"/>
      <c r="R424" s="63">
        <f>IF(Q424="","",IF(Q424="Open",TODAY()-N424,"--"))</f>
        <v/>
      </c>
      <c r="S424" s="63">
        <f>IF(Q424="","",IF(Q424="Closed",P424-N424,"--"))</f>
        <v/>
      </c>
      <c r="W424" s="50" t="n"/>
    </row>
    <row r="425" ht="15" customHeight="1" s="130">
      <c r="B425" s="64">
        <f>IF(C425="","",B424+1)</f>
        <v/>
      </c>
      <c r="C425" s="77" t="n"/>
      <c r="D425" s="77" t="n"/>
      <c r="E425" s="82" t="n"/>
      <c r="F425" s="77" t="n"/>
      <c r="G425" s="64">
        <f>IF($F425="","",IFERROR(INDEX('WORK PACKAGES'!$A$2:$A$100,MATCH($F425,'WORK PACKAGES'!$D$2:$D$100,0)),""))</f>
        <v/>
      </c>
      <c r="H425" s="64" t="n"/>
      <c r="I425" s="78" t="n"/>
      <c r="J425" s="78" t="n"/>
      <c r="K425" s="78" t="n"/>
      <c r="L425" s="82" t="n"/>
      <c r="M425" s="78" t="n"/>
      <c r="N425" s="79" t="n"/>
      <c r="O425" s="78" t="n"/>
      <c r="P425" s="78" t="n"/>
      <c r="R425" s="63">
        <f>IF(Q425="","",IF(Q425="Open",TODAY()-N425,"--"))</f>
        <v/>
      </c>
      <c r="S425" s="63">
        <f>IF(Q425="","",IF(Q425="Closed",P425-N425,"--"))</f>
        <v/>
      </c>
      <c r="W425" s="50" t="n"/>
    </row>
    <row r="426" ht="15" customHeight="1" s="130">
      <c r="B426" s="64">
        <f>IF(C426="","",B425+1)</f>
        <v/>
      </c>
      <c r="C426" s="77" t="n"/>
      <c r="D426" s="77" t="n"/>
      <c r="E426" s="82" t="n"/>
      <c r="F426" s="77" t="n"/>
      <c r="G426" s="64">
        <f>IF($F426="","",IFERROR(INDEX('WORK PACKAGES'!$A$2:$A$100,MATCH($F426,'WORK PACKAGES'!$D$2:$D$100,0)),""))</f>
        <v/>
      </c>
      <c r="H426" s="64" t="n"/>
      <c r="I426" s="78" t="n"/>
      <c r="J426" s="78" t="n"/>
      <c r="K426" s="78" t="n"/>
      <c r="L426" s="82" t="n"/>
      <c r="M426" s="78" t="n"/>
      <c r="N426" s="79" t="n"/>
      <c r="O426" s="78" t="n"/>
      <c r="P426" s="79" t="n"/>
      <c r="R426" s="63">
        <f>IF(Q426="","",IF(Q426="Open",TODAY()-N426,"--"))</f>
        <v/>
      </c>
      <c r="S426" s="63">
        <f>IF(Q426="","",IF(Q426="Closed",P426-N426,"--"))</f>
        <v/>
      </c>
      <c r="W426" s="50" t="n"/>
    </row>
    <row r="427" ht="15" customHeight="1" s="130">
      <c r="B427" s="64">
        <f>IF(C427="","",B426+1)</f>
        <v/>
      </c>
      <c r="C427" s="77" t="n"/>
      <c r="D427" s="77" t="n"/>
      <c r="E427" s="82" t="n"/>
      <c r="F427" s="77" t="n"/>
      <c r="G427" s="64">
        <f>IF($F427="","",IFERROR(INDEX('WORK PACKAGES'!$A$2:$A$100,MATCH($F427,'WORK PACKAGES'!$D$2:$D$100,0)),""))</f>
        <v/>
      </c>
      <c r="H427" s="64" t="n"/>
      <c r="I427" s="78" t="n"/>
      <c r="J427" s="78" t="n"/>
      <c r="K427" s="78" t="n"/>
      <c r="L427" s="82" t="n"/>
      <c r="M427" s="78" t="n"/>
      <c r="N427" s="79" t="n"/>
      <c r="O427" s="78" t="n"/>
      <c r="P427" s="78" t="n"/>
      <c r="R427" s="63">
        <f>IF(Q427="","",IF(Q427="Open",TODAY()-N427,"--"))</f>
        <v/>
      </c>
      <c r="S427" s="63">
        <f>IF(Q427="","",IF(Q427="Closed",P427-N427,"--"))</f>
        <v/>
      </c>
      <c r="W427" s="50" t="n"/>
    </row>
    <row r="428" ht="15" customHeight="1" s="130">
      <c r="B428" s="64">
        <f>IF(C428="","",B427+1)</f>
        <v/>
      </c>
      <c r="C428" s="77" t="n"/>
      <c r="D428" s="77" t="n"/>
      <c r="E428" s="82" t="n"/>
      <c r="F428" s="77" t="n"/>
      <c r="G428" s="64">
        <f>IF($F428="","",IFERROR(INDEX('WORK PACKAGES'!$A$2:$A$100,MATCH($F428,'WORK PACKAGES'!$D$2:$D$100,0)),""))</f>
        <v/>
      </c>
      <c r="H428" s="64" t="n"/>
      <c r="I428" s="78" t="n"/>
      <c r="J428" s="78" t="n"/>
      <c r="K428" s="78" t="n"/>
      <c r="L428" s="82" t="n"/>
      <c r="M428" s="78" t="n"/>
      <c r="N428" s="79" t="n"/>
      <c r="O428" s="78" t="n"/>
      <c r="P428" s="78" t="n"/>
      <c r="R428" s="63">
        <f>IF(Q428="","",IF(Q428="Open",TODAY()-N428,"--"))</f>
        <v/>
      </c>
      <c r="S428" s="63">
        <f>IF(Q428="","",IF(Q428="Closed",P428-N428,"--"))</f>
        <v/>
      </c>
      <c r="W428" s="50" t="n"/>
    </row>
    <row r="429" ht="15" customHeight="1" s="130">
      <c r="B429" s="64">
        <f>IF(C429="","",B428+1)</f>
        <v/>
      </c>
      <c r="C429" s="77" t="n"/>
      <c r="D429" s="77" t="n"/>
      <c r="E429" s="82" t="n"/>
      <c r="F429" s="77" t="n"/>
      <c r="G429" s="64">
        <f>IF($F429="","",IFERROR(INDEX('WORK PACKAGES'!$A$2:$A$100,MATCH($F429,'WORK PACKAGES'!$D$2:$D$100,0)),""))</f>
        <v/>
      </c>
      <c r="H429" s="64" t="n"/>
      <c r="I429" s="78" t="n"/>
      <c r="J429" s="78" t="n"/>
      <c r="K429" s="78" t="n"/>
      <c r="L429" s="82" t="n"/>
      <c r="M429" s="78" t="n"/>
      <c r="N429" s="79" t="n"/>
      <c r="O429" s="78" t="n"/>
      <c r="P429" s="78" t="n"/>
      <c r="R429" s="63">
        <f>IF(Q429="","",IF(Q429="Open",TODAY()-N429,"--"))</f>
        <v/>
      </c>
      <c r="S429" s="63">
        <f>IF(Q429="","",IF(Q429="Closed",P429-N429,"--"))</f>
        <v/>
      </c>
      <c r="W429" s="50" t="n"/>
    </row>
    <row r="430" ht="15" customHeight="1" s="130">
      <c r="B430" s="64">
        <f>IF(C430="","",B429+1)</f>
        <v/>
      </c>
      <c r="C430" s="77" t="n"/>
      <c r="D430" s="77" t="n"/>
      <c r="E430" s="82" t="n"/>
      <c r="F430" s="77" t="n"/>
      <c r="G430" s="64">
        <f>IF($F430="","",IFERROR(INDEX('WORK PACKAGES'!$A$2:$A$100,MATCH($F430,'WORK PACKAGES'!$D$2:$D$100,0)),""))</f>
        <v/>
      </c>
      <c r="H430" s="64" t="n"/>
      <c r="I430" s="78" t="n"/>
      <c r="J430" s="78" t="n"/>
      <c r="K430" s="78" t="n"/>
      <c r="L430" s="82" t="n"/>
      <c r="M430" s="78" t="n"/>
      <c r="N430" s="79" t="n"/>
      <c r="O430" s="78" t="n"/>
      <c r="P430" s="78" t="n"/>
      <c r="R430" s="63">
        <f>IF(Q430="","",IF(Q430="Open",TODAY()-N430,"--"))</f>
        <v/>
      </c>
      <c r="S430" s="63">
        <f>IF(Q430="","",IF(Q430="Closed",P430-N430,"--"))</f>
        <v/>
      </c>
      <c r="W430" s="50" t="n"/>
    </row>
    <row r="431" ht="15" customHeight="1" s="130">
      <c r="B431" s="64">
        <f>IF(C431="","",B430+1)</f>
        <v/>
      </c>
      <c r="C431" s="77" t="n"/>
      <c r="D431" s="77" t="n"/>
      <c r="E431" s="82" t="n"/>
      <c r="F431" s="77" t="n"/>
      <c r="G431" s="64">
        <f>IF($F431="","",IFERROR(INDEX('WORK PACKAGES'!$A$2:$A$100,MATCH($F431,'WORK PACKAGES'!$D$2:$D$100,0)),""))</f>
        <v/>
      </c>
      <c r="H431" s="64" t="n"/>
      <c r="I431" s="78" t="n"/>
      <c r="J431" s="78" t="n"/>
      <c r="K431" s="78" t="n"/>
      <c r="L431" s="82" t="n"/>
      <c r="M431" s="78" t="n"/>
      <c r="N431" s="79" t="n"/>
      <c r="O431" s="78" t="n"/>
      <c r="P431" s="78" t="n"/>
      <c r="R431" s="63">
        <f>IF(Q431="","",IF(Q431="Open",TODAY()-N431,"--"))</f>
        <v/>
      </c>
      <c r="S431" s="63">
        <f>IF(Q431="","",IF(Q431="Closed",P431-N431,"--"))</f>
        <v/>
      </c>
      <c r="W431" s="50" t="n"/>
    </row>
    <row r="432" ht="15" customHeight="1" s="130">
      <c r="B432" s="64">
        <f>IF(C432="","",B431+1)</f>
        <v/>
      </c>
      <c r="C432" s="77" t="n"/>
      <c r="D432" s="77" t="n"/>
      <c r="E432" s="82" t="n"/>
      <c r="F432" s="77" t="n"/>
      <c r="G432" s="64">
        <f>IF($F432="","",IFERROR(INDEX('WORK PACKAGES'!$A$2:$A$100,MATCH($F432,'WORK PACKAGES'!$D$2:$D$100,0)),""))</f>
        <v/>
      </c>
      <c r="H432" s="64" t="n"/>
      <c r="I432" s="78" t="n"/>
      <c r="J432" s="78" t="n"/>
      <c r="K432" s="78" t="n"/>
      <c r="L432" s="82" t="n"/>
      <c r="M432" s="78" t="n"/>
      <c r="N432" s="79" t="n"/>
      <c r="O432" s="78" t="n"/>
      <c r="P432" s="78" t="n"/>
      <c r="R432" s="63">
        <f>IF(Q432="","",IF(Q432="Open",TODAY()-N432,"--"))</f>
        <v/>
      </c>
      <c r="S432" s="63">
        <f>IF(Q432="","",IF(Q432="Closed",P432-N432,"--"))</f>
        <v/>
      </c>
      <c r="W432" s="50" t="n"/>
    </row>
    <row r="433" ht="15" customHeight="1" s="130">
      <c r="B433" s="64">
        <f>IF(C433="","",B432+1)</f>
        <v/>
      </c>
      <c r="C433" s="77" t="n"/>
      <c r="D433" s="77" t="n"/>
      <c r="E433" s="82" t="n"/>
      <c r="F433" s="77" t="n"/>
      <c r="G433" s="64">
        <f>IF($F433="","",IFERROR(INDEX('WORK PACKAGES'!$A$2:$A$100,MATCH($F433,'WORK PACKAGES'!$D$2:$D$100,0)),""))</f>
        <v/>
      </c>
      <c r="H433" s="64" t="n"/>
      <c r="I433" s="78" t="n"/>
      <c r="J433" s="78" t="n"/>
      <c r="K433" s="78" t="n"/>
      <c r="L433" s="82" t="n"/>
      <c r="M433" s="78" t="n"/>
      <c r="N433" s="79" t="n"/>
      <c r="O433" s="78" t="n"/>
      <c r="P433" s="78" t="n"/>
      <c r="R433" s="63">
        <f>IF(Q433="","",IF(Q433="Open",TODAY()-N433,"--"))</f>
        <v/>
      </c>
      <c r="S433" s="63">
        <f>IF(Q433="","",IF(Q433="Closed",P433-N433,"--"))</f>
        <v/>
      </c>
      <c r="W433" s="50" t="n"/>
    </row>
    <row r="434" ht="15" customHeight="1" s="130">
      <c r="B434" s="64">
        <f>IF(C434="","",B433+1)</f>
        <v/>
      </c>
      <c r="C434" s="77" t="n"/>
      <c r="D434" s="77" t="n"/>
      <c r="E434" s="82" t="n"/>
      <c r="F434" s="77" t="n"/>
      <c r="G434" s="64">
        <f>IF($F434="","",IFERROR(INDEX('WORK PACKAGES'!$A$2:$A$100,MATCH($F434,'WORK PACKAGES'!$D$2:$D$100,0)),""))</f>
        <v/>
      </c>
      <c r="H434" s="64" t="n"/>
      <c r="I434" s="78" t="n"/>
      <c r="J434" s="78" t="n"/>
      <c r="K434" s="78" t="n"/>
      <c r="L434" s="82" t="n"/>
      <c r="M434" s="78" t="n"/>
      <c r="N434" s="79" t="n"/>
      <c r="O434" s="78" t="n"/>
      <c r="P434" s="79" t="n"/>
      <c r="R434" s="63">
        <f>IF(Q434="","",IF(Q434="Open",TODAY()-N434,"--"))</f>
        <v/>
      </c>
      <c r="S434" s="63">
        <f>IF(Q434="","",IF(Q434="Closed",P434-N434,"--"))</f>
        <v/>
      </c>
      <c r="W434" s="50" t="n"/>
    </row>
    <row r="435" ht="15" customHeight="1" s="130">
      <c r="B435" s="64">
        <f>IF(C435="","",B434+1)</f>
        <v/>
      </c>
      <c r="C435" s="77" t="n"/>
      <c r="D435" s="77" t="n"/>
      <c r="E435" s="82" t="n"/>
      <c r="F435" s="77" t="n"/>
      <c r="G435" s="64">
        <f>IF($F435="","",IFERROR(INDEX('WORK PACKAGES'!$A$2:$A$100,MATCH($F435,'WORK PACKAGES'!$D$2:$D$100,0)),""))</f>
        <v/>
      </c>
      <c r="H435" s="64" t="n"/>
      <c r="I435" s="78" t="n"/>
      <c r="J435" s="78" t="n"/>
      <c r="K435" s="78" t="n"/>
      <c r="L435" s="82" t="n"/>
      <c r="M435" s="78" t="n"/>
      <c r="N435" s="79" t="n"/>
      <c r="O435" s="78" t="n"/>
      <c r="P435" s="79" t="n"/>
      <c r="R435" s="63">
        <f>IF(Q435="","",IF(Q435="Open",TODAY()-N435,"--"))</f>
        <v/>
      </c>
      <c r="S435" s="63">
        <f>IF(Q435="","",IF(Q435="Closed",P435-N435,"--"))</f>
        <v/>
      </c>
      <c r="W435" s="50" t="n"/>
    </row>
    <row r="436" ht="15" customHeight="1" s="130">
      <c r="B436" s="64">
        <f>IF(C436="","",B435+1)</f>
        <v/>
      </c>
      <c r="C436" s="77" t="n"/>
      <c r="D436" s="77" t="n"/>
      <c r="E436" s="82" t="n"/>
      <c r="F436" s="77" t="n"/>
      <c r="G436" s="64">
        <f>IF($F436="","",IFERROR(INDEX('WORK PACKAGES'!$A$2:$A$100,MATCH($F436,'WORK PACKAGES'!$D$2:$D$100,0)),""))</f>
        <v/>
      </c>
      <c r="H436" s="64" t="n"/>
      <c r="I436" s="78" t="n"/>
      <c r="J436" s="78" t="n"/>
      <c r="K436" s="78" t="n"/>
      <c r="L436" s="82" t="n"/>
      <c r="M436" s="78" t="n"/>
      <c r="N436" s="79" t="n"/>
      <c r="O436" s="78" t="n"/>
      <c r="P436" s="78" t="n"/>
      <c r="R436" s="63">
        <f>IF(Q436="","",IF(Q436="Open",TODAY()-N436,"--"))</f>
        <v/>
      </c>
      <c r="S436" s="63">
        <f>IF(Q436="","",IF(Q436="Closed",P436-N436,"--"))</f>
        <v/>
      </c>
      <c r="W436" s="50" t="n"/>
    </row>
    <row r="437" ht="15" customHeight="1" s="130">
      <c r="B437" s="64">
        <f>IF(C437="","",B436+1)</f>
        <v/>
      </c>
      <c r="C437" s="77" t="n"/>
      <c r="D437" s="77" t="n"/>
      <c r="E437" s="82" t="n"/>
      <c r="F437" s="77" t="n"/>
      <c r="G437" s="64">
        <f>IF($F437="","",IFERROR(INDEX('WORK PACKAGES'!$A$2:$A$100,MATCH($F437,'WORK PACKAGES'!$D$2:$D$100,0)),""))</f>
        <v/>
      </c>
      <c r="H437" s="64" t="n"/>
      <c r="I437" s="78" t="n"/>
      <c r="J437" s="78" t="n"/>
      <c r="K437" s="78" t="n"/>
      <c r="L437" s="82" t="n"/>
      <c r="M437" s="78" t="n"/>
      <c r="N437" s="79" t="n"/>
      <c r="O437" s="78" t="n"/>
      <c r="P437" s="78" t="n"/>
      <c r="R437" s="63">
        <f>IF(Q437="","",IF(Q437="Open",TODAY()-N437,"--"))</f>
        <v/>
      </c>
      <c r="S437" s="63">
        <f>IF(Q437="","",IF(Q437="Closed",P437-N437,"--"))</f>
        <v/>
      </c>
      <c r="W437" s="50" t="n"/>
    </row>
    <row r="438" ht="15" customHeight="1" s="130">
      <c r="B438" s="64">
        <f>IF(C438="","",B437+1)</f>
        <v/>
      </c>
      <c r="C438" s="77" t="n"/>
      <c r="D438" s="77" t="n"/>
      <c r="E438" s="82" t="n"/>
      <c r="F438" s="77" t="n"/>
      <c r="G438" s="64">
        <f>IF($F438="","",IFERROR(INDEX('WORK PACKAGES'!$A$2:$A$100,MATCH($F438,'WORK PACKAGES'!$D$2:$D$100,0)),""))</f>
        <v/>
      </c>
      <c r="H438" s="64" t="n"/>
      <c r="I438" s="78" t="n"/>
      <c r="J438" s="78" t="n"/>
      <c r="K438" s="78" t="n"/>
      <c r="L438" s="82" t="n"/>
      <c r="M438" s="78" t="n"/>
      <c r="N438" s="79" t="n"/>
      <c r="O438" s="78" t="n"/>
      <c r="P438" s="78" t="n"/>
      <c r="R438" s="63">
        <f>IF(Q438="","",IF(Q438="Open",TODAY()-N438,"--"))</f>
        <v/>
      </c>
      <c r="S438" s="63">
        <f>IF(Q438="","",IF(Q438="Closed",P438-N438,"--"))</f>
        <v/>
      </c>
      <c r="W438" s="50" t="n"/>
    </row>
    <row r="439" ht="15" customHeight="1" s="130">
      <c r="B439" s="64">
        <f>IF(C439="","",B438+1)</f>
        <v/>
      </c>
      <c r="C439" s="77" t="n"/>
      <c r="D439" s="77" t="n"/>
      <c r="E439" s="82" t="n"/>
      <c r="F439" s="77" t="n"/>
      <c r="G439" s="64">
        <f>IF($F439="","",IFERROR(INDEX('WORK PACKAGES'!$A$2:$A$100,MATCH($F439,'WORK PACKAGES'!$D$2:$D$100,0)),""))</f>
        <v/>
      </c>
      <c r="H439" s="64" t="n"/>
      <c r="I439" s="78" t="n"/>
      <c r="J439" s="78" t="n"/>
      <c r="K439" s="78" t="n"/>
      <c r="L439" s="82" t="n"/>
      <c r="M439" s="78" t="n"/>
      <c r="N439" s="79" t="n"/>
      <c r="O439" s="78" t="n"/>
      <c r="P439" s="78" t="n"/>
      <c r="R439" s="63">
        <f>IF(Q439="","",IF(Q439="Open",TODAY()-N439,"--"))</f>
        <v/>
      </c>
      <c r="S439" s="63">
        <f>IF(Q439="","",IF(Q439="Closed",P439-N439,"--"))</f>
        <v/>
      </c>
      <c r="W439" s="50" t="n"/>
    </row>
    <row r="440" ht="15" customHeight="1" s="130">
      <c r="B440" s="64">
        <f>IF(C440="","",B439+1)</f>
        <v/>
      </c>
      <c r="C440" s="77" t="n"/>
      <c r="D440" s="77" t="n"/>
      <c r="E440" s="82" t="n"/>
      <c r="F440" s="77" t="n"/>
      <c r="G440" s="64">
        <f>IF($F440="","",IFERROR(INDEX('WORK PACKAGES'!$A$2:$A$100,MATCH($F440,'WORK PACKAGES'!$D$2:$D$100,0)),""))</f>
        <v/>
      </c>
      <c r="H440" s="64" t="n"/>
      <c r="I440" s="78" t="n"/>
      <c r="J440" s="78" t="n"/>
      <c r="K440" s="78" t="n"/>
      <c r="L440" s="82" t="n"/>
      <c r="M440" s="78" t="n"/>
      <c r="N440" s="79" t="n"/>
      <c r="O440" s="78" t="n"/>
      <c r="P440" s="78" t="n"/>
      <c r="R440" s="63">
        <f>IF(Q440="","",IF(Q440="Open",TODAY()-N440,"--"))</f>
        <v/>
      </c>
      <c r="S440" s="63">
        <f>IF(Q440="","",IF(Q440="Closed",P440-N440,"--"))</f>
        <v/>
      </c>
      <c r="W440" s="50" t="n"/>
    </row>
    <row r="441" ht="15" customHeight="1" s="130">
      <c r="B441" s="64">
        <f>IF(C441="","",B440+1)</f>
        <v/>
      </c>
      <c r="C441" s="77" t="n"/>
      <c r="D441" s="77" t="n"/>
      <c r="E441" s="82" t="n"/>
      <c r="F441" s="77" t="n"/>
      <c r="G441" s="64">
        <f>IF($F441="","",IFERROR(INDEX('WORK PACKAGES'!$A$2:$A$100,MATCH($F441,'WORK PACKAGES'!$D$2:$D$100,0)),""))</f>
        <v/>
      </c>
      <c r="H441" s="64" t="n"/>
      <c r="I441" s="78" t="n"/>
      <c r="J441" s="78" t="n"/>
      <c r="K441" s="78" t="n"/>
      <c r="L441" s="82" t="n"/>
      <c r="M441" s="78" t="n"/>
      <c r="N441" s="79" t="n"/>
      <c r="O441" s="78" t="n"/>
      <c r="P441" s="78" t="n"/>
      <c r="R441" s="63">
        <f>IF(Q441="","",IF(Q441="Open",TODAY()-N441,"--"))</f>
        <v/>
      </c>
      <c r="S441" s="63">
        <f>IF(Q441="","",IF(Q441="Closed",P441-N441,"--"))</f>
        <v/>
      </c>
      <c r="W441" s="50" t="n"/>
    </row>
    <row r="442" ht="15" customHeight="1" s="130">
      <c r="B442" s="64">
        <f>IF(C442="","",B441+1)</f>
        <v/>
      </c>
      <c r="C442" s="77" t="n"/>
      <c r="D442" s="77" t="n"/>
      <c r="E442" s="82" t="n"/>
      <c r="F442" s="77" t="n"/>
      <c r="G442" s="64">
        <f>IF($F442="","",IFERROR(INDEX('WORK PACKAGES'!$A$2:$A$100,MATCH($F442,'WORK PACKAGES'!$D$2:$D$100,0)),""))</f>
        <v/>
      </c>
      <c r="H442" s="64" t="n"/>
      <c r="I442" s="78" t="n"/>
      <c r="J442" s="78" t="n"/>
      <c r="K442" s="78" t="n"/>
      <c r="L442" s="82" t="n"/>
      <c r="M442" s="78" t="n"/>
      <c r="N442" s="79" t="n"/>
      <c r="O442" s="78" t="n"/>
      <c r="P442" s="78" t="n"/>
      <c r="R442" s="63">
        <f>IF(Q442="","",IF(Q442="Open",TODAY()-N442,"--"))</f>
        <v/>
      </c>
      <c r="S442" s="63">
        <f>IF(Q442="","",IF(Q442="Closed",P442-N442,"--"))</f>
        <v/>
      </c>
      <c r="W442" s="50" t="n"/>
    </row>
    <row r="443" ht="15" customHeight="1" s="130">
      <c r="B443" s="64">
        <f>IF(C443="","",B442+1)</f>
        <v/>
      </c>
      <c r="C443" s="77" t="n"/>
      <c r="D443" s="77" t="n"/>
      <c r="E443" s="82" t="n"/>
      <c r="F443" s="77" t="n"/>
      <c r="G443" s="64">
        <f>IF($F443="","",IFERROR(INDEX('WORK PACKAGES'!$A$2:$A$100,MATCH($F443,'WORK PACKAGES'!$D$2:$D$100,0)),""))</f>
        <v/>
      </c>
      <c r="H443" s="64" t="n"/>
      <c r="I443" s="78" t="n"/>
      <c r="J443" s="78" t="n"/>
      <c r="K443" s="78" t="n"/>
      <c r="L443" s="82" t="n"/>
      <c r="M443" s="78" t="n"/>
      <c r="N443" s="79" t="n"/>
      <c r="O443" s="78" t="n"/>
      <c r="P443" s="78" t="n"/>
      <c r="R443" s="63">
        <f>IF(Q443="","",IF(Q443="Open",TODAY()-N443,"--"))</f>
        <v/>
      </c>
      <c r="S443" s="63">
        <f>IF(Q443="","",IF(Q443="Closed",P443-N443,"--"))</f>
        <v/>
      </c>
      <c r="W443" s="50" t="n"/>
    </row>
    <row r="444" ht="15" customHeight="1" s="130">
      <c r="B444" s="64">
        <f>IF(C444="","",B443+1)</f>
        <v/>
      </c>
      <c r="C444" s="77" t="n"/>
      <c r="D444" s="77" t="n"/>
      <c r="E444" s="82" t="n"/>
      <c r="F444" s="77" t="n"/>
      <c r="G444" s="64">
        <f>IF($F444="","",IFERROR(INDEX('WORK PACKAGES'!$A$2:$A$100,MATCH($F444,'WORK PACKAGES'!$D$2:$D$100,0)),""))</f>
        <v/>
      </c>
      <c r="H444" s="64" t="n"/>
      <c r="I444" s="78" t="n"/>
      <c r="J444" s="78" t="n"/>
      <c r="K444" s="78" t="n"/>
      <c r="L444" s="82" t="n"/>
      <c r="M444" s="78" t="n"/>
      <c r="N444" s="79" t="n"/>
      <c r="O444" s="78" t="n"/>
      <c r="P444" s="78" t="n"/>
      <c r="R444" s="63">
        <f>IF(Q444="","",IF(Q444="Open",TODAY()-N444,"--"))</f>
        <v/>
      </c>
      <c r="S444" s="63">
        <f>IF(Q444="","",IF(Q444="Closed",P444-N444,"--"))</f>
        <v/>
      </c>
      <c r="W444" s="50" t="n"/>
    </row>
    <row r="445" ht="15" customHeight="1" s="130">
      <c r="B445" s="64">
        <f>IF(C445="","",B444+1)</f>
        <v/>
      </c>
      <c r="C445" s="77" t="n"/>
      <c r="D445" s="77" t="n"/>
      <c r="E445" s="82" t="n"/>
      <c r="F445" s="77" t="n"/>
      <c r="G445" s="64">
        <f>IF($F445="","",IFERROR(INDEX('WORK PACKAGES'!$A$2:$A$100,MATCH($F445,'WORK PACKAGES'!$D$2:$D$100,0)),""))</f>
        <v/>
      </c>
      <c r="H445" s="64" t="n"/>
      <c r="I445" s="78" t="n"/>
      <c r="J445" s="78" t="n"/>
      <c r="K445" s="78" t="n"/>
      <c r="L445" s="82" t="n"/>
      <c r="M445" s="78" t="n"/>
      <c r="N445" s="79" t="n"/>
      <c r="O445" s="78" t="n"/>
      <c r="P445" s="78" t="n"/>
      <c r="R445" s="63">
        <f>IF(Q445="","",IF(Q445="Open",TODAY()-N445,"--"))</f>
        <v/>
      </c>
      <c r="S445" s="63">
        <f>IF(Q445="","",IF(Q445="Closed",P445-N445,"--"))</f>
        <v/>
      </c>
      <c r="W445" s="50" t="n"/>
    </row>
    <row r="446" ht="15" customHeight="1" s="130">
      <c r="B446" s="64">
        <f>IF(C446="","",B445+1)</f>
        <v/>
      </c>
      <c r="C446" s="77" t="n"/>
      <c r="D446" s="77" t="n"/>
      <c r="E446" s="82" t="n"/>
      <c r="F446" s="77" t="n"/>
      <c r="G446" s="64">
        <f>IF($F446="","",IFERROR(INDEX('WORK PACKAGES'!$A$2:$A$100,MATCH($F446,'WORK PACKAGES'!$D$2:$D$100,0)),""))</f>
        <v/>
      </c>
      <c r="H446" s="64" t="n"/>
      <c r="I446" s="78" t="n"/>
      <c r="J446" s="78" t="n"/>
      <c r="K446" s="78" t="n"/>
      <c r="L446" s="82" t="n"/>
      <c r="M446" s="78" t="n"/>
      <c r="N446" s="79" t="n"/>
      <c r="O446" s="78" t="n"/>
      <c r="P446" s="78" t="n"/>
      <c r="R446" s="63">
        <f>IF(Q446="","",IF(Q446="Open",TODAY()-N446,"--"))</f>
        <v/>
      </c>
      <c r="S446" s="63">
        <f>IF(Q446="","",IF(Q446="Closed",P446-N446,"--"))</f>
        <v/>
      </c>
      <c r="W446" s="50" t="n"/>
    </row>
    <row r="447" ht="15" customHeight="1" s="130">
      <c r="B447" s="64">
        <f>IF(C447="","",B446+1)</f>
        <v/>
      </c>
      <c r="C447" s="77" t="n"/>
      <c r="D447" s="77" t="n"/>
      <c r="E447" s="82" t="n"/>
      <c r="F447" s="77" t="n"/>
      <c r="G447" s="64">
        <f>IF($F447="","",IFERROR(INDEX('WORK PACKAGES'!$A$2:$A$100,MATCH($F447,'WORK PACKAGES'!$D$2:$D$100,0)),""))</f>
        <v/>
      </c>
      <c r="H447" s="64" t="n"/>
      <c r="I447" s="78" t="n"/>
      <c r="J447" s="78" t="n"/>
      <c r="K447" s="78" t="n"/>
      <c r="L447" s="82" t="n"/>
      <c r="M447" s="78" t="n"/>
      <c r="N447" s="79" t="n"/>
      <c r="O447" s="78" t="n"/>
      <c r="P447" s="78" t="n"/>
      <c r="R447" s="63">
        <f>IF(Q447="","",IF(Q447="Open",TODAY()-N447,"--"))</f>
        <v/>
      </c>
      <c r="S447" s="63">
        <f>IF(Q447="","",IF(Q447="Closed",P447-N447,"--"))</f>
        <v/>
      </c>
      <c r="W447" s="50" t="n"/>
    </row>
    <row r="448" ht="15" customHeight="1" s="130">
      <c r="B448" s="64">
        <f>IF(C448="","",B447+1)</f>
        <v/>
      </c>
      <c r="C448" s="77" t="n"/>
      <c r="D448" s="77" t="n"/>
      <c r="E448" s="82" t="n"/>
      <c r="F448" s="77" t="n"/>
      <c r="G448" s="64">
        <f>IF($F448="","",IFERROR(INDEX('WORK PACKAGES'!$A$2:$A$100,MATCH($F448,'WORK PACKAGES'!$D$2:$D$100,0)),""))</f>
        <v/>
      </c>
      <c r="H448" s="64" t="n"/>
      <c r="I448" s="78" t="n"/>
      <c r="J448" s="78" t="n"/>
      <c r="K448" s="78" t="n"/>
      <c r="L448" s="82" t="n"/>
      <c r="M448" s="78" t="n"/>
      <c r="N448" s="79" t="n"/>
      <c r="O448" s="78" t="n"/>
      <c r="P448" s="78" t="n"/>
      <c r="R448" s="63">
        <f>IF(Q448="","",IF(Q448="Open",TODAY()-N448,"--"))</f>
        <v/>
      </c>
      <c r="S448" s="63">
        <f>IF(Q448="","",IF(Q448="Closed",P448-N448,"--"))</f>
        <v/>
      </c>
      <c r="W448" s="50" t="n"/>
    </row>
    <row r="449" ht="15" customHeight="1" s="130">
      <c r="B449" s="64">
        <f>IF(C449="","",B448+1)</f>
        <v/>
      </c>
      <c r="C449" s="77" t="n"/>
      <c r="D449" s="77" t="n"/>
      <c r="E449" s="82" t="n"/>
      <c r="F449" s="77" t="n"/>
      <c r="G449" s="64">
        <f>IF($F449="","",IFERROR(INDEX('WORK PACKAGES'!$A$2:$A$100,MATCH($F449,'WORK PACKAGES'!$D$2:$D$100,0)),""))</f>
        <v/>
      </c>
      <c r="H449" s="64" t="n"/>
      <c r="I449" s="78" t="n"/>
      <c r="J449" s="78" t="n"/>
      <c r="K449" s="78" t="n"/>
      <c r="L449" s="82" t="n"/>
      <c r="M449" s="78" t="n"/>
      <c r="N449" s="79" t="n"/>
      <c r="O449" s="78" t="n"/>
      <c r="P449" s="78" t="n"/>
      <c r="R449" s="63">
        <f>IF(Q449="","",IF(Q449="Open",TODAY()-N449,"--"))</f>
        <v/>
      </c>
      <c r="S449" s="63">
        <f>IF(Q449="","",IF(Q449="Closed",P449-N449,"--"))</f>
        <v/>
      </c>
      <c r="W449" s="50" t="n"/>
    </row>
    <row r="450" ht="15" customHeight="1" s="130">
      <c r="B450" s="64">
        <f>IF(C450="","",B449+1)</f>
        <v/>
      </c>
      <c r="C450" s="77" t="n"/>
      <c r="D450" s="77" t="n"/>
      <c r="E450" s="82" t="n"/>
      <c r="F450" s="77" t="n"/>
      <c r="G450" s="64">
        <f>IF($F450="","",IFERROR(INDEX('WORK PACKAGES'!$A$2:$A$100,MATCH($F450,'WORK PACKAGES'!$D$2:$D$100,0)),""))</f>
        <v/>
      </c>
      <c r="H450" s="64" t="n"/>
      <c r="I450" s="78" t="n"/>
      <c r="J450" s="78" t="n"/>
      <c r="K450" s="78" t="n"/>
      <c r="L450" s="82" t="n"/>
      <c r="M450" s="78" t="n"/>
      <c r="N450" s="79" t="n"/>
      <c r="O450" s="78" t="n"/>
      <c r="P450" s="78" t="n"/>
      <c r="R450" s="63">
        <f>IF(Q450="","",IF(Q450="Open",TODAY()-N450,"--"))</f>
        <v/>
      </c>
      <c r="S450" s="63">
        <f>IF(Q450="","",IF(Q450="Closed",P450-N450,"--"))</f>
        <v/>
      </c>
      <c r="W450" s="50" t="n"/>
    </row>
    <row r="451" ht="15" customHeight="1" s="130">
      <c r="G451" s="57">
        <f>IF($F451="","",IFERROR(INDEX('WORK PACKAGES'!$A$2:$A$100,MATCH($F451,'WORK PACKAGES'!$D$2:$D$100,0)),""))</f>
        <v/>
      </c>
      <c r="Q451" s="61">
        <f>IF(B451="","",IF(AND(O451="",P451=""),"Open","Closed"))</f>
        <v/>
      </c>
      <c r="R451" s="63">
        <f>IF(Q451="","",IF(Q451="Open",TODAY()-N451,"--"))</f>
        <v/>
      </c>
      <c r="S451" s="63">
        <f>IF(Q451="","",IF(Q451="Closed",P451-N451,"--"))</f>
        <v/>
      </c>
      <c r="W451" s="50" t="n"/>
    </row>
    <row r="452" ht="15" customHeight="1" s="130">
      <c r="G452" s="57">
        <f>IF($F452="","",IFERROR(INDEX('WORK PACKAGES'!$A$2:$A$100,MATCH($F452,'WORK PACKAGES'!$D$2:$D$100,0)),""))</f>
        <v/>
      </c>
      <c r="Q452" s="61">
        <f>IF(B452="","",IF(AND(O452="",P452=""),"Open","Closed"))</f>
        <v/>
      </c>
      <c r="R452" s="63">
        <f>IF(Q452="","",IF(Q452="Open",TODAY()-N452,"--"))</f>
        <v/>
      </c>
      <c r="S452" s="63">
        <f>IF(Q452="","",IF(Q452="Closed",P452-N452,"--"))</f>
        <v/>
      </c>
      <c r="W452" s="50" t="n"/>
    </row>
    <row r="453" ht="15" customHeight="1" s="130">
      <c r="G453" s="57">
        <f>IF($F453="","",IFERROR(INDEX('WORK PACKAGES'!$A$2:$A$100,MATCH($F453,'WORK PACKAGES'!$D$2:$D$100,0)),""))</f>
        <v/>
      </c>
      <c r="Q453" s="61">
        <f>IF(B453="","",IF(AND(O453="",P453=""),"Open","Closed"))</f>
        <v/>
      </c>
      <c r="R453" s="63">
        <f>IF(Q453="","",IF(Q453="Open",TODAY()-N453,"--"))</f>
        <v/>
      </c>
      <c r="S453" s="63">
        <f>IF(Q453="","",IF(Q453="Closed",P453-N453,"--"))</f>
        <v/>
      </c>
      <c r="W453" s="50" t="n"/>
    </row>
    <row r="454" ht="15" customHeight="1" s="130">
      <c r="G454" s="57">
        <f>IF($F454="","",IFERROR(INDEX('WORK PACKAGES'!$A$2:$A$100,MATCH($F454,'WORK PACKAGES'!$D$2:$D$100,0)),""))</f>
        <v/>
      </c>
      <c r="Q454" s="61">
        <f>IF(B454="","",IF(AND(O454="",P454=""),"Open","Closed"))</f>
        <v/>
      </c>
      <c r="R454" s="63">
        <f>IF(Q454="","",IF(Q454="Open",TODAY()-N454,"--"))</f>
        <v/>
      </c>
      <c r="S454" s="63">
        <f>IF(Q454="","",IF(Q454="Closed",P454-N454,"--"))</f>
        <v/>
      </c>
      <c r="W454" s="50" t="n"/>
    </row>
    <row r="455" ht="15" customHeight="1" s="130">
      <c r="G455" s="57">
        <f>IF($F455="","",IFERROR(INDEX('WORK PACKAGES'!$A$2:$A$100,MATCH($F455,'WORK PACKAGES'!$D$2:$D$100,0)),""))</f>
        <v/>
      </c>
      <c r="Q455" s="61">
        <f>IF(B455="","",IF(AND(O455="",P455=""),"Open","Closed"))</f>
        <v/>
      </c>
      <c r="R455" s="63">
        <f>IF(Q455="","",IF(Q455="Open",TODAY()-N455,"--"))</f>
        <v/>
      </c>
      <c r="S455" s="63">
        <f>IF(Q455="","",IF(Q455="Closed",P455-N455,"--"))</f>
        <v/>
      </c>
      <c r="W455" s="50" t="n"/>
    </row>
    <row r="456" ht="15" customHeight="1" s="130">
      <c r="G456" s="57">
        <f>IF($F456="","",IFERROR(INDEX('WORK PACKAGES'!$A$2:$A$100,MATCH($F456,'WORK PACKAGES'!$D$2:$D$100,0)),""))</f>
        <v/>
      </c>
      <c r="Q456" s="61">
        <f>IF(B456="","",IF(AND(O456="",P456=""),"Open","Closed"))</f>
        <v/>
      </c>
      <c r="R456" s="63">
        <f>IF(Q456="","",IF(Q456="Open",TODAY()-N456,"--"))</f>
        <v/>
      </c>
      <c r="S456" s="63">
        <f>IF(Q456="","",IF(Q456="Closed",P456-N456,"--"))</f>
        <v/>
      </c>
      <c r="W456" s="50" t="n"/>
    </row>
    <row r="457" ht="15" customHeight="1" s="130">
      <c r="G457" s="57">
        <f>IF($F457="","",IFERROR(INDEX('WORK PACKAGES'!$A$2:$A$100,MATCH($F457,'WORK PACKAGES'!$D$2:$D$100,0)),""))</f>
        <v/>
      </c>
      <c r="Q457" s="61">
        <f>IF(B457="","",IF(AND(O457="",P457=""),"Open","Closed"))</f>
        <v/>
      </c>
      <c r="R457" s="63">
        <f>IF(Q457="","",IF(Q457="Open",TODAY()-N457,"--"))</f>
        <v/>
      </c>
      <c r="S457" s="63">
        <f>IF(Q457="","",IF(Q457="Closed",P457-N457,"--"))</f>
        <v/>
      </c>
      <c r="W457" s="50" t="n"/>
    </row>
    <row r="458" ht="15" customHeight="1" s="130">
      <c r="G458" s="57">
        <f>IF($F458="","",IFERROR(INDEX('WORK PACKAGES'!$A$2:$A$100,MATCH($F458,'WORK PACKAGES'!$D$2:$D$100,0)),""))</f>
        <v/>
      </c>
      <c r="Q458" s="61">
        <f>IF(B458="","",IF(AND(O458="",P458=""),"Open","Closed"))</f>
        <v/>
      </c>
      <c r="R458" s="63">
        <f>IF(Q458="","",IF(Q458="Open",TODAY()-N458,"--"))</f>
        <v/>
      </c>
      <c r="S458" s="63">
        <f>IF(Q458="","",IF(Q458="Closed",P458-N458,"--"))</f>
        <v/>
      </c>
      <c r="W458" s="50" t="n"/>
    </row>
    <row r="459" ht="15" customHeight="1" s="130">
      <c r="G459" s="57">
        <f>IF($F459="","",IFERROR(INDEX('WORK PACKAGES'!$A$2:$A$100,MATCH($F459,'WORK PACKAGES'!$D$2:$D$100,0)),""))</f>
        <v/>
      </c>
      <c r="Q459" s="61">
        <f>IF(B459="","",IF(AND(O459="",P459=""),"Open","Closed"))</f>
        <v/>
      </c>
      <c r="R459" s="63">
        <f>IF(Q459="","",IF(Q459="Open",TODAY()-N459,"--"))</f>
        <v/>
      </c>
      <c r="S459" s="63">
        <f>IF(Q459="","",IF(Q459="Closed",P459-N459,"--"))</f>
        <v/>
      </c>
      <c r="W459" s="50" t="n"/>
    </row>
    <row r="460" ht="15" customHeight="1" s="130">
      <c r="G460" s="57">
        <f>IF($F460="","",IFERROR(INDEX('WORK PACKAGES'!$A$2:$A$100,MATCH($F460,'WORK PACKAGES'!$D$2:$D$100,0)),""))</f>
        <v/>
      </c>
      <c r="Q460" s="61">
        <f>IF(B460="","",IF(AND(O460="",P460=""),"Open","Closed"))</f>
        <v/>
      </c>
      <c r="R460" s="63">
        <f>IF(Q460="","",IF(Q460="Open",TODAY()-N460,"--"))</f>
        <v/>
      </c>
      <c r="S460" s="63">
        <f>IF(Q460="","",IF(Q460="Closed",P460-N460,"--"))</f>
        <v/>
      </c>
      <c r="W460" s="50" t="n"/>
    </row>
    <row r="461" ht="15" customHeight="1" s="130">
      <c r="G461" s="57">
        <f>IF($F461="","",IFERROR(INDEX('WORK PACKAGES'!$A$2:$A$100,MATCH($F461,'WORK PACKAGES'!$D$2:$D$100,0)),""))</f>
        <v/>
      </c>
      <c r="Q461" s="61">
        <f>IF(B461="","",IF(AND(O461="",P461=""),"Open","Closed"))</f>
        <v/>
      </c>
      <c r="R461" s="63">
        <f>IF(Q461="","",IF(Q461="Open",TODAY()-N461,"--"))</f>
        <v/>
      </c>
      <c r="S461" s="63">
        <f>IF(Q461="","",IF(Q461="Closed",P461-N461,"--"))</f>
        <v/>
      </c>
      <c r="W461" s="50" t="n"/>
    </row>
    <row r="462" ht="15" customHeight="1" s="130">
      <c r="G462" s="57">
        <f>IF($F462="","",IFERROR(INDEX('WORK PACKAGES'!$A$2:$A$100,MATCH($F462,'WORK PACKAGES'!$D$2:$D$100,0)),""))</f>
        <v/>
      </c>
      <c r="Q462" s="61">
        <f>IF(B462="","",IF(AND(O462="",P462=""),"Open","Closed"))</f>
        <v/>
      </c>
      <c r="R462" s="63">
        <f>IF(Q462="","",IF(Q462="Open",TODAY()-N462,"--"))</f>
        <v/>
      </c>
      <c r="S462" s="63">
        <f>IF(Q462="","",IF(Q462="Closed",P462-N462,"--"))</f>
        <v/>
      </c>
      <c r="W462" s="50" t="n"/>
    </row>
    <row r="463" ht="15" customHeight="1" s="130">
      <c r="G463" s="57">
        <f>IF($F463="","",IFERROR(INDEX('WORK PACKAGES'!$A$2:$A$100,MATCH($F463,'WORK PACKAGES'!$D$2:$D$100,0)),""))</f>
        <v/>
      </c>
      <c r="Q463" s="61">
        <f>IF(B463="","",IF(AND(O463="",P463=""),"Open","Closed"))</f>
        <v/>
      </c>
      <c r="R463" s="63">
        <f>IF(Q463="","",IF(Q463="Open",TODAY()-N463,"--"))</f>
        <v/>
      </c>
      <c r="S463" s="63">
        <f>IF(Q463="","",IF(Q463="Closed",P463-N463,"--"))</f>
        <v/>
      </c>
      <c r="W463" s="50" t="n"/>
    </row>
    <row r="464" ht="15" customHeight="1" s="130">
      <c r="G464" s="57">
        <f>IF($F464="","",IFERROR(INDEX('WORK PACKAGES'!$A$2:$A$100,MATCH($F464,'WORK PACKAGES'!$D$2:$D$100,0)),""))</f>
        <v/>
      </c>
      <c r="Q464" s="61">
        <f>IF(B464="","",IF(AND(O464="",P464=""),"Open","Closed"))</f>
        <v/>
      </c>
      <c r="R464" s="63">
        <f>IF(Q464="","",IF(Q464="Open",TODAY()-N464,"--"))</f>
        <v/>
      </c>
      <c r="S464" s="63">
        <f>IF(Q464="","",IF(Q464="Closed",P464-N464,"--"))</f>
        <v/>
      </c>
      <c r="W464" s="50" t="n"/>
    </row>
  </sheetData>
  <autoFilter ref="B2:W464"/>
  <conditionalFormatting sqref="B9:C9 G9:L9 O9:P9">
    <cfRule type="expression" priority="16" dxfId="4">
      <formula>$Q10="Deferred"</formula>
    </cfRule>
    <cfRule type="expression" priority="17" dxfId="3">
      <formula>$Q10="Closed"</formula>
    </cfRule>
    <cfRule type="expression" priority="18" dxfId="2">
      <formula>MOD(ROW(),2)=1</formula>
    </cfRule>
  </conditionalFormatting>
  <conditionalFormatting sqref="B10:L10 O10:P10">
    <cfRule type="expression" priority="19" dxfId="4">
      <formula>#REF!="Deferred"</formula>
    </cfRule>
    <cfRule type="expression" priority="20" dxfId="3">
      <formula>#REF!="Closed"</formula>
    </cfRule>
    <cfRule type="expression" priority="21" dxfId="2">
      <formula>MOD(ROW(),2)=1</formula>
    </cfRule>
  </conditionalFormatting>
  <conditionalFormatting sqref="B3:P8 B11:P21 B22:L24 B25:N30 B31:P1000 O22:P30">
    <cfRule type="expression" priority="14" dxfId="3">
      <formula>$Q3="Closed"</formula>
    </cfRule>
    <cfRule type="expression" priority="15" dxfId="2">
      <formula>MOD(ROW(),2)=1</formula>
    </cfRule>
    <cfRule type="expression" priority="13" dxfId="4">
      <formula>$Q3="Deferred"</formula>
    </cfRule>
  </conditionalFormatting>
  <conditionalFormatting sqref="D9:F9">
    <cfRule type="expression" priority="5" dxfId="4">
      <formula>$Q9="Deferred"</formula>
    </cfRule>
    <cfRule type="expression" priority="6" dxfId="3">
      <formula>$Q9="Closed"</formula>
    </cfRule>
    <cfRule type="expression" priority="7" dxfId="2">
      <formula>MOD(ROW(),2)=1</formula>
    </cfRule>
  </conditionalFormatting>
  <conditionalFormatting sqref="M9:N10">
    <cfRule type="expression" priority="2" dxfId="4">
      <formula>$Q9="Deferred"</formula>
    </cfRule>
    <cfRule type="expression" priority="3" dxfId="3">
      <formula>$Q9="Closed"</formula>
    </cfRule>
    <cfRule type="expression" priority="4" dxfId="2">
      <formula>MOD(ROW(),2)=1</formula>
    </cfRule>
  </conditionalFormatting>
  <conditionalFormatting sqref="M22:N24">
    <cfRule type="expression" priority="8" dxfId="4">
      <formula>$Q23="Deferred"</formula>
    </cfRule>
    <cfRule type="expression" priority="9" dxfId="3">
      <formula>$Q23="Closed"</formula>
    </cfRule>
    <cfRule type="expression" priority="10" dxfId="2">
      <formula>MOD(ROW(),2)=1</formula>
    </cfRule>
  </conditionalFormatting>
  <conditionalFormatting sqref="P310">
    <cfRule type="timePeriod" priority="11" dxfId="0" timePeriod="lastWeek">
      <formula>AND(TODAY()-ROUNDDOWN(P310,0)&gt;=(WEEKDAY(TODAY())),TODAY()-ROUNDDOWN(P310,0)&lt;(WEEKDAY(TODAY())+7))</formula>
    </cfRule>
  </conditionalFormatting>
  <conditionalFormatting sqref="P316">
    <cfRule type="timePeriod" priority="12" dxfId="0" timePeriod="lastWeek">
      <formula>AND(TODAY()-ROUNDDOWN(P316,0)&gt;=(WEEKDAY(TODAY())),TODAY()-ROUNDDOWN(P316,0)&lt;(WEEKDAY(TODAY())+7))</formula>
    </cfRule>
  </conditionalFormatting>
  <dataValidations count="2">
    <dataValidation sqref="W3:W464" showDropDown="0" showInputMessage="0" showErrorMessage="1" allowBlank="1" errorTitle="Use X or blank" error="Enter X or clear the cell." type="list">
      <formula1>"X"</formula1>
      <formula2>0</formula2>
    </dataValidation>
    <dataValidation sqref="F3:F464" showDropDown="0" showInputMessage="1" showErrorMessage="1" allowBlank="1" errorTitle="Invalid Work Package" error="Select a Work Package from the dropdown." promptTitle="Work Package" prompt="Choose a valid Work Package name." type="list">
      <formula1>ValidWorkPackageNames</formula1>
      <formula2>0</formula2>
    </dataValidation>
  </dataValidations>
  <pageMargins left="1" right="0.7" top="1.25" bottom="0.597222222222222" header="0.5" footer="0.511811023622047"/>
  <pageSetup orientation="landscape" paperSize="3" fitToHeight="10" horizontalDpi="300" verticalDpi="300"/>
  <headerFooter>
    <oddHeader>&amp;C&amp;20 BUTTLER MASTER PUNCH LIST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23" customWidth="1" style="130" min="1" max="1"/>
    <col width="91" customWidth="1" style="130" min="2" max="2"/>
    <col width="42" customWidth="1" style="130" min="3" max="3"/>
  </cols>
  <sheetData>
    <row r="1" ht="27.75" customHeight="1" s="130">
      <c r="A1" s="131" t="inlineStr">
        <is>
          <t>READ ME | Engineering Record &amp; Work Package Contract</t>
        </is>
      </c>
    </row>
    <row r="2" ht="24.75" customHeight="1" s="130">
      <c r="A2" s="135" t="inlineStr">
        <is>
          <t>WORK PACKAGES define project execution units (not Systems, Equipment, Scope obligations or SOV items). WP PROGRESS holds entered progress. DASHBOARD, SCOPE DASHBOARD and BLOCKED ITEMS REPORT are derived views.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Section</t>
        </is>
      </c>
      <c r="B4" s="135" t="inlineStr">
        <is>
          <t>Instruction</t>
        </is>
      </c>
      <c r="C4" s="135" t="inlineStr">
        <is>
          <t>Owner / status</t>
        </is>
      </c>
    </row>
    <row r="5" ht="24.75" customHeight="1" s="130">
      <c r="A5" s="106" t="inlineStr">
        <is>
          <t>Template version</t>
        </is>
      </c>
      <c r="B5" s="129" t="inlineStr">
        <is>
          <t>PROJECT_PER v1.1 blank template (KIS controls-engineering). Copy it into authorized project storage, rename it for the project and record that copy in SOURCES / BASELINES. Never enter project data in the repository copy.</t>
        </is>
      </c>
      <c r="C5" s="105" t="inlineStr">
        <is>
          <t>Template</t>
        </is>
      </c>
    </row>
    <row r="6" ht="24.75" customHeight="1" s="130">
      <c r="A6" s="106" t="inlineStr">
        <is>
          <t>Release designation</t>
        </is>
      </c>
      <c r="B6" s="129" t="inlineStr">
        <is>
          <t>v1.1 is a STRUCTURE revision of the blank template (work package definition / progress split, '--' progress convention, derived scope progress). It does not approve or accept any project's engineering content.</t>
        </is>
      </c>
      <c r="C6" s="105" t="inlineStr">
        <is>
          <t>Owner-accepted structure</t>
        </is>
      </c>
    </row>
    <row r="7" ht="24.75" customHeight="1" s="130">
      <c r="A7" s="106" t="inlineStr">
        <is>
          <t>Dashboard</t>
        </is>
      </c>
      <c r="B7" s="129" t="inlineStr">
        <is>
          <t>DASHBOARD lists WP IDs entered manually in column A. Calculated columns look up WORK PACKAGES (definition) and WP PROGRESS (status); blank progress stays blank. Columns D, J:O and T are manual and travel with the row.</t>
        </is>
      </c>
      <c r="C7" s="105" t="inlineStr">
        <is>
          <t>View; formulas read only</t>
        </is>
      </c>
    </row>
    <row r="8" ht="24.75" customHeight="1" s="130">
      <c r="A8" s="106" t="inlineStr">
        <is>
          <t>Safe sorting</t>
        </is>
      </c>
      <c r="B8" s="129" t="inlineStr">
        <is>
          <t>Filter/sort the entire full-width DASHBOARD list (A:U), never a single column. Calculated fields look up by WP ID.</t>
        </is>
      </c>
      <c r="C8" s="105" t="inlineStr">
        <is>
          <t>None</t>
        </is>
      </c>
    </row>
    <row r="9" ht="24.75" customHeight="1" s="130">
      <c r="A9" s="106" t="inlineStr">
        <is>
          <t>Work Package contract</t>
        </is>
      </c>
      <c r="B9" s="129" t="inlineStr">
        <is>
          <t>A Work Package is a bounded, independently managed execution unit with progress and completion criteria, normally handed to one team or person. It can span multiple equipment items, scopes or test procedures.</t>
        </is>
      </c>
      <c r="C9" s="105" t="inlineStr">
        <is>
          <t>Framework-owned; instance uses WP-###</t>
        </is>
      </c>
    </row>
    <row r="10" ht="24.75" customHeight="1" s="130">
      <c r="A10" s="106" t="inlineStr">
        <is>
          <t>Work Package definition</t>
        </is>
      </c>
      <c r="B10" s="129" t="inlineStr">
        <is>
          <t>WORK PACKAGES owns WP IDs. A:E = WP ID, Package Code, boundary description, hidden legacy selector (D, used by PUNCH LIST / RFI LEGACY forms) and priority. F:S = parent WP, primary and additional scopes, responsible team/person, method, deliverable, dependencies, progress columns in use, tracking basis, references, review state and notes. T checks that the WP has exactly one WP PROGRESS row.</t>
        </is>
      </c>
      <c r="C10" s="105" t="inlineStr">
        <is>
          <t>Definition only; no progress here</t>
        </is>
      </c>
    </row>
    <row r="11" ht="24.75" customHeight="1" s="130">
      <c r="A11" s="106" t="inlineStr">
        <is>
          <t>WP progress</t>
        </is>
      </c>
      <c r="B11" s="129" t="inlineStr">
        <is>
          <t>WP PROGRESS has one row per WP ID, chosen from WORK PACKAGES (dropdown uses named range ValidWorkPackageIDs). Enter percentages (0-1), C&amp;E, SAT, vendor checks, Blocked (X) and comments here. Package code, scope, priority, completion, gate and count columns are formulas.</t>
        </is>
      </c>
      <c r="C11" s="105" t="inlineStr">
        <is>
          <t>Entered progress</t>
        </is>
      </c>
    </row>
    <row r="12" ht="24.75" customHeight="1" s="130">
      <c r="A12" s="106" t="inlineStr">
        <is>
          <t>Progress value convention</t>
        </is>
      </c>
      <c r="B12" s="129" t="inlineStr">
        <is>
          <t>Number 0-1 = progress. '--' = column not used for this WP (left out of completion, gates and roll-ups). Blank = not entered. Any other text shows CHECK. A WP's gate is complete when every column it uses is complete.</t>
        </is>
      </c>
      <c r="C12" s="105" t="inlineStr">
        <is>
          <t>None</t>
        </is>
      </c>
    </row>
    <row r="13" ht="24.75" customHeight="1" s="130">
      <c r="A13" s="106" t="inlineStr">
        <is>
          <t>Scope progress</t>
        </is>
      </c>
      <c r="B13" s="129" t="inlineStr">
        <is>
          <t>SCOPE DASHBOARD derives scope progress per column as the average over WPs whose Primary Scope is that scope (equal weight). Blank and '--' are excluded; enter 0 for 'in use, not started'. WP Count, WPs Gate Complete and Blocked WPs are derived; the scope Blocked? (X) is human-managed.</t>
        </is>
      </c>
      <c r="C13" s="105" t="inlineStr">
        <is>
          <t>No SCOPE PROGRESS tab from v1.1</t>
        </is>
      </c>
    </row>
    <row r="14" ht="24.75" customHeight="1" s="130">
      <c r="A14" s="106" t="inlineStr">
        <is>
          <t>Parent / child WPs</t>
        </is>
      </c>
      <c r="B14" s="129" t="inlineStr">
        <is>
          <t>Parent Work Package ID is a definition field only. v1.1 does not roll child progress into parents; parent progress must not double count children.</t>
        </is>
      </c>
      <c r="C14" s="105" t="inlineStr">
        <is>
          <t>None</t>
        </is>
      </c>
    </row>
    <row r="15" ht="24.75" customHeight="1" s="130">
      <c r="A15" s="106" t="inlineStr">
        <is>
          <t>Splitting work packages</t>
        </is>
      </c>
      <c r="B15" s="129" t="inlineStr">
        <is>
          <t>Create a separate WP when the work goes to a different team or person, has its own blocking dependency (e.g. equipment by others), or is a deliverable handed off on its own. Do not create WPs per device or point; that detail belongs in the Equipment/Device/Points workbook.</t>
        </is>
      </c>
      <c r="C15" s="105" t="inlineStr">
        <is>
          <t>Guidance</t>
        </is>
      </c>
    </row>
    <row r="16" ht="24.75" customHeight="1" s="130">
      <c r="A16" s="106" t="inlineStr">
        <is>
          <t>Project record authority</t>
        </is>
      </c>
      <c r="B16" s="129" t="inlineStr">
        <is>
          <t>SCOPES, RECORDS, SYSTEM MODEL, SOURCES, LINKS and ISSUES are the project-level registers. Physical equipment/device/point inventory is kept in the separate Equipment/Device/Points workbook.</t>
        </is>
      </c>
      <c r="C16" s="105" t="inlineStr">
        <is>
          <t>Cross-file IDs</t>
        </is>
      </c>
    </row>
    <row r="17" ht="24.75" customHeight="1" s="130">
      <c r="A17" s="106" t="inlineStr">
        <is>
          <t>Linkage</t>
        </is>
      </c>
      <c r="B17" s="129" t="inlineStr">
        <is>
          <t>Equipment/Device/Points rows carry Primary Work Package ID, Primary Scope ID and Link Review State as candidates until reviewed; additional relationships use LINKS. Do not copy equipment facts into the PER.</t>
        </is>
      </c>
      <c r="C17" s="105" t="inlineStr">
        <is>
          <t>None</t>
        </is>
      </c>
    </row>
    <row r="18" ht="24.75" customHeight="1" s="130">
      <c r="A18" s="106" t="inlineStr">
        <is>
          <t>Source trail</t>
        </is>
      </c>
      <c r="B18" s="129" t="inlineStr">
        <is>
          <t>SOURCES records contract, vendor, field and internal sources; exact revision and source locator required.</t>
        </is>
      </c>
      <c r="C18" s="105" t="inlineStr">
        <is>
          <t>None</t>
        </is>
      </c>
    </row>
    <row r="19" ht="24.75" customHeight="1" s="130">
      <c r="A19" s="106" t="inlineStr">
        <is>
          <t>Names: register wording vs verbatim</t>
        </is>
      </c>
      <c r="B19" s="129" t="inlineStr">
        <is>
          <t>In register wording use the project's current names. When a cell quotes something that exists outside the register (a file name, folder or path, a document's own title, or a label printed on a source drawing) copy it exactly and put it in quotes, e.g. a folder named 'Job 1234 - UNIT-01' stays 'UNIT-01' even if the register calls the unit UNIT-1. If the real name changes, update the quote and log it.</t>
        </is>
      </c>
      <c r="C19" s="105" t="inlineStr">
        <is>
          <t>None</t>
        </is>
      </c>
    </row>
    <row r="20" ht="24.75" customHeight="1" s="130">
      <c r="A20" s="106" t="inlineStr">
        <is>
          <t>Imported notes</t>
        </is>
      </c>
      <c r="B20" s="129" t="inlineStr">
        <is>
          <t>INTAKE QUEUE holds verbatim prior-work notes/RFI text queued for review; not facts, obligations or new RFIs until reconciled.</t>
        </is>
      </c>
      <c r="C20" s="105" t="inlineStr">
        <is>
          <t>None</t>
        </is>
      </c>
    </row>
    <row r="21" ht="24.75" customHeight="1" s="130">
      <c r="A21" s="106" t="inlineStr">
        <is>
          <t>Record types</t>
        </is>
      </c>
      <c r="B21" s="129" t="inlineStr">
        <is>
          <t>RECORDS supports Need, Fact, Requirement, Constraint, Criterion, Assumption, Directive, Decision, Finding.</t>
        </is>
      </c>
      <c r="C21" s="105" t="inlineStr">
        <is>
          <t>Scope/work actions are first-class in SCOPES</t>
        </is>
      </c>
    </row>
    <row r="22" ht="24.75" customHeight="1" s="130">
      <c r="A22" s="106" t="inlineStr">
        <is>
          <t>Unknown != none</t>
        </is>
      </c>
      <c r="B22" s="129" t="inlineStr">
        <is>
          <t>Do not enter 0, Not Applicable, or Accepted merely because a source omits something.</t>
        </is>
      </c>
      <c r="C22" s="105" t="inlineStr">
        <is>
          <t>Keep unresolved explicitly</t>
        </is>
      </c>
    </row>
    <row r="23" ht="24.75" customHeight="1" s="130">
      <c r="A23" s="106" t="inlineStr">
        <is>
          <t>Scopes ontology</t>
        </is>
      </c>
      <c r="B23" s="129" t="inlineStr">
        <is>
          <t>SCOPES are engineering/drawing/logical groupings that connect WPs into systems. Atomic contractual obligations are maintained as requirements or source-backed records; do not silently reclassify legacy scope IDs.</t>
        </is>
      </c>
      <c r="C23" s="105" t="inlineStr">
        <is>
          <t>None</t>
        </is>
      </c>
    </row>
    <row r="24" ht="24.75" customHeight="1" s="130">
      <c r="A24" s="106" t="inlineStr">
        <is>
          <t>Scope of Work display</t>
        </is>
      </c>
      <c r="B24" s="129" t="inlineStr">
        <is>
          <t>DASHBOARD Scope of Work looks up WORK PACKAGES Primary Scope ID; blank until assignments are made.</t>
        </is>
      </c>
      <c r="C24" s="105" t="inlineStr">
        <is>
          <t>None</t>
        </is>
      </c>
    </row>
    <row r="25" ht="18.75" customHeight="1" s="130">
      <c r="A25" s="106" t="inlineStr">
        <is>
          <t>RFI authority</t>
        </is>
      </c>
      <c r="B25" s="129" t="inlineStr">
        <is>
          <t>RFI REGISTER is authoritative; RFI LEGACY is a hidden read-only reference for imported legacy RFIs; ISSUES holds engineering findings.</t>
        </is>
      </c>
      <c r="C25" s="105" t="inlineStr">
        <is>
          <t>None</t>
        </is>
      </c>
    </row>
    <row r="26" ht="18.75" customHeight="1" s="130">
      <c r="A26" s="106" t="inlineStr">
        <is>
          <t>RFI counts</t>
        </is>
      </c>
      <c r="B26" s="129" t="inlineStr">
        <is>
          <t>Open RFIs count by Primary WP ID (WP PROGRESS!Z). RFIs with a blank Primary WP ID are unassigned, not resolved. Related WPs do not double count.</t>
        </is>
      </c>
      <c r="C26" s="105" t="inlineStr">
        <is>
          <t>None</t>
        </is>
      </c>
    </row>
    <row r="27" ht="18.75" customHeight="1" s="130">
      <c r="A27" s="106" t="inlineStr">
        <is>
          <t>RFI migration</t>
        </is>
      </c>
      <c r="B27" s="129" t="inlineStr">
        <is>
          <t>Legacy question text, status, dates, responses and comments are carried forward; migrated RFIs require owner review.</t>
        </is>
      </c>
      <c r="C27" s="105" t="inlineStr">
        <is>
          <t>None</t>
        </is>
      </c>
    </row>
    <row r="28" ht="18.75" customHeight="1" s="130">
      <c r="A28" s="106" t="inlineStr">
        <is>
          <t>Operational tracking vs engineering evidence</t>
        </is>
      </c>
      <c r="B28" s="129" t="inlineStr">
        <is>
          <t>PUNCH LIST is an execution action / follow-up queue (unfinished field work, coordination, troubleshooting, corrective actions, blockers); it is not a substitute for ISSUES, RFIs or test acceptance evidence.</t>
        </is>
      </c>
      <c r="C28" s="105" t="inlineStr">
        <is>
          <t>Keep registers independent</t>
        </is>
      </c>
    </row>
    <row r="29">
      <c r="A29" s="106" t="inlineStr">
        <is>
          <t>ISSUES</t>
        </is>
      </c>
      <c r="B29" s="129" t="inlineStr">
        <is>
          <t>ISSUES records engineering uncertainties, contradictions, failures and findings requiring technical disposition. Primary authority is Scope ID; Affected WP IDs are explicit. Link records by stable IDs rather than duplicating statements.</t>
        </is>
      </c>
      <c r="C29" s="105" t="inlineStr">
        <is>
          <t>Canonical technical finding; not a to-do list</t>
        </is>
      </c>
    </row>
    <row r="30" ht="43.5" customHeight="1" s="130">
      <c r="A30" s="106" t="inlineStr">
        <is>
          <t>Punch List WP selection</t>
        </is>
      </c>
      <c r="B30" s="129" t="inlineStr">
        <is>
          <t>PUNCH LIST Work Package is selected against WORK PACKAGES; the adjacent Package Code is computed as the canonical WP-### via INDEX/MATCH.</t>
        </is>
      </c>
      <c r="C30" s="105" t="inlineStr">
        <is>
          <t>Preserve dropdown and formula</t>
        </is>
      </c>
    </row>
    <row r="31" ht="43.5" customHeight="1" s="130">
      <c r="A31" s="106" t="inlineStr">
        <is>
          <t>Blocking convention</t>
        </is>
      </c>
      <c r="B31" s="129" t="inlineStr">
        <is>
          <t>X or blank: human-maintained attention flag in WP PROGRESS, ISSUES, RFI REGISTER, PUNCH LIST and SCOPE DASHBOARD. No auto-propagation; open counts do not determine blocking. BLOCKED ITEMS REPORT is a filterable live projection; filter Record ID to nonblank.</t>
        </is>
      </c>
      <c r="C31" s="105" t="inlineStr">
        <is>
          <t>Do not infer blocking from counts</t>
        </is>
      </c>
    </row>
    <row r="32" ht="43.5" customHeight="1" s="130">
      <c r="A32" s="106" t="inlineStr">
        <is>
          <t>Optional commercial reference</t>
        </is>
      </c>
      <c r="B32" s="129" t="inlineStr">
        <is>
          <t>Schedule of Values (SOV) is an optional commercial reference only; no SOV tab, number, cost or payment status is required.</t>
        </is>
      </c>
      <c r="C32" s="105" t="inlineStr">
        <is>
          <t>Not applicable by default</t>
        </is>
      </c>
    </row>
    <row r="33">
      <c r="A33" s="106" t="inlineStr">
        <is>
          <t>Commercial vs technical</t>
        </is>
      </c>
      <c r="B33" s="129" t="inlineStr">
        <is>
          <t>Work Package progress, engineering completion, commissioning verification and commercial valuation are different states. Completing internal progress gates is not SAT acceptance.</t>
        </is>
      </c>
      <c r="C33" s="105" t="inlineStr">
        <is>
          <t>Preserve independent review states</t>
        </is>
      </c>
    </row>
    <row r="34" ht="27.75" customHeight="1" s="130">
      <c r="A34" s="106" t="inlineStr">
        <is>
          <t>Changes and history</t>
        </is>
      </c>
      <c r="B34" s="129" t="inlineStr">
        <is>
          <t>CHANGE LOG and BASELINES are persistence/archival registries; neither logs edits automatically nor approves a project baseline. A workbook copy is not configuration acceptance.</t>
        </is>
      </c>
      <c r="C34" s="105" t="inlineStr">
        <is>
          <t>Populate via controlled process</t>
        </is>
      </c>
    </row>
    <row r="35" ht="27.75" customHeight="1" s="130">
      <c r="A35" s="106" t="inlineStr">
        <is>
          <t>Protection</t>
        </is>
      </c>
      <c r="B35" s="129" t="inlineStr">
        <is>
          <t>Engineering acceptance protects identified derived decisions; snapshot/baseline captures state separately.</t>
        </is>
      </c>
      <c r="C35" s="105" t="inlineStr">
        <is>
          <t>No automatic approval on baseline</t>
        </is>
      </c>
    </row>
    <row r="36" ht="41.25" customHeight="1" s="130">
      <c r="A36" s="106" t="inlineStr">
        <is>
          <t>Baseline custody</t>
        </is>
      </c>
      <c r="B36" s="129" t="inlineStr">
        <is>
          <t>Archive each project baseline as a separate immutable file with an external SHA-256 manifest; do not overwrite the project's working copy.</t>
        </is>
      </c>
      <c r="C36" s="105" t="inlineStr">
        <is>
          <t>None</t>
        </is>
      </c>
    </row>
    <row r="37" ht="41.25" customHeight="1" s="130">
      <c r="A37" s="106" t="inlineStr">
        <is>
          <t>Migration</t>
        </is>
      </c>
      <c r="B37" s="129" t="inlineStr">
        <is>
          <t>When adopting this template for a project with prior trackers, reconcile contract sources and prior notes/RFIs first, then promote verified records.</t>
        </is>
      </c>
      <c r="C37" s="105" t="inlineStr">
        <is>
          <t>M1/M2</t>
        </is>
      </c>
    </row>
    <row r="38">
      <c r="A38" s="106" t="inlineStr">
        <is>
          <t>Formatting revisions</t>
        </is>
      </c>
      <c r="B38" s="129" t="inlineStr">
        <is>
          <t>Applying built-in cell styles is presentation-only if values, formulas, data validation, filter ranges, stable IDs and relationships are unchanged. No version bump for cosmetic edits.</t>
        </is>
      </c>
      <c r="C38" s="105" t="inlineStr">
        <is>
          <t>Presentation adjustments authorized</t>
        </is>
      </c>
    </row>
    <row r="39" ht="18.75" customHeight="1" s="130">
      <c r="A39" s="106" t="inlineStr">
        <is>
          <t>Check tabs</t>
        </is>
      </c>
      <c r="B39" s="129" t="inlineStr">
        <is>
          <t>WP CHECKS: structure checks (every WP has exactly one progress row; no orphans, duplicates or CHECK values) and a sample roll-up test. WP FORMULA TESTS: sample cases for the '--' completion and gate formulas. Sample data only; may be hidden in project copies.</t>
        </is>
      </c>
      <c r="C39" s="105" t="inlineStr">
        <is>
          <t>Keep with template</t>
        </is>
      </c>
    </row>
    <row r="40" ht="18.75" customHeight="1" s="130">
      <c r="A40" s="106" t="inlineStr">
        <is>
          <t>Latest framework</t>
        </is>
      </c>
      <c r="B40" s="129" t="inlineStr">
        <is>
          <t>https://github.com/kissolutions/knowledgebase_wikijs/blob/main/governance-and-doctrine/systems-engineering-framework-v1.md</t>
        </is>
      </c>
      <c r="C40" s="105" t="inlineStr">
        <is>
          <t>Parent framework</t>
        </is>
      </c>
    </row>
    <row r="41">
      <c r="A41" s="106" t="inlineStr">
        <is>
          <t>Scope work actions</t>
        </is>
      </c>
      <c r="B41" s="129" t="inlineStr">
        <is>
          <t>SCOPES!R Work Actions records what is done in the scope using the M1 action vocabulary: furnish, install, remove, replace, modify, rewire, reprogram, integrate, monitor, test, document, coordinate. Several actions are entered separated by '; ' (the dropdown warns but accepts). Blank means not yet established, not none.</t>
        </is>
      </c>
      <c r="C41" s="105" t="inlineStr">
        <is>
          <t>M1 scope extraction</t>
        </is>
      </c>
    </row>
    <row r="42" ht="18.75" customHeight="1" s="130"/>
    <row r="43" ht="18.75" customHeight="1" s="130"/>
    <row r="44" ht="18.75" customHeight="1" s="130"/>
    <row r="45" ht="18.75" customHeight="1" s="130"/>
    <row r="46" ht="18.75" customHeight="1" s="130"/>
    <row r="47" ht="18.75" customHeight="1" s="130"/>
    <row r="48" ht="18.75" customHeight="1" s="130"/>
  </sheetData>
  <mergeCells count="2">
    <mergeCell ref="A1:C1"/>
    <mergeCell ref="A2:C2"/>
  </mergeCells>
  <pageMargins left="0.35" right="0.35" top="0.55" bottom="0.5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G14" sqref="G14"/>
    </sheetView>
  </sheetViews>
  <sheetFormatPr baseColWidth="8" defaultColWidth="8.7109375" defaultRowHeight="15"/>
  <cols>
    <col width="21" customWidth="1" style="130" min="1" max="1"/>
    <col width="30" customWidth="1" style="130" min="2" max="2"/>
    <col width="23" customWidth="1" style="130" min="3" max="3"/>
    <col width="34" customWidth="1" style="130" min="4" max="4"/>
    <col width="24" customWidth="1" style="130" min="5" max="5"/>
    <col width="18" customWidth="1" style="130" min="6" max="6"/>
    <col width="62" customWidth="1" style="130" min="7" max="7"/>
    <col width="18" customWidth="1" style="130" min="8" max="8"/>
    <col width="49" customWidth="1" style="130" min="9" max="9"/>
    <col width="18" customWidth="1" style="130" min="10" max="10"/>
    <col width="20" customWidth="1" style="130" min="11" max="11"/>
    <col width="74" customWidth="1" style="130" min="12" max="12"/>
  </cols>
  <sheetData>
    <row r="1" ht="27.75" customHeight="1" s="130">
      <c r="A1" s="131" t="inlineStr">
        <is>
          <t>SOURCES | Source Evidence</t>
        </is>
      </c>
    </row>
    <row r="2" ht="24.75" customHeight="1" s="130">
      <c r="A2" s="129" t="inlineStr">
        <is>
          <t>Source IDs and exact document issue/revision are required before facts or scope obligations are promoted.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Source ID</t>
        </is>
      </c>
      <c r="B4" s="135" t="inlineStr">
        <is>
          <t>Document / File</t>
        </is>
      </c>
      <c r="C4" s="135" t="inlineStr">
        <is>
          <t>Source Class</t>
        </is>
      </c>
      <c r="D4" s="135" t="inlineStr">
        <is>
          <t>Issuer / Authority</t>
        </is>
      </c>
      <c r="E4" s="135" t="inlineStr">
        <is>
          <t>Revision</t>
        </is>
      </c>
      <c r="F4" s="135" t="inlineStr">
        <is>
          <t>Issue Date</t>
        </is>
      </c>
      <c r="G4" s="135" t="inlineStr">
        <is>
          <t>Exact Locator / URL</t>
        </is>
      </c>
      <c r="H4" s="135" t="inlineStr">
        <is>
          <t>Received Date</t>
        </is>
      </c>
      <c r="I4" s="135" t="inlineStr">
        <is>
          <t>Governs / Topic</t>
        </is>
      </c>
      <c r="J4" s="135" t="inlineStr">
        <is>
          <t>Review State</t>
        </is>
      </c>
      <c r="K4" s="135" t="inlineStr">
        <is>
          <t>Supersedes ID</t>
        </is>
      </c>
      <c r="L4" s="135" t="inlineStr">
        <is>
          <t>Notes</t>
        </is>
      </c>
    </row>
    <row r="5" ht="24.75" customHeight="1" s="130"/>
    <row r="6" ht="18.75" customHeight="1" s="130"/>
    <row r="7" ht="18.75" customHeight="1" s="130"/>
    <row r="8" ht="18.75" customHeight="1" s="130"/>
    <row r="9" ht="18.75" customHeight="1" s="130"/>
    <row r="10" ht="18.75" customHeight="1" s="130"/>
    <row r="11" ht="18.75" customHeight="1" s="130"/>
    <row r="12" ht="18.75" customHeight="1" s="130"/>
    <row r="13" ht="18.75" customHeight="1" s="130"/>
    <row r="14" ht="18.75" customHeight="1" s="130"/>
    <row r="15" ht="18.75" customHeight="1" s="130"/>
    <row r="16" ht="18.75" customHeight="1" s="130"/>
    <row r="17" ht="18.75" customHeight="1" s="130"/>
    <row r="18" ht="18.75" customHeight="1" s="130"/>
    <row r="19" ht="18.75" customHeight="1" s="130"/>
    <row r="20" ht="18.75" customHeight="1" s="130"/>
    <row r="21" ht="18.75" customHeight="1" s="130">
      <c r="E21" s="119" t="n"/>
    </row>
    <row r="22" ht="18.75" customHeight="1" s="130"/>
    <row r="23" ht="18.75" customHeight="1" s="130"/>
    <row r="24" ht="18.75" customHeight="1" s="130"/>
    <row r="25" ht="18.75" customHeight="1" s="130"/>
    <row r="26" ht="18.75" customHeight="1" s="130"/>
    <row r="27" ht="18.75" customHeight="1" s="130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</row>
    <row r="28" ht="18.75" customHeight="1" s="130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</row>
    <row r="29" ht="18.75" customHeight="1" s="130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</row>
    <row r="30" ht="18.75" customHeight="1" s="1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</row>
    <row r="31" ht="18.75" customHeight="1" s="130"/>
    <row r="32" ht="18.75" customHeight="1" s="130"/>
    <row r="33" ht="18.75" customHeight="1" s="130"/>
    <row r="34" ht="18.75" customHeight="1" s="130"/>
    <row r="35" ht="18.75" customHeight="1" s="130"/>
    <row r="36" ht="18.75" customHeight="1" s="130"/>
    <row r="37" ht="18.75" customHeight="1" s="130"/>
    <row r="38" ht="18.75" customHeight="1" s="130"/>
    <row r="39" ht="18.75" customHeight="1" s="130"/>
    <row r="40" ht="18.75" customHeight="1" s="130"/>
    <row r="41" ht="18.75" customHeight="1" s="130"/>
    <row r="42" ht="18.75" customHeight="1" s="130"/>
    <row r="43" ht="18.75" customHeight="1" s="130"/>
    <row r="44" ht="18.75" customHeight="1" s="130"/>
    <row r="45" ht="18.75" customHeight="1" s="130"/>
    <row r="46" ht="18.75" customHeight="1" s="130"/>
    <row r="47" ht="18.75" customHeight="1" s="130"/>
    <row r="48" ht="18.75" customHeight="1" s="130"/>
    <row r="49" ht="18.75" customHeight="1" s="130"/>
    <row r="50" ht="18.75" customHeight="1" s="130"/>
    <row r="51" ht="18.75" customHeight="1" s="130"/>
    <row r="52" ht="18.75" customHeight="1" s="130"/>
    <row r="53" ht="18.75" customHeight="1" s="130"/>
    <row r="54" ht="18.75" customHeight="1" s="130"/>
    <row r="55" ht="18.75" customHeight="1" s="130"/>
    <row r="56" ht="18.75" customHeight="1" s="130"/>
    <row r="57" ht="18.75" customHeight="1" s="130"/>
    <row r="58" ht="18.75" customHeight="1" s="130"/>
    <row r="59" ht="18.75" customHeight="1" s="130"/>
    <row r="60" ht="18.75" customHeight="1" s="130"/>
    <row r="61" ht="18.75" customHeight="1" s="130"/>
    <row r="62" ht="18.75" customHeight="1" s="130"/>
    <row r="63" ht="18.75" customHeight="1" s="130"/>
    <row r="64" ht="18.75" customHeight="1" s="130"/>
    <row r="65" ht="18.75" customHeight="1" s="130"/>
    <row r="66" ht="18.75" customHeight="1" s="130"/>
    <row r="67" ht="18.75" customHeight="1" s="130"/>
    <row r="68" ht="18.75" customHeight="1" s="130"/>
    <row r="69" ht="18.75" customHeight="1" s="130"/>
    <row r="70" ht="18.75" customHeight="1" s="130"/>
    <row r="71" ht="18.75" customHeight="1" s="130"/>
    <row r="72" ht="18.75" customHeight="1" s="130"/>
    <row r="73" ht="18.75" customHeight="1" s="130"/>
    <row r="74" ht="18.75" customHeight="1" s="130"/>
    <row r="75" ht="18.75" customHeight="1" s="130"/>
    <row r="76" ht="18.75" customHeight="1" s="130"/>
    <row r="77" ht="18.75" customHeight="1" s="130"/>
    <row r="78" ht="18.75" customHeight="1" s="130"/>
    <row r="79" ht="18.75" customHeight="1" s="130"/>
    <row r="80" ht="18.75" customHeight="1" s="130"/>
    <row r="81" ht="18.75" customHeight="1" s="130"/>
    <row r="82" ht="18.75" customHeight="1" s="130"/>
    <row r="83" ht="18.75" customHeight="1" s="130"/>
    <row r="84" ht="18.75" customHeight="1" s="130"/>
    <row r="85" ht="18.75" customHeight="1" s="130"/>
    <row r="86" ht="18.75" customHeight="1" s="130"/>
    <row r="87" ht="18.75" customHeight="1" s="130"/>
    <row r="88" ht="18.75" customHeight="1" s="130"/>
    <row r="89" ht="18.75" customHeight="1" s="130"/>
    <row r="90" ht="18.75" customHeight="1" s="130"/>
    <row r="91" ht="18.75" customHeight="1" s="130"/>
    <row r="92" ht="18.75" customHeight="1" s="130"/>
    <row r="93" ht="18.75" customHeight="1" s="130"/>
    <row r="94" ht="18.75" customHeight="1" s="130"/>
    <row r="95" ht="18.75" customHeight="1" s="130"/>
    <row r="96" ht="18.75" customHeight="1" s="130"/>
    <row r="97" ht="18.75" customHeight="1" s="130"/>
    <row r="98" ht="18.75" customHeight="1" s="130"/>
    <row r="99" ht="18.75" customHeight="1" s="130"/>
    <row r="100" ht="18.75" customHeight="1" s="130"/>
    <row r="101" ht="18.75" customHeight="1" s="130"/>
    <row r="102" ht="18.75" customHeight="1" s="130"/>
    <row r="103" ht="18.75" customHeight="1" s="130"/>
    <row r="104" ht="18.75" customHeight="1" s="130"/>
    <row r="105" ht="18.75" customHeight="1" s="130"/>
    <row r="106" ht="18.75" customHeight="1" s="130"/>
    <row r="107" ht="18.75" customHeight="1" s="130"/>
    <row r="108" ht="18.75" customHeight="1" s="130"/>
    <row r="109" ht="18.75" customHeight="1" s="130"/>
    <row r="110" ht="18.75" customHeight="1" s="130"/>
    <row r="111" ht="18.75" customHeight="1" s="130"/>
    <row r="112" ht="18.75" customHeight="1" s="130"/>
    <row r="113" ht="18.75" customHeight="1" s="130"/>
    <row r="114" ht="18.75" customHeight="1" s="130"/>
    <row r="115" ht="18.75" customHeight="1" s="130"/>
    <row r="116" ht="18.75" customHeight="1" s="130"/>
    <row r="117" ht="18.75" customHeight="1" s="130"/>
    <row r="118" ht="18.75" customHeight="1" s="130"/>
    <row r="119" ht="18.75" customHeight="1" s="130"/>
    <row r="120" ht="18.75" customHeight="1" s="130"/>
    <row r="121" ht="18.75" customHeight="1" s="130"/>
    <row r="122" ht="18.75" customHeight="1" s="130"/>
    <row r="123" ht="18.75" customHeight="1" s="130"/>
    <row r="124" ht="18.75" customHeight="1" s="130"/>
    <row r="125" ht="18.75" customHeight="1" s="130"/>
    <row r="126" ht="18.75" customHeight="1" s="130"/>
    <row r="127" ht="18.75" customHeight="1" s="130"/>
    <row r="128" ht="18.75" customHeight="1" s="130"/>
    <row r="129" ht="18.75" customHeight="1" s="130"/>
    <row r="130" ht="18.75" customHeight="1" s="130"/>
    <row r="131" ht="18.75" customHeight="1" s="130"/>
    <row r="132" ht="18.75" customHeight="1" s="130"/>
    <row r="133" ht="18.75" customHeight="1" s="130"/>
    <row r="134" ht="18.75" customHeight="1" s="130"/>
    <row r="135" ht="18.75" customHeight="1" s="130"/>
    <row r="136" ht="18.75" customHeight="1" s="130"/>
    <row r="137" ht="18.75" customHeight="1" s="130"/>
    <row r="138" ht="18.75" customHeight="1" s="130"/>
    <row r="139" ht="18.75" customHeight="1" s="130"/>
    <row r="140" ht="18.75" customHeight="1" s="130"/>
    <row r="141" ht="18.75" customHeight="1" s="130"/>
    <row r="142" ht="18.75" customHeight="1" s="130"/>
    <row r="143" ht="18.75" customHeight="1" s="130"/>
    <row r="144" ht="18.75" customHeight="1" s="130"/>
    <row r="145" ht="18.75" customHeight="1" s="130"/>
    <row r="146" ht="18.75" customHeight="1" s="130"/>
    <row r="147" ht="18.75" customHeight="1" s="130"/>
    <row r="148" ht="18.75" customHeight="1" s="130"/>
    <row r="149" ht="18.75" customHeight="1" s="130"/>
    <row r="150" ht="18.75" customHeight="1" s="130"/>
    <row r="151" ht="18.75" customHeight="1" s="130"/>
    <row r="152" ht="18.75" customHeight="1" s="130"/>
    <row r="153" ht="18.75" customHeight="1" s="130"/>
    <row r="154" ht="18.75" customHeight="1" s="130"/>
    <row r="155" ht="18.75" customHeight="1" s="130"/>
    <row r="156" ht="18.75" customHeight="1" s="130"/>
    <row r="157" ht="18.75" customHeight="1" s="130"/>
    <row r="158" ht="18.75" customHeight="1" s="130"/>
    <row r="159" ht="18.75" customHeight="1" s="130"/>
    <row r="160" ht="18.75" customHeight="1" s="130"/>
    <row r="161" ht="18.75" customHeight="1" s="130"/>
    <row r="162" ht="18.75" customHeight="1" s="130"/>
    <row r="163" ht="18.75" customHeight="1" s="130"/>
    <row r="164" ht="18.75" customHeight="1" s="130"/>
    <row r="165" ht="18.75" customHeight="1" s="130"/>
    <row r="166" ht="18.75" customHeight="1" s="130"/>
    <row r="167" ht="18.75" customHeight="1" s="130"/>
    <row r="168" ht="18.75" customHeight="1" s="130"/>
    <row r="169" ht="18.75" customHeight="1" s="130"/>
    <row r="170" ht="18.75" customHeight="1" s="130"/>
    <row r="171" ht="18.75" customHeight="1" s="130"/>
    <row r="172" ht="18.75" customHeight="1" s="130"/>
    <row r="173" ht="18.75" customHeight="1" s="130"/>
    <row r="174" ht="18.75" customHeight="1" s="130"/>
    <row r="175" ht="18.75" customHeight="1" s="130"/>
    <row r="176" ht="18.75" customHeight="1" s="130"/>
    <row r="177" ht="18.75" customHeight="1" s="130"/>
    <row r="178" ht="18.75" customHeight="1" s="130"/>
    <row r="179" ht="18.75" customHeight="1" s="130"/>
    <row r="180" ht="18.75" customHeight="1" s="130"/>
    <row r="181" ht="18.75" customHeight="1" s="130"/>
    <row r="182" ht="18.75" customHeight="1" s="130"/>
    <row r="183" ht="18.75" customHeight="1" s="130"/>
    <row r="184" ht="18.75" customHeight="1" s="130"/>
    <row r="185" ht="18.75" customHeight="1" s="130"/>
    <row r="186" ht="18.75" customHeight="1" s="130"/>
    <row r="187" ht="18.75" customHeight="1" s="130"/>
    <row r="188" ht="18.75" customHeight="1" s="130"/>
    <row r="189" ht="18.75" customHeight="1" s="130"/>
    <row r="190" ht="18.75" customHeight="1" s="130"/>
    <row r="191" ht="18.75" customHeight="1" s="130"/>
    <row r="192" ht="18.75" customHeight="1" s="130"/>
    <row r="193" ht="18.75" customHeight="1" s="130"/>
    <row r="194" ht="18.75" customHeight="1" s="130"/>
    <row r="195" ht="18.75" customHeight="1" s="130"/>
    <row r="196" ht="18.75" customHeight="1" s="130"/>
    <row r="197" ht="18.75" customHeight="1" s="130"/>
    <row r="198" ht="18.75" customHeight="1" s="130"/>
    <row r="199" ht="18.75" customHeight="1" s="130"/>
    <row r="200" ht="18.75" customHeight="1" s="130"/>
    <row r="201" ht="18.75" customHeight="1" s="130"/>
    <row r="202" ht="18.75" customHeight="1" s="130"/>
    <row r="203" ht="18.75" customHeight="1" s="130"/>
    <row r="204" ht="18.75" customHeight="1" s="130"/>
    <row r="205" ht="18.75" customHeight="1" s="130"/>
    <row r="206" ht="18.75" customHeight="1" s="130"/>
    <row r="207" ht="18.75" customHeight="1" s="130"/>
    <row r="208" ht="18.75" customHeight="1" s="130"/>
    <row r="209" ht="18.75" customHeight="1" s="130"/>
    <row r="210" ht="18.75" customHeight="1" s="130"/>
    <row r="211" ht="18.75" customHeight="1" s="130"/>
    <row r="212" ht="18.75" customHeight="1" s="130"/>
    <row r="213" ht="18.75" customHeight="1" s="130"/>
    <row r="214" ht="18.75" customHeight="1" s="130"/>
    <row r="215" ht="18.75" customHeight="1" s="130"/>
    <row r="216" ht="18.75" customHeight="1" s="130"/>
    <row r="217" ht="18.75" customHeight="1" s="130"/>
    <row r="218" ht="18.75" customHeight="1" s="130"/>
    <row r="219" ht="18.75" customHeight="1" s="130"/>
    <row r="220" ht="18.75" customHeight="1" s="130"/>
    <row r="221" ht="18.75" customHeight="1" s="130"/>
    <row r="222" ht="18.75" customHeight="1" s="130"/>
    <row r="223" ht="18.75" customHeight="1" s="130"/>
    <row r="224" ht="18.75" customHeight="1" s="130"/>
    <row r="225" ht="18.75" customHeight="1" s="130"/>
    <row r="226" ht="18.75" customHeight="1" s="130"/>
    <row r="227" ht="18.75" customHeight="1" s="130"/>
    <row r="228" ht="18.75" customHeight="1" s="130"/>
    <row r="229" ht="18.75" customHeight="1" s="130"/>
    <row r="230" ht="18.75" customHeight="1" s="130"/>
    <row r="231" ht="18.75" customHeight="1" s="130"/>
    <row r="232" ht="18.75" customHeight="1" s="130"/>
    <row r="233" ht="18.75" customHeight="1" s="130"/>
    <row r="234" ht="18.75" customHeight="1" s="130"/>
    <row r="235" ht="18.75" customHeight="1" s="130"/>
    <row r="236" ht="18.75" customHeight="1" s="130"/>
    <row r="237" ht="18.75" customHeight="1" s="130"/>
    <row r="238" ht="18.75" customHeight="1" s="130"/>
    <row r="239" ht="18.75" customHeight="1" s="130"/>
    <row r="240" ht="18.75" customHeight="1" s="130"/>
    <row r="241" ht="18.75" customHeight="1" s="130"/>
    <row r="242" ht="18.75" customHeight="1" s="130"/>
    <row r="243" ht="18.75" customHeight="1" s="130"/>
    <row r="244" ht="18.75" customHeight="1" s="130"/>
    <row r="245" ht="18.75" customHeight="1" s="130"/>
    <row r="246" ht="18.75" customHeight="1" s="130"/>
    <row r="247" ht="18.75" customHeight="1" s="130"/>
    <row r="248" ht="18.75" customHeight="1" s="130"/>
    <row r="249" ht="18.75" customHeight="1" s="130"/>
    <row r="250" ht="18.75" customHeight="1" s="130"/>
    <row r="251" ht="18.75" customHeight="1" s="130"/>
    <row r="252" ht="18.75" customHeight="1" s="130"/>
    <row r="253" ht="18.75" customHeight="1" s="130"/>
    <row r="254" ht="18.75" customHeight="1" s="130"/>
    <row r="255" ht="18.75" customHeight="1" s="130"/>
    <row r="256" ht="18.75" customHeight="1" s="130"/>
    <row r="257" ht="18.75" customHeight="1" s="130"/>
    <row r="258" ht="18.75" customHeight="1" s="130"/>
    <row r="259" ht="18.75" customHeight="1" s="130"/>
    <row r="260" ht="18.75" customHeight="1" s="130"/>
    <row r="261" ht="18.75" customHeight="1" s="130"/>
    <row r="262" ht="18.75" customHeight="1" s="130"/>
    <row r="263" ht="18.75" customHeight="1" s="130"/>
    <row r="264" ht="18.75" customHeight="1" s="130"/>
    <row r="265" ht="18.75" customHeight="1" s="130"/>
    <row r="266" ht="18.75" customHeight="1" s="130"/>
    <row r="267" ht="18.75" customHeight="1" s="130"/>
    <row r="268" ht="18.75" customHeight="1" s="130"/>
    <row r="269" ht="18.75" customHeight="1" s="130"/>
    <row r="270" ht="18.75" customHeight="1" s="130"/>
    <row r="271" ht="18.75" customHeight="1" s="130"/>
    <row r="272" ht="18.75" customHeight="1" s="130"/>
    <row r="273" ht="18.75" customHeight="1" s="130"/>
    <row r="274" ht="18.75" customHeight="1" s="130"/>
    <row r="275" ht="18.75" customHeight="1" s="130"/>
    <row r="276" ht="18.75" customHeight="1" s="130"/>
    <row r="277" ht="18.75" customHeight="1" s="130"/>
    <row r="278" ht="18.75" customHeight="1" s="130"/>
    <row r="279" ht="18.75" customHeight="1" s="130"/>
    <row r="280" ht="18.75" customHeight="1" s="130"/>
    <row r="281" ht="18.75" customHeight="1" s="130"/>
    <row r="282" ht="18.75" customHeight="1" s="130"/>
    <row r="283" ht="18.75" customHeight="1" s="130"/>
    <row r="284" ht="18.75" customHeight="1" s="130"/>
    <row r="285" ht="18.75" customHeight="1" s="130"/>
    <row r="286" ht="18.75" customHeight="1" s="130"/>
    <row r="287" ht="18.75" customHeight="1" s="130"/>
    <row r="288" ht="18.75" customHeight="1" s="130"/>
    <row r="289" ht="18.75" customHeight="1" s="130"/>
    <row r="290" ht="18.75" customHeight="1" s="130"/>
    <row r="291" ht="18.75" customHeight="1" s="130"/>
    <row r="292" ht="18.75" customHeight="1" s="130"/>
    <row r="293" ht="18.75" customHeight="1" s="130"/>
    <row r="294" ht="18.75" customHeight="1" s="130"/>
    <row r="295" ht="18.75" customHeight="1" s="130"/>
    <row r="296" ht="18.75" customHeight="1" s="130"/>
    <row r="297" ht="18.75" customHeight="1" s="130"/>
    <row r="298" ht="18.75" customHeight="1" s="130"/>
    <row r="299" ht="18.75" customHeight="1" s="130"/>
    <row r="300" ht="18.75" customHeight="1" s="130"/>
    <row r="301" ht="18.75" customHeight="1" s="130"/>
    <row r="302" ht="18.75" customHeight="1" s="130"/>
    <row r="303" ht="18.75" customHeight="1" s="130"/>
    <row r="304" ht="18.75" customHeight="1" s="130"/>
    <row r="305" ht="18.75" customHeight="1" s="130"/>
    <row r="306" ht="18.75" customHeight="1" s="130"/>
    <row r="307" ht="18.75" customHeight="1" s="130"/>
    <row r="308" ht="18.75" customHeight="1" s="130"/>
    <row r="309" ht="18.75" customHeight="1" s="130"/>
    <row r="310" ht="18.75" customHeight="1" s="130"/>
    <row r="311" ht="18.75" customHeight="1" s="130"/>
    <row r="312" ht="18.75" customHeight="1" s="130"/>
    <row r="313" ht="18.75" customHeight="1" s="130"/>
    <row r="314" ht="18.75" customHeight="1" s="130"/>
    <row r="315" ht="18.75" customHeight="1" s="130"/>
    <row r="316" ht="18.75" customHeight="1" s="130"/>
    <row r="317" ht="18.75" customHeight="1" s="130"/>
    <row r="318" ht="18.75" customHeight="1" s="130"/>
    <row r="319" ht="18.75" customHeight="1" s="130"/>
    <row r="320" ht="18.75" customHeight="1" s="130"/>
    <row r="321" ht="18.75" customHeight="1" s="130"/>
    <row r="322" ht="18.75" customHeight="1" s="130"/>
    <row r="323" ht="18.75" customHeight="1" s="130"/>
    <row r="324" ht="18.75" customHeight="1" s="130"/>
    <row r="325" ht="18.75" customHeight="1" s="130"/>
    <row r="326" ht="18.75" customHeight="1" s="130"/>
    <row r="327" ht="18.75" customHeight="1" s="130"/>
    <row r="328" ht="18.75" customHeight="1" s="130"/>
    <row r="329" ht="18.75" customHeight="1" s="130"/>
    <row r="330" ht="18.75" customHeight="1" s="130"/>
    <row r="331" ht="18.75" customHeight="1" s="130"/>
    <row r="332" ht="18.75" customHeight="1" s="130"/>
    <row r="333" ht="18.75" customHeight="1" s="130"/>
    <row r="334" ht="18.75" customHeight="1" s="130"/>
    <row r="335" ht="18.75" customHeight="1" s="130"/>
    <row r="336" ht="18.75" customHeight="1" s="130"/>
    <row r="337" ht="18.75" customHeight="1" s="130"/>
    <row r="338" ht="18.75" customHeight="1" s="130"/>
    <row r="339" ht="18.75" customHeight="1" s="130"/>
    <row r="340" ht="18.75" customHeight="1" s="130"/>
    <row r="341" ht="18.75" customHeight="1" s="130"/>
    <row r="342" ht="18.75" customHeight="1" s="130"/>
    <row r="343" ht="18.75" customHeight="1" s="130"/>
    <row r="344" ht="18.75" customHeight="1" s="130"/>
    <row r="345" ht="18.75" customHeight="1" s="130"/>
    <row r="346" ht="18.75" customHeight="1" s="130"/>
    <row r="347" ht="18.75" customHeight="1" s="130"/>
    <row r="348" ht="18.75" customHeight="1" s="130"/>
    <row r="349" ht="18.75" customHeight="1" s="130"/>
    <row r="350" ht="18.75" customHeight="1" s="130"/>
    <row r="351" ht="18.75" customHeight="1" s="130"/>
    <row r="352" ht="18.75" customHeight="1" s="130"/>
    <row r="353" ht="18.75" customHeight="1" s="130"/>
    <row r="354" ht="18.75" customHeight="1" s="130"/>
    <row r="355" ht="18.75" customHeight="1" s="130"/>
    <row r="356" ht="18.75" customHeight="1" s="130"/>
    <row r="357" ht="18.75" customHeight="1" s="130"/>
    <row r="358" ht="18.75" customHeight="1" s="130"/>
    <row r="359" ht="18.75" customHeight="1" s="130"/>
    <row r="360" ht="18.75" customHeight="1" s="130"/>
    <row r="361" ht="18.75" customHeight="1" s="130"/>
    <row r="362" ht="18.75" customHeight="1" s="130"/>
    <row r="363" ht="18.75" customHeight="1" s="130"/>
    <row r="364" ht="18.75" customHeight="1" s="130"/>
    <row r="365" ht="18.75" customHeight="1" s="130"/>
    <row r="366" ht="18.75" customHeight="1" s="130"/>
    <row r="367" ht="18.75" customHeight="1" s="130"/>
    <row r="368" ht="18.75" customHeight="1" s="130"/>
    <row r="369" ht="18.75" customHeight="1" s="130"/>
    <row r="370" ht="18.75" customHeight="1" s="130"/>
    <row r="371" ht="18.75" customHeight="1" s="130"/>
    <row r="372" ht="18.75" customHeight="1" s="130"/>
    <row r="373" ht="18.75" customHeight="1" s="130"/>
    <row r="374" ht="18.75" customHeight="1" s="130"/>
    <row r="375" ht="18.75" customHeight="1" s="130"/>
    <row r="376" ht="18.75" customHeight="1" s="130"/>
    <row r="377" ht="18.75" customHeight="1" s="130"/>
    <row r="378" ht="18.75" customHeight="1" s="130"/>
    <row r="379" ht="18.75" customHeight="1" s="130"/>
    <row r="380" ht="18.75" customHeight="1" s="130"/>
    <row r="381" ht="18.75" customHeight="1" s="130"/>
    <row r="382" ht="18.75" customHeight="1" s="130"/>
    <row r="383" ht="18.75" customHeight="1" s="130"/>
    <row r="384" ht="18.75" customHeight="1" s="130"/>
    <row r="385" ht="18.75" customHeight="1" s="130"/>
    <row r="386" ht="18.75" customHeight="1" s="130"/>
    <row r="387" ht="18.75" customHeight="1" s="130"/>
    <row r="388" ht="18.75" customHeight="1" s="130"/>
    <row r="389" ht="18.75" customHeight="1" s="130"/>
    <row r="390" ht="18.75" customHeight="1" s="130"/>
    <row r="391" ht="18.75" customHeight="1" s="130"/>
    <row r="392" ht="18.75" customHeight="1" s="130"/>
    <row r="393" ht="18.75" customHeight="1" s="130"/>
    <row r="394" ht="18.75" customHeight="1" s="130"/>
    <row r="395" ht="18.75" customHeight="1" s="130"/>
    <row r="396" ht="18.75" customHeight="1" s="130"/>
    <row r="397" ht="18.75" customHeight="1" s="130"/>
    <row r="398" ht="18.75" customHeight="1" s="130"/>
    <row r="399" ht="18.75" customHeight="1" s="130"/>
    <row r="400" ht="18.75" customHeight="1" s="130"/>
    <row r="401" ht="18.75" customHeight="1" s="130"/>
    <row r="402" ht="18.75" customHeight="1" s="130"/>
    <row r="403" ht="18.75" customHeight="1" s="130"/>
    <row r="404" ht="18.75" customHeight="1" s="130"/>
    <row r="405" ht="18.75" customHeight="1" s="130"/>
    <row r="406" ht="18.75" customHeight="1" s="130"/>
    <row r="407" ht="18.75" customHeight="1" s="130"/>
    <row r="408" ht="18.75" customHeight="1" s="130"/>
    <row r="409" ht="18.75" customHeight="1" s="130"/>
    <row r="410" ht="18.75" customHeight="1" s="130"/>
    <row r="411" ht="18.75" customHeight="1" s="130"/>
    <row r="412" ht="18.75" customHeight="1" s="130"/>
    <row r="413" ht="18.75" customHeight="1" s="130"/>
    <row r="414" ht="18.75" customHeight="1" s="130"/>
    <row r="415" ht="18.75" customHeight="1" s="130"/>
    <row r="416" ht="18.75" customHeight="1" s="130"/>
    <row r="417" ht="18.75" customHeight="1" s="130"/>
    <row r="418" ht="18.75" customHeight="1" s="130"/>
    <row r="419" ht="18.75" customHeight="1" s="130"/>
    <row r="420" ht="18.75" customHeight="1" s="130"/>
    <row r="421" ht="18.75" customHeight="1" s="130"/>
    <row r="422" ht="18.75" customHeight="1" s="130"/>
    <row r="423" ht="18.75" customHeight="1" s="130"/>
    <row r="424" ht="18.75" customHeight="1" s="130"/>
    <row r="425" ht="18.75" customHeight="1" s="130"/>
    <row r="426" ht="18.75" customHeight="1" s="130"/>
    <row r="427" ht="18.75" customHeight="1" s="130"/>
    <row r="428" ht="18.75" customHeight="1" s="130"/>
    <row r="429" ht="18.75" customHeight="1" s="130"/>
    <row r="430" ht="18.75" customHeight="1" s="130"/>
    <row r="431" ht="18.75" customHeight="1" s="130"/>
    <row r="432" ht="18.75" customHeight="1" s="130"/>
    <row r="433" ht="18.75" customHeight="1" s="130"/>
    <row r="434" ht="18.75" customHeight="1" s="130"/>
    <row r="435" ht="18.75" customHeight="1" s="130"/>
    <row r="436" ht="18.75" customHeight="1" s="130"/>
    <row r="437" ht="18.75" customHeight="1" s="130"/>
    <row r="438" ht="18.75" customHeight="1" s="130"/>
    <row r="439" ht="18.75" customHeight="1" s="130"/>
    <row r="440" ht="18.75" customHeight="1" s="130"/>
    <row r="441" ht="18.75" customHeight="1" s="130"/>
    <row r="442" ht="18.75" customHeight="1" s="130"/>
    <row r="443" ht="18.75" customHeight="1" s="130"/>
    <row r="444" ht="18.75" customHeight="1" s="130"/>
    <row r="445" ht="18.75" customHeight="1" s="130"/>
    <row r="446" ht="18.75" customHeight="1" s="130"/>
    <row r="447" ht="18.75" customHeight="1" s="130"/>
    <row r="448" ht="18.75" customHeight="1" s="130"/>
    <row r="449" ht="18.75" customHeight="1" s="130"/>
    <row r="450" ht="18.75" customHeight="1" s="130"/>
    <row r="451" ht="18.75" customHeight="1" s="130"/>
    <row r="452" ht="18.75" customHeight="1" s="130"/>
    <row r="453" ht="18.75" customHeight="1" s="130"/>
    <row r="454" ht="18.75" customHeight="1" s="130"/>
    <row r="455" ht="18.75" customHeight="1" s="130"/>
    <row r="456" ht="18.75" customHeight="1" s="130"/>
    <row r="457" ht="18.75" customHeight="1" s="130"/>
    <row r="458" ht="18.75" customHeight="1" s="130"/>
    <row r="459" ht="18.75" customHeight="1" s="130"/>
    <row r="460" ht="18.75" customHeight="1" s="130"/>
    <row r="461" ht="18.75" customHeight="1" s="130"/>
    <row r="462" ht="18.75" customHeight="1" s="130"/>
    <row r="463" ht="18.75" customHeight="1" s="130"/>
    <row r="464" ht="18.75" customHeight="1" s="130"/>
    <row r="465" ht="18.75" customHeight="1" s="130"/>
    <row r="466" ht="18.75" customHeight="1" s="130"/>
    <row r="467" ht="18.75" customHeight="1" s="130"/>
    <row r="468" ht="18.75" customHeight="1" s="130"/>
    <row r="469" ht="18.75" customHeight="1" s="130"/>
    <row r="470" ht="18.75" customHeight="1" s="130"/>
    <row r="471" ht="18.75" customHeight="1" s="130"/>
    <row r="472" ht="18.75" customHeight="1" s="130"/>
    <row r="473" ht="18.75" customHeight="1" s="130"/>
    <row r="474" ht="18.75" customHeight="1" s="130"/>
    <row r="475" ht="18.75" customHeight="1" s="130"/>
    <row r="476" ht="18.75" customHeight="1" s="130"/>
    <row r="477" ht="18.75" customHeight="1" s="130"/>
    <row r="478" ht="18.75" customHeight="1" s="130"/>
    <row r="479" ht="18.75" customHeight="1" s="130"/>
    <row r="480" ht="18.75" customHeight="1" s="130"/>
    <row r="481" ht="18.75" customHeight="1" s="130"/>
    <row r="482" ht="18.75" customHeight="1" s="130"/>
    <row r="483" ht="18.75" customHeight="1" s="130"/>
    <row r="484" ht="18.75" customHeight="1" s="130"/>
    <row r="485" ht="18.75" customHeight="1" s="130"/>
    <row r="486" ht="18.75" customHeight="1" s="130"/>
    <row r="487" ht="18.75" customHeight="1" s="130"/>
    <row r="488" ht="18.75" customHeight="1" s="130"/>
    <row r="489" ht="18.75" customHeight="1" s="130"/>
    <row r="490" ht="18.75" customHeight="1" s="130"/>
    <row r="491" ht="18.75" customHeight="1" s="130"/>
    <row r="492" ht="18.75" customHeight="1" s="130"/>
    <row r="493" ht="18.75" customHeight="1" s="130"/>
    <row r="494" ht="18.75" customHeight="1" s="130"/>
    <row r="495" ht="18.75" customHeight="1" s="130"/>
    <row r="496" ht="18.75" customHeight="1" s="130"/>
    <row r="497" ht="18.75" customHeight="1" s="130"/>
    <row r="498" ht="18.75" customHeight="1" s="130"/>
    <row r="499" ht="18.75" customHeight="1" s="130"/>
    <row r="500" ht="18.75" customHeight="1" s="130"/>
    <row r="501" ht="18.75" customHeight="1" s="130"/>
    <row r="502" ht="18.75" customHeight="1" s="130"/>
    <row r="503" ht="18.75" customHeight="1" s="130"/>
    <row r="504" ht="18.75" customHeight="1" s="130"/>
    <row r="505" ht="18.75" customHeight="1" s="130"/>
    <row r="506" ht="18.75" customHeight="1" s="130"/>
    <row r="507" ht="18.75" customHeight="1" s="130"/>
    <row r="508" ht="18.75" customHeight="1" s="130"/>
    <row r="509" ht="18.75" customHeight="1" s="130"/>
    <row r="510" ht="18.75" customHeight="1" s="130"/>
    <row r="511" ht="18.75" customHeight="1" s="130"/>
    <row r="512" ht="18.75" customHeight="1" s="130"/>
    <row r="513" ht="18.75" customHeight="1" s="130"/>
    <row r="514" ht="18.75" customHeight="1" s="130"/>
    <row r="515" ht="18.75" customHeight="1" s="130"/>
    <row r="516" ht="18.75" customHeight="1" s="130"/>
    <row r="517" ht="18.75" customHeight="1" s="130"/>
    <row r="518" ht="18.75" customHeight="1" s="130"/>
    <row r="519" ht="18.75" customHeight="1" s="130"/>
    <row r="520" ht="18.75" customHeight="1" s="130"/>
    <row r="521" ht="18.75" customHeight="1" s="130"/>
    <row r="522" ht="18.75" customHeight="1" s="130"/>
    <row r="523" ht="18.75" customHeight="1" s="130"/>
    <row r="524" ht="18.75" customHeight="1" s="130"/>
    <row r="525" ht="18.75" customHeight="1" s="130"/>
    <row r="526" ht="18.75" customHeight="1" s="130"/>
    <row r="527" ht="18.75" customHeight="1" s="130"/>
    <row r="528" ht="18.75" customHeight="1" s="130"/>
    <row r="529" ht="18.75" customHeight="1" s="130"/>
    <row r="530" ht="18.75" customHeight="1" s="130"/>
    <row r="531" ht="18.75" customHeight="1" s="130"/>
    <row r="532" ht="18.75" customHeight="1" s="130"/>
    <row r="533" ht="18.75" customHeight="1" s="130"/>
    <row r="534" ht="18.75" customHeight="1" s="130"/>
    <row r="535" ht="18.75" customHeight="1" s="130"/>
    <row r="536" ht="18.75" customHeight="1" s="130"/>
    <row r="537" ht="18.75" customHeight="1" s="130"/>
    <row r="538" ht="18.75" customHeight="1" s="130"/>
    <row r="539" ht="18.75" customHeight="1" s="130"/>
    <row r="540" ht="18.75" customHeight="1" s="130"/>
    <row r="541" ht="18.75" customHeight="1" s="130"/>
    <row r="542" ht="18.75" customHeight="1" s="130"/>
    <row r="543" ht="18.75" customHeight="1" s="130"/>
    <row r="544" ht="18.75" customHeight="1" s="130"/>
    <row r="545" ht="18.75" customHeight="1" s="130"/>
    <row r="546" ht="18.75" customHeight="1" s="130"/>
    <row r="547" ht="18.75" customHeight="1" s="130"/>
    <row r="548" ht="18.75" customHeight="1" s="130"/>
    <row r="549" ht="18.75" customHeight="1" s="130"/>
    <row r="550" ht="18.75" customHeight="1" s="130"/>
    <row r="551" ht="18.75" customHeight="1" s="130"/>
    <row r="552" ht="18.75" customHeight="1" s="130"/>
    <row r="553" ht="18.75" customHeight="1" s="130"/>
    <row r="554" ht="18.75" customHeight="1" s="130"/>
    <row r="555" ht="18.75" customHeight="1" s="130"/>
    <row r="556" ht="18.75" customHeight="1" s="130"/>
    <row r="557" ht="18.75" customHeight="1" s="130"/>
    <row r="558" ht="18.75" customHeight="1" s="130"/>
    <row r="559" ht="18.75" customHeight="1" s="130"/>
    <row r="560" ht="18.75" customHeight="1" s="130"/>
    <row r="561" ht="18.75" customHeight="1" s="130"/>
    <row r="562" ht="18.75" customHeight="1" s="130"/>
    <row r="563" ht="18.75" customHeight="1" s="130"/>
    <row r="564" ht="18.75" customHeight="1" s="130"/>
    <row r="565" ht="18.75" customHeight="1" s="130"/>
    <row r="566" ht="18.75" customHeight="1" s="130"/>
    <row r="567" ht="18.75" customHeight="1" s="130"/>
    <row r="568" ht="18.75" customHeight="1" s="130"/>
    <row r="569" ht="18.75" customHeight="1" s="130"/>
    <row r="570" ht="18.75" customHeight="1" s="130"/>
    <row r="571" ht="18.75" customHeight="1" s="130"/>
    <row r="572" ht="18.75" customHeight="1" s="130"/>
    <row r="573" ht="18.75" customHeight="1" s="130"/>
    <row r="574" ht="18.75" customHeight="1" s="130"/>
    <row r="575" ht="18.75" customHeight="1" s="130"/>
    <row r="576" ht="18.75" customHeight="1" s="130"/>
    <row r="577" ht="18.75" customHeight="1" s="130"/>
    <row r="578" ht="18.75" customHeight="1" s="130"/>
    <row r="579" ht="18.75" customHeight="1" s="130"/>
    <row r="580" ht="18.75" customHeight="1" s="130"/>
    <row r="581" ht="18.75" customHeight="1" s="130"/>
    <row r="582" ht="18.75" customHeight="1" s="130"/>
    <row r="583" ht="18.75" customHeight="1" s="130"/>
    <row r="584" ht="18.75" customHeight="1" s="130"/>
    <row r="585" ht="18.75" customHeight="1" s="130"/>
    <row r="586" ht="18.75" customHeight="1" s="130"/>
    <row r="587" ht="18.75" customHeight="1" s="130"/>
    <row r="588" ht="18.75" customHeight="1" s="130"/>
    <row r="589" ht="18.75" customHeight="1" s="130"/>
    <row r="590" ht="18.75" customHeight="1" s="130"/>
    <row r="591" ht="18.75" customHeight="1" s="130"/>
    <row r="592" ht="18.75" customHeight="1" s="130"/>
    <row r="593" ht="18.75" customHeight="1" s="130"/>
    <row r="594" ht="18.75" customHeight="1" s="130"/>
    <row r="595" ht="18.75" customHeight="1" s="130"/>
    <row r="596" ht="18.75" customHeight="1" s="130"/>
    <row r="597" ht="18.75" customHeight="1" s="130"/>
    <row r="598" ht="18.75" customHeight="1" s="130"/>
    <row r="599" ht="18.75" customHeight="1" s="130"/>
    <row r="600" ht="18.75" customHeight="1" s="130"/>
    <row r="601" ht="18.75" customHeight="1" s="130"/>
    <row r="602" ht="18.75" customHeight="1" s="130"/>
    <row r="603" ht="18.75" customHeight="1" s="130"/>
    <row r="604" ht="18.75" customHeight="1" s="130"/>
    <row r="605" ht="18.75" customHeight="1" s="130"/>
    <row r="606" ht="18.75" customHeight="1" s="130"/>
    <row r="607" ht="18.75" customHeight="1" s="130"/>
    <row r="608" ht="18.75" customHeight="1" s="130"/>
    <row r="609" ht="18.75" customHeight="1" s="130"/>
    <row r="610" ht="18.75" customHeight="1" s="130"/>
    <row r="611" ht="18.75" customHeight="1" s="130"/>
    <row r="612" ht="18.75" customHeight="1" s="130"/>
    <row r="613" ht="18.75" customHeight="1" s="130"/>
    <row r="614" ht="18.75" customHeight="1" s="130"/>
    <row r="615" ht="18.75" customHeight="1" s="130"/>
    <row r="616" ht="18.75" customHeight="1" s="130"/>
    <row r="617" ht="18.75" customHeight="1" s="130"/>
    <row r="618" ht="18.75" customHeight="1" s="130"/>
    <row r="619" ht="18.75" customHeight="1" s="130"/>
    <row r="620" ht="18.75" customHeight="1" s="130"/>
    <row r="621" ht="18.75" customHeight="1" s="130"/>
    <row r="622" ht="18.75" customHeight="1" s="130"/>
    <row r="623" ht="18.75" customHeight="1" s="130"/>
    <row r="624" ht="18.75" customHeight="1" s="130"/>
    <row r="625" ht="18.75" customHeight="1" s="130"/>
    <row r="626" ht="18.75" customHeight="1" s="130"/>
    <row r="627" ht="18.75" customHeight="1" s="130"/>
    <row r="628" ht="18.75" customHeight="1" s="130"/>
    <row r="629" ht="18.75" customHeight="1" s="130"/>
    <row r="630" ht="18.75" customHeight="1" s="130"/>
    <row r="631" ht="18.75" customHeight="1" s="130"/>
    <row r="632" ht="18.75" customHeight="1" s="130"/>
    <row r="633" ht="18.75" customHeight="1" s="130"/>
    <row r="634" ht="18.75" customHeight="1" s="130"/>
    <row r="635" ht="18.75" customHeight="1" s="130"/>
    <row r="636" ht="18.75" customHeight="1" s="130"/>
    <row r="637" ht="18.75" customHeight="1" s="130"/>
    <row r="638" ht="18.75" customHeight="1" s="130"/>
    <row r="639" ht="18.75" customHeight="1" s="130"/>
    <row r="640" ht="18.75" customHeight="1" s="130"/>
    <row r="641" ht="18.75" customHeight="1" s="130"/>
    <row r="642" ht="18.75" customHeight="1" s="130"/>
    <row r="643" ht="18.75" customHeight="1" s="130"/>
    <row r="644" ht="18.75" customHeight="1" s="130"/>
    <row r="645" ht="18.75" customHeight="1" s="130"/>
    <row r="646" ht="18.75" customHeight="1" s="130"/>
    <row r="647" ht="18.75" customHeight="1" s="130"/>
    <row r="648" ht="18.75" customHeight="1" s="130"/>
    <row r="649" ht="18.75" customHeight="1" s="130"/>
    <row r="650" ht="18.75" customHeight="1" s="130"/>
    <row r="651" ht="18.75" customHeight="1" s="130"/>
    <row r="652" ht="18.75" customHeight="1" s="130"/>
    <row r="653" ht="18.75" customHeight="1" s="130"/>
    <row r="654" ht="18.75" customHeight="1" s="130"/>
    <row r="655" ht="18.75" customHeight="1" s="130"/>
    <row r="656" ht="18.75" customHeight="1" s="130"/>
    <row r="657" ht="18.75" customHeight="1" s="130"/>
    <row r="658" ht="18.75" customHeight="1" s="130"/>
    <row r="659" ht="18.75" customHeight="1" s="130"/>
    <row r="660" ht="18.75" customHeight="1" s="130"/>
    <row r="661" ht="18.75" customHeight="1" s="130"/>
    <row r="662" ht="18.75" customHeight="1" s="130"/>
    <row r="663" ht="18.75" customHeight="1" s="130"/>
    <row r="664" ht="18.75" customHeight="1" s="130"/>
    <row r="665" ht="18.75" customHeight="1" s="130"/>
    <row r="666" ht="18.75" customHeight="1" s="130"/>
    <row r="667" ht="18.75" customHeight="1" s="130"/>
    <row r="668" ht="18.75" customHeight="1" s="130"/>
    <row r="669" ht="18.75" customHeight="1" s="130"/>
    <row r="670" ht="18.75" customHeight="1" s="130"/>
    <row r="671" ht="18.75" customHeight="1" s="130"/>
    <row r="672" ht="18.75" customHeight="1" s="130"/>
    <row r="673" ht="18.75" customHeight="1" s="130"/>
    <row r="674" ht="18.75" customHeight="1" s="130"/>
    <row r="675" ht="18.75" customHeight="1" s="130"/>
    <row r="676" ht="18.75" customHeight="1" s="130"/>
    <row r="677" ht="18.75" customHeight="1" s="130"/>
    <row r="678" ht="18.75" customHeight="1" s="130"/>
    <row r="679" ht="18.75" customHeight="1" s="130"/>
    <row r="680" ht="18.75" customHeight="1" s="130"/>
    <row r="681" ht="18.75" customHeight="1" s="130"/>
    <row r="682" ht="18.75" customHeight="1" s="130"/>
    <row r="683" ht="18.75" customHeight="1" s="130"/>
    <row r="684" ht="18.75" customHeight="1" s="130"/>
    <row r="685" ht="18.75" customHeight="1" s="130"/>
    <row r="686" ht="18.75" customHeight="1" s="130"/>
    <row r="687" ht="18.75" customHeight="1" s="130"/>
    <row r="688" ht="18.75" customHeight="1" s="130"/>
    <row r="689" ht="18.75" customHeight="1" s="130"/>
    <row r="690" ht="18.75" customHeight="1" s="130"/>
    <row r="691" ht="18.75" customHeight="1" s="130"/>
    <row r="692" ht="18.75" customHeight="1" s="130"/>
    <row r="693" ht="18.75" customHeight="1" s="130"/>
    <row r="694" ht="18.75" customHeight="1" s="130"/>
    <row r="695" ht="18.75" customHeight="1" s="130"/>
    <row r="696" ht="18.75" customHeight="1" s="130"/>
    <row r="697" ht="18.75" customHeight="1" s="130"/>
    <row r="698" ht="18.75" customHeight="1" s="130"/>
    <row r="699" ht="18.75" customHeight="1" s="130"/>
    <row r="700" ht="18.75" customHeight="1" s="130"/>
    <row r="701" ht="18.75" customHeight="1" s="130"/>
    <row r="702" ht="18.75" customHeight="1" s="130"/>
    <row r="703" ht="18.75" customHeight="1" s="130"/>
    <row r="704" ht="18.75" customHeight="1" s="130"/>
    <row r="705" ht="18.75" customHeight="1" s="130"/>
    <row r="706" ht="18.75" customHeight="1" s="130"/>
    <row r="707" ht="18.75" customHeight="1" s="130"/>
    <row r="708" ht="18.75" customHeight="1" s="130"/>
    <row r="709" ht="18.75" customHeight="1" s="130"/>
    <row r="710" ht="18.75" customHeight="1" s="130"/>
    <row r="711" ht="18.75" customHeight="1" s="130"/>
    <row r="712" ht="18.75" customHeight="1" s="130"/>
    <row r="713" ht="18.75" customHeight="1" s="130"/>
    <row r="714" ht="18.75" customHeight="1" s="130"/>
    <row r="715" ht="18.75" customHeight="1" s="130"/>
    <row r="716" ht="18.75" customHeight="1" s="130"/>
    <row r="717" ht="18.75" customHeight="1" s="130"/>
    <row r="718" ht="18.75" customHeight="1" s="130"/>
    <row r="719" ht="18.75" customHeight="1" s="130"/>
    <row r="720" ht="18.75" customHeight="1" s="130"/>
    <row r="721" ht="18.75" customHeight="1" s="130"/>
    <row r="722" ht="18.75" customHeight="1" s="130"/>
    <row r="723" ht="18.75" customHeight="1" s="130"/>
    <row r="724" ht="18.75" customHeight="1" s="130"/>
    <row r="725" ht="18.75" customHeight="1" s="130"/>
    <row r="726" ht="18.75" customHeight="1" s="130"/>
    <row r="727" ht="18.75" customHeight="1" s="130"/>
    <row r="728" ht="18.75" customHeight="1" s="130"/>
    <row r="729" ht="18.75" customHeight="1" s="130"/>
    <row r="730" ht="18.75" customHeight="1" s="130"/>
    <row r="731" ht="18.75" customHeight="1" s="130"/>
    <row r="732" ht="18.75" customHeight="1" s="130"/>
    <row r="733" ht="18.75" customHeight="1" s="130"/>
    <row r="734" ht="18.75" customHeight="1" s="130"/>
    <row r="735" ht="18.75" customHeight="1" s="130"/>
    <row r="736" ht="18.75" customHeight="1" s="130"/>
    <row r="737" ht="18.75" customHeight="1" s="130"/>
    <row r="738" ht="18.75" customHeight="1" s="130"/>
    <row r="739" ht="18.75" customHeight="1" s="130"/>
    <row r="740" ht="18.75" customHeight="1" s="130"/>
    <row r="741" ht="18.75" customHeight="1" s="130"/>
    <row r="742" ht="18.75" customHeight="1" s="130"/>
    <row r="743" ht="18.75" customHeight="1" s="130"/>
    <row r="744" ht="18.75" customHeight="1" s="130"/>
    <row r="745" ht="18.75" customHeight="1" s="130"/>
    <row r="746" ht="18.75" customHeight="1" s="130"/>
    <row r="747" ht="18.75" customHeight="1" s="130"/>
    <row r="748" ht="18.75" customHeight="1" s="130"/>
    <row r="749" ht="18.75" customHeight="1" s="130"/>
    <row r="750" ht="18.75" customHeight="1" s="130"/>
    <row r="751" ht="18.75" customHeight="1" s="130"/>
    <row r="752" ht="18.75" customHeight="1" s="130"/>
    <row r="753" ht="18.75" customHeight="1" s="130"/>
    <row r="754" ht="18.75" customHeight="1" s="130"/>
    <row r="755" ht="18.75" customHeight="1" s="130"/>
    <row r="756" ht="18.75" customHeight="1" s="130"/>
    <row r="757" ht="18.75" customHeight="1" s="130"/>
    <row r="758" ht="18.75" customHeight="1" s="130"/>
    <row r="759" ht="18.75" customHeight="1" s="130"/>
    <row r="760" ht="18.75" customHeight="1" s="130"/>
    <row r="761" ht="18.75" customHeight="1" s="130"/>
    <row r="762" ht="18.75" customHeight="1" s="130"/>
    <row r="763" ht="18.75" customHeight="1" s="130"/>
    <row r="764" ht="18.75" customHeight="1" s="130"/>
    <row r="765" ht="18.75" customHeight="1" s="130"/>
    <row r="766" ht="18.75" customHeight="1" s="130"/>
    <row r="767" ht="18.75" customHeight="1" s="130"/>
    <row r="768" ht="18.75" customHeight="1" s="130"/>
    <row r="769" ht="18.75" customHeight="1" s="130"/>
    <row r="770" ht="18.75" customHeight="1" s="130"/>
    <row r="771" ht="18.75" customHeight="1" s="130"/>
    <row r="772" ht="18.75" customHeight="1" s="130"/>
    <row r="773" ht="18.75" customHeight="1" s="130"/>
    <row r="774" ht="18.75" customHeight="1" s="130"/>
    <row r="775" ht="18.75" customHeight="1" s="130"/>
    <row r="776" ht="18.75" customHeight="1" s="130"/>
    <row r="777" ht="18.75" customHeight="1" s="130"/>
    <row r="778" ht="18.75" customHeight="1" s="130"/>
    <row r="779" ht="18.75" customHeight="1" s="130"/>
    <row r="780" ht="18.75" customHeight="1" s="130"/>
    <row r="781" ht="18.75" customHeight="1" s="130"/>
    <row r="782" ht="18.75" customHeight="1" s="130"/>
    <row r="783" ht="18.75" customHeight="1" s="130"/>
    <row r="784" ht="18.75" customHeight="1" s="130"/>
    <row r="785" ht="18.75" customHeight="1" s="130"/>
    <row r="786" ht="18.75" customHeight="1" s="130"/>
    <row r="787" ht="18.75" customHeight="1" s="130"/>
    <row r="788" ht="18.75" customHeight="1" s="130"/>
    <row r="789" ht="18.75" customHeight="1" s="130"/>
    <row r="790" ht="18.75" customHeight="1" s="130"/>
    <row r="791" ht="18.75" customHeight="1" s="130"/>
    <row r="792" ht="18.75" customHeight="1" s="130"/>
    <row r="793" ht="18.75" customHeight="1" s="130"/>
    <row r="794" ht="18.75" customHeight="1" s="130"/>
    <row r="795" ht="18.75" customHeight="1" s="130"/>
    <row r="796" ht="18.75" customHeight="1" s="130"/>
    <row r="797" ht="18.75" customHeight="1" s="130"/>
    <row r="798" ht="18.75" customHeight="1" s="130"/>
    <row r="799" ht="18.75" customHeight="1" s="130"/>
    <row r="800" ht="18.75" customHeight="1" s="130"/>
    <row r="801" ht="18.75" customHeight="1" s="130"/>
    <row r="802" ht="18.75" customHeight="1" s="130"/>
    <row r="803" ht="18.75" customHeight="1" s="130"/>
    <row r="804" ht="18.75" customHeight="1" s="130"/>
    <row r="805" ht="18.75" customHeight="1" s="130"/>
    <row r="806" ht="18.75" customHeight="1" s="130"/>
    <row r="807" ht="18.75" customHeight="1" s="130"/>
    <row r="808" ht="18.75" customHeight="1" s="130"/>
    <row r="809" ht="18.75" customHeight="1" s="130"/>
    <row r="810" ht="18.75" customHeight="1" s="130"/>
    <row r="811" ht="18.75" customHeight="1" s="130"/>
    <row r="812" ht="18.75" customHeight="1" s="130"/>
    <row r="813" ht="18.75" customHeight="1" s="130"/>
    <row r="814" ht="18.75" customHeight="1" s="130"/>
    <row r="815" ht="18.75" customHeight="1" s="130"/>
    <row r="816" ht="18.75" customHeight="1" s="130"/>
    <row r="817" ht="18.75" customHeight="1" s="130"/>
    <row r="818" ht="18.75" customHeight="1" s="130"/>
    <row r="819" ht="18.75" customHeight="1" s="130"/>
    <row r="820" ht="18.75" customHeight="1" s="130"/>
    <row r="821" ht="18.75" customHeight="1" s="130"/>
    <row r="822" ht="18.75" customHeight="1" s="130"/>
    <row r="823" ht="18.75" customHeight="1" s="130"/>
    <row r="824" ht="18.75" customHeight="1" s="130"/>
    <row r="825" ht="18.75" customHeight="1" s="130"/>
    <row r="826" ht="18.75" customHeight="1" s="130"/>
    <row r="827" ht="18.75" customHeight="1" s="130"/>
    <row r="828" ht="18.75" customHeight="1" s="130"/>
    <row r="829" ht="18.75" customHeight="1" s="130"/>
    <row r="830" ht="18.75" customHeight="1" s="130"/>
    <row r="831" ht="18.75" customHeight="1" s="130"/>
    <row r="832" ht="18.75" customHeight="1" s="130"/>
    <row r="833" ht="18.75" customHeight="1" s="130"/>
    <row r="834" ht="18.75" customHeight="1" s="130"/>
    <row r="835" ht="18.75" customHeight="1" s="130"/>
    <row r="836" ht="18.75" customHeight="1" s="130"/>
    <row r="837" ht="18.75" customHeight="1" s="130"/>
    <row r="838" ht="18.75" customHeight="1" s="130"/>
    <row r="839" ht="18.75" customHeight="1" s="130"/>
    <row r="840" ht="18.75" customHeight="1" s="130"/>
    <row r="841" ht="18.75" customHeight="1" s="130"/>
    <row r="842" ht="18.75" customHeight="1" s="130"/>
    <row r="843" ht="18.75" customHeight="1" s="130"/>
    <row r="844" ht="18.75" customHeight="1" s="130"/>
    <row r="845" ht="18.75" customHeight="1" s="130"/>
    <row r="846" ht="18.75" customHeight="1" s="130"/>
    <row r="847" ht="18.75" customHeight="1" s="130"/>
    <row r="848" ht="18.75" customHeight="1" s="130"/>
    <row r="849" ht="18.75" customHeight="1" s="130"/>
    <row r="850" ht="18.75" customHeight="1" s="130"/>
    <row r="851" ht="18.75" customHeight="1" s="130"/>
    <row r="852" ht="18.75" customHeight="1" s="130"/>
    <row r="853" ht="18.75" customHeight="1" s="130"/>
    <row r="854" ht="18.75" customHeight="1" s="130"/>
    <row r="855" ht="18.75" customHeight="1" s="130"/>
    <row r="856" ht="18.75" customHeight="1" s="130"/>
    <row r="857" ht="18.75" customHeight="1" s="130"/>
    <row r="858" ht="18.75" customHeight="1" s="130"/>
    <row r="859" ht="18.75" customHeight="1" s="130"/>
    <row r="860" ht="18.75" customHeight="1" s="130"/>
    <row r="861" ht="18.75" customHeight="1" s="130"/>
    <row r="862" ht="18.75" customHeight="1" s="130"/>
    <row r="863" ht="18.75" customHeight="1" s="130"/>
    <row r="864" ht="18.75" customHeight="1" s="130"/>
    <row r="865" ht="18.75" customHeight="1" s="130"/>
    <row r="866" ht="18.75" customHeight="1" s="130"/>
    <row r="867" ht="18.75" customHeight="1" s="130"/>
    <row r="868" ht="18.75" customHeight="1" s="130"/>
    <row r="869" ht="18.75" customHeight="1" s="130"/>
    <row r="870" ht="18.75" customHeight="1" s="130"/>
    <row r="871" ht="18.75" customHeight="1" s="130"/>
    <row r="872" ht="18.75" customHeight="1" s="130"/>
    <row r="873" ht="18.75" customHeight="1" s="130"/>
    <row r="874" ht="18.75" customHeight="1" s="130"/>
    <row r="875" ht="18.75" customHeight="1" s="130"/>
    <row r="876" ht="18.75" customHeight="1" s="130"/>
    <row r="877" ht="18.75" customHeight="1" s="130"/>
    <row r="878" ht="18.75" customHeight="1" s="130"/>
    <row r="879" ht="18.75" customHeight="1" s="130"/>
    <row r="880" ht="18.75" customHeight="1" s="130"/>
    <row r="881" ht="18.75" customHeight="1" s="130"/>
    <row r="882" ht="18.75" customHeight="1" s="130"/>
    <row r="883" ht="18.75" customHeight="1" s="130"/>
    <row r="884" ht="18.75" customHeight="1" s="130"/>
    <row r="885" ht="18.75" customHeight="1" s="130"/>
    <row r="886" ht="18.75" customHeight="1" s="130"/>
    <row r="887" ht="18.75" customHeight="1" s="130"/>
    <row r="888" ht="18.75" customHeight="1" s="130"/>
    <row r="889" ht="18.75" customHeight="1" s="130"/>
    <row r="890" ht="18.75" customHeight="1" s="130"/>
    <row r="891" ht="18.75" customHeight="1" s="130"/>
    <row r="892" ht="18.75" customHeight="1" s="130"/>
    <row r="893" ht="18.75" customHeight="1" s="130"/>
    <row r="894" ht="18.75" customHeight="1" s="130"/>
    <row r="895" ht="18.75" customHeight="1" s="130"/>
    <row r="896" ht="18.75" customHeight="1" s="130"/>
    <row r="897" ht="18.75" customHeight="1" s="130"/>
    <row r="898" ht="18.75" customHeight="1" s="130"/>
    <row r="899" ht="18.75" customHeight="1" s="130"/>
    <row r="900" ht="18.75" customHeight="1" s="130"/>
    <row r="901" ht="18.75" customHeight="1" s="130"/>
    <row r="902" ht="18.75" customHeight="1" s="130"/>
    <row r="903" ht="18.75" customHeight="1" s="130"/>
    <row r="904" ht="18.75" customHeight="1" s="130"/>
    <row r="905" ht="18.75" customHeight="1" s="130"/>
    <row r="906" ht="18.75" customHeight="1" s="130"/>
    <row r="907" ht="18.75" customHeight="1" s="130"/>
    <row r="908" ht="18.75" customHeight="1" s="130"/>
    <row r="909" ht="18.75" customHeight="1" s="130"/>
    <row r="910" ht="18.75" customHeight="1" s="130"/>
    <row r="911" ht="18.75" customHeight="1" s="130"/>
    <row r="912" ht="18.75" customHeight="1" s="130"/>
    <row r="913" ht="18.75" customHeight="1" s="130"/>
    <row r="914" ht="18.75" customHeight="1" s="130"/>
    <row r="915" ht="18.75" customHeight="1" s="130"/>
    <row r="916" ht="18.75" customHeight="1" s="130"/>
    <row r="917" ht="18.75" customHeight="1" s="130"/>
    <row r="918" ht="18.75" customHeight="1" s="130"/>
    <row r="919" ht="18.75" customHeight="1" s="130"/>
    <row r="920" ht="18.75" customHeight="1" s="130"/>
    <row r="921" ht="18.75" customHeight="1" s="130"/>
    <row r="922" ht="18.75" customHeight="1" s="130"/>
    <row r="923" ht="18.75" customHeight="1" s="130"/>
    <row r="924" ht="18.75" customHeight="1" s="130"/>
    <row r="925" ht="18.75" customHeight="1" s="130"/>
    <row r="926" ht="18.75" customHeight="1" s="130"/>
    <row r="927" ht="18.75" customHeight="1" s="130"/>
    <row r="928" ht="18.75" customHeight="1" s="130"/>
    <row r="929" ht="18.75" customHeight="1" s="130"/>
    <row r="930" ht="18.75" customHeight="1" s="130"/>
    <row r="931" ht="18.75" customHeight="1" s="130"/>
    <row r="932" ht="18.75" customHeight="1" s="130"/>
    <row r="933" ht="18.75" customHeight="1" s="130"/>
    <row r="934" ht="18.75" customHeight="1" s="130"/>
    <row r="935" ht="18.75" customHeight="1" s="130"/>
    <row r="936" ht="18.75" customHeight="1" s="130"/>
    <row r="937" ht="18.75" customHeight="1" s="130"/>
    <row r="938" ht="18.75" customHeight="1" s="130"/>
    <row r="939" ht="18.75" customHeight="1" s="130"/>
    <row r="940" ht="18.75" customHeight="1" s="130"/>
    <row r="941" ht="18.75" customHeight="1" s="130"/>
    <row r="942" ht="18.75" customHeight="1" s="130"/>
    <row r="943" ht="18.75" customHeight="1" s="130"/>
    <row r="944" ht="18.75" customHeight="1" s="130"/>
    <row r="945" ht="18.75" customHeight="1" s="130"/>
    <row r="946" ht="18.75" customHeight="1" s="130"/>
    <row r="947" ht="18.75" customHeight="1" s="130"/>
    <row r="948" ht="18.75" customHeight="1" s="130"/>
    <row r="949" ht="18.75" customHeight="1" s="130"/>
    <row r="950" ht="18.75" customHeight="1" s="130"/>
    <row r="951" ht="18.75" customHeight="1" s="130"/>
    <row r="952" ht="18.75" customHeight="1" s="130"/>
    <row r="953" ht="18.75" customHeight="1" s="130"/>
    <row r="954" ht="18.75" customHeight="1" s="130"/>
    <row r="955" ht="18.75" customHeight="1" s="130"/>
    <row r="956" ht="18.75" customHeight="1" s="130"/>
    <row r="957" ht="18.75" customHeight="1" s="130"/>
    <row r="958" ht="18.75" customHeight="1" s="130"/>
    <row r="959" ht="18.75" customHeight="1" s="130"/>
    <row r="960" ht="18.75" customHeight="1" s="130"/>
    <row r="961" ht="18.75" customHeight="1" s="130"/>
    <row r="962" ht="18.75" customHeight="1" s="130"/>
    <row r="963" ht="18.75" customHeight="1" s="130"/>
    <row r="964" ht="18.75" customHeight="1" s="130"/>
    <row r="965" ht="18.75" customHeight="1" s="130"/>
    <row r="966" ht="18.75" customHeight="1" s="130"/>
    <row r="967" ht="18.75" customHeight="1" s="130"/>
    <row r="968" ht="18.75" customHeight="1" s="130"/>
    <row r="969" ht="18.75" customHeight="1" s="130"/>
    <row r="970" ht="18.75" customHeight="1" s="130"/>
    <row r="971" ht="18.75" customHeight="1" s="130"/>
    <row r="972" ht="18.75" customHeight="1" s="130"/>
    <row r="973" ht="18.75" customHeight="1" s="130"/>
    <row r="974" ht="18.75" customHeight="1" s="130"/>
    <row r="975" ht="18.75" customHeight="1" s="130"/>
    <row r="976" ht="18.75" customHeight="1" s="130"/>
    <row r="977" ht="18.75" customHeight="1" s="130"/>
    <row r="978" ht="18.75" customHeight="1" s="130"/>
    <row r="979" ht="18.75" customHeight="1" s="130"/>
    <row r="980" ht="18.75" customHeight="1" s="130"/>
    <row r="981" ht="18.75" customHeight="1" s="130"/>
    <row r="982" ht="18.75" customHeight="1" s="130"/>
    <row r="983" ht="18.75" customHeight="1" s="130"/>
    <row r="984" ht="18.75" customHeight="1" s="130"/>
    <row r="985" ht="18.75" customHeight="1" s="130"/>
    <row r="986" ht="18.75" customHeight="1" s="130"/>
    <row r="987" ht="18.75" customHeight="1" s="130"/>
    <row r="988" ht="18.75" customHeight="1" s="130"/>
    <row r="989" ht="18.75" customHeight="1" s="130"/>
    <row r="990" ht="18.75" customHeight="1" s="130"/>
    <row r="991" ht="18.75" customHeight="1" s="130"/>
    <row r="992" ht="18.75" customHeight="1" s="130"/>
    <row r="993" ht="18.75" customHeight="1" s="130"/>
    <row r="994" ht="18.75" customHeight="1" s="130"/>
    <row r="995" ht="18.75" customHeight="1" s="130"/>
    <row r="996" ht="18.75" customHeight="1" s="130"/>
    <row r="997" ht="18.75" customHeight="1" s="130"/>
    <row r="998" ht="18.75" customHeight="1" s="130"/>
    <row r="999" ht="18.75" customHeight="1" s="130"/>
    <row r="1000" ht="18.75" customHeight="1" s="130"/>
    <row r="1001" ht="18.75" customHeight="1" s="130"/>
    <row r="1002" ht="18.75" customHeight="1" s="130"/>
    <row r="1003" ht="18.75" customHeight="1" s="130"/>
    <row r="1004" ht="18.75" customHeight="1" s="130"/>
    <row r="1005" ht="18.75" customHeight="1" s="130"/>
    <row r="1006" ht="18.75" customHeight="1" s="130"/>
    <row r="1007" ht="18.75" customHeight="1" s="130"/>
    <row r="1008" ht="18.75" customHeight="1" s="130"/>
    <row r="1009" ht="18.75" customHeight="1" s="130"/>
    <row r="1010" ht="18.75" customHeight="1" s="130"/>
    <row r="1011" ht="18.75" customHeight="1" s="130"/>
    <row r="1012" ht="18.75" customHeight="1" s="130"/>
    <row r="1013" ht="18.75" customHeight="1" s="130"/>
    <row r="1014" ht="18.75" customHeight="1" s="130"/>
    <row r="1015" ht="18.75" customHeight="1" s="130"/>
    <row r="1016" ht="18.75" customHeight="1" s="130"/>
    <row r="1017" ht="18.75" customHeight="1" s="130"/>
    <row r="1018" ht="18.75" customHeight="1" s="130"/>
    <row r="1019" ht="18.75" customHeight="1" s="130"/>
    <row r="1020" ht="18.75" customHeight="1" s="130"/>
    <row r="1021" ht="18.75" customHeight="1" s="130"/>
    <row r="1022" ht="18.75" customHeight="1" s="130"/>
    <row r="1023" ht="18.75" customHeight="1" s="130"/>
    <row r="1024" ht="18.75" customHeight="1" s="130"/>
    <row r="1025" ht="18.75" customHeight="1" s="130"/>
    <row r="1026" ht="18.75" customHeight="1" s="130"/>
  </sheetData>
  <autoFilter ref="A4:L60"/>
  <mergeCells count="2">
    <mergeCell ref="A2:L2"/>
    <mergeCell ref="A1:L1"/>
  </mergeCells>
  <dataValidations count="2">
    <dataValidation sqref="C5:C1026" showDropDown="0" showInputMessage="0" showErrorMessage="1" allowBlank="1" type="list" errorStyle="warning">
      <formula1>"Contract,Drawing,Specification,Approved submittal,Vendor manual,Field observation,RFI response,Owner directive,Internal prior work,Code/standard"</formula1>
      <formula2>0</formula2>
    </dataValidation>
    <dataValidation sqref="J5:J1026" showDropDown="0" showInputMessage="0" showErrorMessage="1" allowBlank="1" type="list" errorStyle="warning">
      <formula1>"unreviewed,reviewed,superseded,excluded"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2" sqref="C22"/>
    </sheetView>
  </sheetViews>
  <sheetFormatPr baseColWidth="8" defaultColWidth="8.7109375" defaultRowHeight="15"/>
  <cols>
    <col width="18" customWidth="1" style="130" min="1" max="1"/>
    <col width="20" customWidth="1" style="130" min="2" max="2"/>
    <col width="78" customWidth="1" style="130" min="3" max="3"/>
    <col width="35" customWidth="1" style="130" min="4" max="4"/>
    <col width="25" customWidth="1" style="130" min="5" max="5"/>
    <col width="48" customWidth="1" style="130" min="6" max="6"/>
    <col width="19" customWidth="1" style="130" min="7" max="7"/>
    <col width="17" customWidth="1" style="130" min="8" max="8"/>
    <col width="21" customWidth="1" style="130" min="9" max="10"/>
    <col width="20" customWidth="1" style="130" min="11" max="11"/>
    <col width="31" customWidth="1" style="130" min="12" max="12"/>
    <col width="35" customWidth="1" style="130" min="13" max="13"/>
    <col width="18" customWidth="1" style="130" min="14" max="15"/>
    <col width="49" customWidth="1" style="130" min="16" max="16"/>
  </cols>
  <sheetData>
    <row r="1" ht="27.75" customHeight="1" s="130">
      <c r="A1" s="131" t="inlineStr">
        <is>
          <t>RECORDS | Engineering Evidence and Requirements</t>
        </is>
      </c>
    </row>
    <row r="2" ht="24.75" customHeight="1" s="130">
      <c r="A2" s="129" t="inlineStr">
        <is>
          <t>Typed durable Need/Fact/Requirement/Constraint/Criterion/Assumption/Directive/Decision/Finding records.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Record ID</t>
        </is>
      </c>
      <c r="B4" s="135" t="inlineStr">
        <is>
          <t>Record Type</t>
        </is>
      </c>
      <c r="C4" s="135" t="inlineStr">
        <is>
          <t>Atomic Statement</t>
        </is>
      </c>
      <c r="D4" s="135" t="inlineStr">
        <is>
          <t>Applies To IDs</t>
        </is>
      </c>
      <c r="E4" s="135" t="inlineStr">
        <is>
          <t>Source IDs</t>
        </is>
      </c>
      <c r="F4" s="135" t="inlineStr">
        <is>
          <t>Authority / Binding Basis</t>
        </is>
      </c>
      <c r="G4" s="135" t="inlineStr">
        <is>
          <t>Applicability</t>
        </is>
      </c>
      <c r="H4" s="135" t="inlineStr">
        <is>
          <t>Confidence</t>
        </is>
      </c>
      <c r="I4" s="135" t="inlineStr">
        <is>
          <t>Review State</t>
        </is>
      </c>
      <c r="J4" s="135" t="inlineStr">
        <is>
          <t>Owner</t>
        </is>
      </c>
      <c r="K4" s="135" t="inlineStr">
        <is>
          <t>Resolve By</t>
        </is>
      </c>
      <c r="L4" s="135" t="inlineStr">
        <is>
          <t>Related IDs</t>
        </is>
      </c>
      <c r="M4" s="135" t="inlineStr">
        <is>
          <t>Verification Method</t>
        </is>
      </c>
      <c r="N4" s="135" t="inlineStr">
        <is>
          <t>Supersedes</t>
        </is>
      </c>
      <c r="O4" s="135" t="inlineStr">
        <is>
          <t>Updated</t>
        </is>
      </c>
      <c r="P4" s="135" t="inlineStr">
        <is>
          <t>Notes</t>
        </is>
      </c>
    </row>
    <row r="5" ht="18.75" customHeight="1" s="130">
      <c r="O5" s="109" t="n"/>
    </row>
    <row r="6" ht="18.75" customHeight="1" s="130">
      <c r="O6" s="109" t="n"/>
    </row>
    <row r="7" ht="18.75" customHeight="1" s="130">
      <c r="O7" s="109" t="n"/>
    </row>
    <row r="8" ht="18.75" customHeight="1" s="130">
      <c r="O8" s="109" t="n"/>
    </row>
    <row r="9" ht="18.75" customHeight="1" s="130">
      <c r="O9" s="109" t="n"/>
    </row>
    <row r="10" ht="18.75" customHeight="1" s="130">
      <c r="O10" s="109" t="n"/>
    </row>
    <row r="11" ht="18.75" customHeight="1" s="130">
      <c r="O11" s="109" t="n"/>
    </row>
    <row r="12" ht="18.75" customHeight="1" s="130">
      <c r="O12" s="109" t="n"/>
    </row>
    <row r="13" ht="18.75" customHeight="1" s="130">
      <c r="O13" s="109" t="n"/>
    </row>
    <row r="14" ht="18.75" customHeight="1" s="130">
      <c r="O14" s="109" t="n"/>
    </row>
    <row r="15" ht="18.75" customHeight="1" s="130">
      <c r="O15" s="109" t="n"/>
    </row>
    <row r="16" ht="18.75" customHeight="1" s="130">
      <c r="O16" s="109" t="n"/>
    </row>
    <row r="17" ht="18.75" customHeight="1" s="130">
      <c r="O17" s="109" t="n"/>
    </row>
    <row r="18" ht="18.75" customHeight="1" s="130">
      <c r="O18" s="109" t="n"/>
    </row>
    <row r="19" ht="18.75" customHeight="1" s="130">
      <c r="O19" s="109" t="n"/>
    </row>
    <row r="20" ht="18.75" customHeight="1" s="130">
      <c r="O20" s="109" t="n"/>
    </row>
    <row r="21" ht="18.75" customHeight="1" s="130">
      <c r="O21" s="109" t="n"/>
    </row>
    <row r="22" ht="18.75" customHeight="1" s="130">
      <c r="O22" s="109" t="n"/>
    </row>
    <row r="23" ht="18.75" customHeight="1" s="130">
      <c r="O23" s="109" t="n"/>
    </row>
    <row r="24" ht="18.75" customHeight="1" s="130">
      <c r="O24" s="109" t="n"/>
    </row>
    <row r="25" ht="18.75" customHeight="1" s="130">
      <c r="O25" s="109" t="n"/>
    </row>
    <row r="26" ht="18.75" customHeight="1" s="130">
      <c r="O26" s="109" t="n"/>
    </row>
    <row r="27" ht="18.75" customHeight="1" s="130">
      <c r="O27" s="109" t="n"/>
    </row>
    <row r="28" ht="18.75" customHeight="1" s="130">
      <c r="O28" s="109" t="n"/>
    </row>
    <row r="29" ht="18.75" customHeight="1" s="130">
      <c r="O29" s="109" t="n"/>
    </row>
    <row r="30" ht="18.75" customHeight="1" s="130">
      <c r="O30" s="109" t="n"/>
    </row>
    <row r="31" ht="18.75" customHeight="1" s="130">
      <c r="O31" s="109" t="n"/>
    </row>
    <row r="32" ht="18.75" customHeight="1" s="130">
      <c r="O32" s="109" t="n"/>
    </row>
    <row r="33" ht="18.75" customHeight="1" s="130">
      <c r="O33" s="109" t="n"/>
    </row>
    <row r="34" ht="18.75" customHeight="1" s="130">
      <c r="O34" s="109" t="n"/>
    </row>
    <row r="35" ht="18.75" customHeight="1" s="130">
      <c r="O35" s="109" t="n"/>
    </row>
    <row r="36" ht="18.75" customHeight="1" s="130">
      <c r="O36" s="109" t="n"/>
    </row>
    <row r="37" ht="18.75" customHeight="1" s="130">
      <c r="O37" s="109" t="n"/>
    </row>
    <row r="38" ht="18.75" customHeight="1" s="130">
      <c r="O38" s="109" t="n"/>
    </row>
    <row r="39" ht="18.75" customHeight="1" s="130">
      <c r="O39" s="109" t="n"/>
    </row>
    <row r="40" ht="18.75" customHeight="1" s="13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110" t="n"/>
      <c r="P40" s="54" t="n"/>
    </row>
    <row r="41" ht="18.75" customHeight="1" s="130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110" t="n"/>
      <c r="P41" s="54" t="n"/>
    </row>
    <row r="42" ht="18.75" customHeight="1" s="130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  <c r="O42" s="110" t="n"/>
      <c r="P42" s="54" t="n"/>
    </row>
    <row r="43" ht="18.75" customHeight="1" s="130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110" t="n"/>
      <c r="P43" s="54" t="n"/>
    </row>
    <row r="44" ht="18.75" customHeight="1" s="130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110" t="n"/>
      <c r="P44" s="54" t="n"/>
    </row>
    <row r="45" ht="18.75" customHeight="1" s="130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  <c r="O45" s="110" t="n"/>
      <c r="P45" s="54" t="n"/>
    </row>
    <row r="46" ht="18.75" customHeight="1" s="130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  <c r="O46" s="110" t="n"/>
      <c r="P46" s="54" t="n"/>
    </row>
    <row r="47" ht="18.75" customHeight="1" s="130">
      <c r="A47" s="54" t="n"/>
      <c r="B47" s="54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110" t="n"/>
      <c r="P47" s="54" t="n"/>
    </row>
    <row r="48" ht="18.75" customHeight="1" s="130">
      <c r="A48" s="54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4" t="n"/>
      <c r="M48" s="54" t="n"/>
      <c r="N48" s="54" t="n"/>
      <c r="O48" s="110" t="n"/>
      <c r="P48" s="54" t="n"/>
    </row>
    <row r="49" ht="18.75" customHeight="1" s="130">
      <c r="A49" s="54" t="n"/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  <c r="M49" s="54" t="n"/>
      <c r="N49" s="54" t="n"/>
      <c r="O49" s="110" t="n"/>
      <c r="P49" s="54" t="n"/>
    </row>
    <row r="50" ht="18.75" customHeight="1" s="130">
      <c r="A50" s="54" t="n"/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110" t="n"/>
      <c r="P50" s="54" t="n"/>
    </row>
    <row r="51" ht="18.75" customHeight="1" s="130">
      <c r="A51" s="54" t="n"/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  <c r="O51" s="110" t="n"/>
      <c r="P51" s="54" t="n"/>
    </row>
    <row r="52" ht="18.75" customHeight="1" s="130">
      <c r="A52" s="54" t="n"/>
      <c r="B52" s="54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110" t="n"/>
      <c r="P52" s="54" t="n"/>
    </row>
    <row r="53" ht="18.75" customHeight="1" s="130"/>
    <row r="54" ht="18.75" customHeight="1" s="130"/>
    <row r="55" ht="18.75" customHeight="1" s="130"/>
    <row r="56" ht="18.75" customHeight="1" s="130"/>
    <row r="57" ht="18.75" customHeight="1" s="130"/>
    <row r="58" ht="18.75" customHeight="1" s="130"/>
    <row r="59" ht="18.75" customHeight="1" s="130"/>
    <row r="60" ht="18.75" customHeight="1" s="130"/>
    <row r="61" ht="18.75" customHeight="1" s="130"/>
    <row r="62" ht="18.75" customHeight="1" s="130"/>
    <row r="63" ht="18.75" customHeight="1" s="130"/>
    <row r="64" ht="18.75" customHeight="1" s="130"/>
    <row r="65" ht="18.75" customHeight="1" s="130"/>
    <row r="66" ht="18.75" customHeight="1" s="130"/>
    <row r="67" ht="18.75" customHeight="1" s="130"/>
    <row r="68" ht="18.75" customHeight="1" s="130"/>
    <row r="69" ht="18.75" customHeight="1" s="130"/>
    <row r="70" ht="18.75" customHeight="1" s="130"/>
    <row r="71" ht="18.75" customHeight="1" s="130"/>
    <row r="72" ht="18.75" customHeight="1" s="130"/>
    <row r="73" ht="18.75" customHeight="1" s="130"/>
    <row r="74" ht="18.75" customHeight="1" s="130"/>
    <row r="75" ht="18.75" customHeight="1" s="130"/>
    <row r="76" ht="18.75" customHeight="1" s="130"/>
    <row r="77" ht="18.75" customHeight="1" s="130"/>
    <row r="78" ht="18.75" customHeight="1" s="130"/>
    <row r="79" ht="18.75" customHeight="1" s="130"/>
    <row r="80" ht="18.75" customHeight="1" s="130"/>
    <row r="81" ht="18.75" customHeight="1" s="130"/>
    <row r="82" ht="18.75" customHeight="1" s="130"/>
    <row r="83" ht="18.75" customHeight="1" s="130"/>
    <row r="84" ht="18.75" customHeight="1" s="130"/>
    <row r="85" ht="18.75" customHeight="1" s="130"/>
    <row r="86" ht="18.75" customHeight="1" s="130"/>
    <row r="87" ht="18.75" customHeight="1" s="130"/>
    <row r="88" ht="18.75" customHeight="1" s="130"/>
    <row r="89" ht="18.75" customHeight="1" s="130"/>
    <row r="90" ht="18.75" customHeight="1" s="130"/>
    <row r="91" ht="18.75" customHeight="1" s="130"/>
    <row r="92" ht="18.75" customHeight="1" s="130"/>
    <row r="93" ht="18.75" customHeight="1" s="130"/>
    <row r="94" ht="18.75" customHeight="1" s="130"/>
    <row r="95" ht="18.75" customHeight="1" s="130"/>
    <row r="96" ht="18.75" customHeight="1" s="130"/>
    <row r="97" ht="18.75" customHeight="1" s="130"/>
    <row r="98" ht="18.75" customHeight="1" s="130"/>
    <row r="99" ht="18.75" customHeight="1" s="130"/>
    <row r="100" ht="18.75" customHeight="1" s="130"/>
    <row r="101" ht="18.75" customHeight="1" s="130"/>
    <row r="102" ht="18.75" customHeight="1" s="130"/>
    <row r="103" ht="18.75" customHeight="1" s="130"/>
    <row r="104" ht="18.75" customHeight="1" s="130"/>
    <row r="105" ht="18.75" customHeight="1" s="130"/>
    <row r="106" ht="18.75" customHeight="1" s="130"/>
    <row r="107" ht="18.75" customHeight="1" s="130"/>
    <row r="108" ht="18.75" customHeight="1" s="130"/>
    <row r="109" ht="18.75" customHeight="1" s="130"/>
    <row r="110" ht="18.75" customHeight="1" s="130"/>
    <row r="111" ht="18.75" customHeight="1" s="130"/>
    <row r="112" ht="18.75" customHeight="1" s="130"/>
    <row r="113" ht="18.75" customHeight="1" s="130"/>
    <row r="114" ht="18.75" customHeight="1" s="130"/>
    <row r="115" ht="18.75" customHeight="1" s="130"/>
    <row r="116" ht="18.75" customHeight="1" s="130"/>
    <row r="117" ht="18.75" customHeight="1" s="130"/>
    <row r="118" ht="18.75" customHeight="1" s="130"/>
    <row r="119" ht="18.75" customHeight="1" s="130"/>
    <row r="120" ht="18.75" customHeight="1" s="130"/>
    <row r="121" ht="18.75" customHeight="1" s="130"/>
    <row r="122" ht="18.75" customHeight="1" s="130"/>
    <row r="123" ht="18.75" customHeight="1" s="130"/>
    <row r="124" ht="18.75" customHeight="1" s="130"/>
    <row r="125" ht="18.75" customHeight="1" s="130"/>
    <row r="126" ht="18.75" customHeight="1" s="130"/>
    <row r="127" ht="18.75" customHeight="1" s="130"/>
    <row r="128" ht="18.75" customHeight="1" s="130"/>
    <row r="129" ht="18.75" customHeight="1" s="130"/>
    <row r="130" ht="18.75" customHeight="1" s="130"/>
    <row r="131" ht="18.75" customHeight="1" s="130"/>
    <row r="132" ht="18.75" customHeight="1" s="130"/>
    <row r="133" ht="18.75" customHeight="1" s="130"/>
    <row r="134" ht="18.75" customHeight="1" s="130"/>
    <row r="135" ht="18.75" customHeight="1" s="130"/>
    <row r="136" ht="18.75" customHeight="1" s="130"/>
    <row r="137" ht="18.75" customHeight="1" s="130"/>
    <row r="138" ht="18.75" customHeight="1" s="130"/>
    <row r="139" ht="18.75" customHeight="1" s="130"/>
    <row r="140" ht="18.75" customHeight="1" s="130"/>
    <row r="141" ht="18.75" customHeight="1" s="130"/>
    <row r="142" ht="18.75" customHeight="1" s="130"/>
    <row r="143" ht="18.75" customHeight="1" s="130"/>
    <row r="144" ht="18.75" customHeight="1" s="130"/>
    <row r="145" ht="18.75" customHeight="1" s="130"/>
    <row r="146" ht="18.75" customHeight="1" s="130"/>
    <row r="147" ht="18.75" customHeight="1" s="130"/>
    <row r="148" ht="18.75" customHeight="1" s="130"/>
    <row r="149" ht="18.75" customHeight="1" s="130"/>
    <row r="150" ht="18.75" customHeight="1" s="130"/>
    <row r="151" ht="18.75" customHeight="1" s="130"/>
    <row r="152" ht="18.75" customHeight="1" s="130"/>
    <row r="153" ht="18.75" customHeight="1" s="130"/>
    <row r="154" ht="18.75" customHeight="1" s="130"/>
    <row r="155" ht="18.75" customHeight="1" s="130"/>
    <row r="156" ht="18.75" customHeight="1" s="130"/>
    <row r="157" ht="18.75" customHeight="1" s="130"/>
    <row r="158" ht="18.75" customHeight="1" s="130"/>
    <row r="159" ht="18.75" customHeight="1" s="130"/>
    <row r="160" ht="18.75" customHeight="1" s="130"/>
    <row r="161" ht="18.75" customHeight="1" s="130"/>
    <row r="162" ht="18.75" customHeight="1" s="130"/>
    <row r="163" ht="18.75" customHeight="1" s="130"/>
    <row r="164" ht="18.75" customHeight="1" s="130"/>
    <row r="165" ht="18.75" customHeight="1" s="130"/>
    <row r="166" ht="18.75" customHeight="1" s="130"/>
    <row r="167" ht="18.75" customHeight="1" s="130"/>
    <row r="168" ht="18.75" customHeight="1" s="130"/>
    <row r="169" ht="18.75" customHeight="1" s="130"/>
    <row r="170" ht="18.75" customHeight="1" s="130"/>
    <row r="171" ht="18.75" customHeight="1" s="130"/>
    <row r="172" ht="18.75" customHeight="1" s="130"/>
    <row r="173" ht="18.75" customHeight="1" s="130"/>
    <row r="174" ht="18.75" customHeight="1" s="130"/>
    <row r="175" ht="18.75" customHeight="1" s="130"/>
    <row r="176" ht="18.75" customHeight="1" s="130"/>
    <row r="177" ht="18.75" customHeight="1" s="130"/>
    <row r="178" ht="18.75" customHeight="1" s="130"/>
    <row r="179" ht="18.75" customHeight="1" s="130"/>
    <row r="180" ht="18.75" customHeight="1" s="130"/>
    <row r="181" ht="18.75" customHeight="1" s="130"/>
    <row r="182" ht="18.75" customHeight="1" s="130"/>
    <row r="183" ht="18.75" customHeight="1" s="130"/>
    <row r="184" ht="18.75" customHeight="1" s="130"/>
    <row r="185" ht="18.75" customHeight="1" s="130"/>
    <row r="186" ht="18.75" customHeight="1" s="130"/>
    <row r="187" ht="18.75" customHeight="1" s="130"/>
    <row r="188" ht="18.75" customHeight="1" s="130"/>
    <row r="189" ht="18.75" customHeight="1" s="130"/>
    <row r="190" ht="18.75" customHeight="1" s="130"/>
    <row r="191" ht="18.75" customHeight="1" s="130"/>
    <row r="192" ht="18.75" customHeight="1" s="130"/>
    <row r="193" ht="18.75" customHeight="1" s="130"/>
    <row r="194" ht="18.75" customHeight="1" s="130"/>
    <row r="195" ht="18.75" customHeight="1" s="130"/>
    <row r="196" ht="18.75" customHeight="1" s="130"/>
    <row r="197" ht="18.75" customHeight="1" s="130"/>
    <row r="198" ht="18.75" customHeight="1" s="130"/>
    <row r="199" ht="18.75" customHeight="1" s="130"/>
    <row r="200" ht="18.75" customHeight="1" s="130"/>
    <row r="201" ht="18.75" customHeight="1" s="130"/>
    <row r="202" ht="18.75" customHeight="1" s="130"/>
    <row r="203" ht="18.75" customHeight="1" s="130"/>
    <row r="204" ht="18.75" customHeight="1" s="130"/>
    <row r="205" ht="18.75" customHeight="1" s="130"/>
    <row r="206" ht="18.75" customHeight="1" s="130"/>
    <row r="207" ht="18.75" customHeight="1" s="130"/>
    <row r="208" ht="18.75" customHeight="1" s="130"/>
    <row r="209" ht="18.75" customHeight="1" s="130"/>
    <row r="210" ht="18.75" customHeight="1" s="130"/>
    <row r="211" ht="18.75" customHeight="1" s="130"/>
    <row r="212" ht="18.75" customHeight="1" s="130"/>
    <row r="213" ht="18.75" customHeight="1" s="130"/>
    <row r="214" ht="18.75" customHeight="1" s="130"/>
    <row r="215" ht="18.75" customHeight="1" s="130"/>
    <row r="216" ht="18.75" customHeight="1" s="130"/>
    <row r="217" ht="18.75" customHeight="1" s="130"/>
    <row r="218" ht="18.75" customHeight="1" s="130"/>
    <row r="219" ht="18.75" customHeight="1" s="130"/>
    <row r="220" ht="18.75" customHeight="1" s="130"/>
    <row r="221" ht="18.75" customHeight="1" s="130"/>
    <row r="222" ht="18.75" customHeight="1" s="130"/>
    <row r="223" ht="18.75" customHeight="1" s="130"/>
    <row r="224" ht="18.75" customHeight="1" s="130"/>
    <row r="225" ht="18.75" customHeight="1" s="130"/>
    <row r="226" ht="18.75" customHeight="1" s="130"/>
    <row r="227" ht="18.75" customHeight="1" s="130"/>
    <row r="228" ht="18.75" customHeight="1" s="130"/>
    <row r="229" ht="18.75" customHeight="1" s="130"/>
    <row r="230" ht="18.75" customHeight="1" s="130"/>
    <row r="231" ht="18.75" customHeight="1" s="130"/>
    <row r="232" ht="18.75" customHeight="1" s="130"/>
    <row r="233" ht="18.75" customHeight="1" s="130"/>
    <row r="234" ht="18.75" customHeight="1" s="130"/>
    <row r="235" ht="18.75" customHeight="1" s="130"/>
    <row r="236" ht="18.75" customHeight="1" s="130"/>
    <row r="237" ht="18.75" customHeight="1" s="130"/>
    <row r="238" ht="18.75" customHeight="1" s="130"/>
    <row r="239" ht="18.75" customHeight="1" s="130"/>
    <row r="240" ht="18.75" customHeight="1" s="130"/>
    <row r="241" ht="18.75" customHeight="1" s="130"/>
    <row r="242" ht="18.75" customHeight="1" s="130"/>
    <row r="243" ht="18.75" customHeight="1" s="130"/>
    <row r="244" ht="18.75" customHeight="1" s="130"/>
    <row r="245" ht="18.75" customHeight="1" s="130"/>
    <row r="246" ht="18.75" customHeight="1" s="130"/>
    <row r="247" ht="18.75" customHeight="1" s="130"/>
    <row r="248" ht="18.75" customHeight="1" s="130"/>
    <row r="249" ht="18.75" customHeight="1" s="130"/>
    <row r="250" ht="18.75" customHeight="1" s="130"/>
    <row r="251" ht="18.75" customHeight="1" s="130"/>
    <row r="252" ht="18.75" customHeight="1" s="130"/>
    <row r="253" ht="18.75" customHeight="1" s="130"/>
    <row r="254" ht="18.75" customHeight="1" s="130"/>
    <row r="255" ht="18.75" customHeight="1" s="130"/>
    <row r="256" ht="18.75" customHeight="1" s="130"/>
    <row r="257" ht="18.75" customHeight="1" s="130"/>
    <row r="258" ht="18.75" customHeight="1" s="130"/>
    <row r="259" ht="18.75" customHeight="1" s="130"/>
    <row r="260" ht="18.75" customHeight="1" s="130"/>
    <row r="261" ht="18.75" customHeight="1" s="130"/>
    <row r="262" ht="18.75" customHeight="1" s="130"/>
    <row r="263" ht="18.75" customHeight="1" s="130"/>
    <row r="264" ht="18.75" customHeight="1" s="130"/>
    <row r="265" ht="18.75" customHeight="1" s="130"/>
    <row r="266" ht="18.75" customHeight="1" s="130"/>
    <row r="267" ht="18.75" customHeight="1" s="130"/>
    <row r="268" ht="18.75" customHeight="1" s="130"/>
    <row r="269" ht="18.75" customHeight="1" s="130"/>
    <row r="270" ht="18.75" customHeight="1" s="130"/>
    <row r="271" ht="18.75" customHeight="1" s="130"/>
    <row r="272" ht="18.75" customHeight="1" s="130"/>
    <row r="273" ht="18.75" customHeight="1" s="130"/>
    <row r="274" ht="18.75" customHeight="1" s="130"/>
    <row r="275" ht="18.75" customHeight="1" s="130"/>
    <row r="276" ht="18.75" customHeight="1" s="130"/>
    <row r="277" ht="18.75" customHeight="1" s="130"/>
    <row r="278" ht="18.75" customHeight="1" s="130"/>
    <row r="279" ht="18.75" customHeight="1" s="130"/>
    <row r="280" ht="18.75" customHeight="1" s="130"/>
    <row r="281" ht="18.75" customHeight="1" s="130"/>
    <row r="282" ht="18.75" customHeight="1" s="130"/>
    <row r="283" ht="18.75" customHeight="1" s="130"/>
    <row r="284" ht="18.75" customHeight="1" s="130"/>
    <row r="285" ht="18.75" customHeight="1" s="130"/>
    <row r="286" ht="18.75" customHeight="1" s="130"/>
    <row r="287" ht="18.75" customHeight="1" s="130"/>
    <row r="288" ht="18.75" customHeight="1" s="130"/>
    <row r="289" ht="18.75" customHeight="1" s="130"/>
    <row r="290" ht="18.75" customHeight="1" s="130"/>
    <row r="291" ht="18.75" customHeight="1" s="130"/>
    <row r="292" ht="18.75" customHeight="1" s="130"/>
    <row r="293" ht="18.75" customHeight="1" s="130"/>
    <row r="294" ht="18.75" customHeight="1" s="130"/>
    <row r="295" ht="18.75" customHeight="1" s="130"/>
    <row r="296" ht="18.75" customHeight="1" s="130"/>
    <row r="297" ht="18.75" customHeight="1" s="130"/>
    <row r="298" ht="18.75" customHeight="1" s="130"/>
    <row r="299" ht="18.75" customHeight="1" s="130"/>
    <row r="300" ht="18.75" customHeight="1" s="130"/>
    <row r="301" ht="18.75" customHeight="1" s="130"/>
    <row r="302" ht="18.75" customHeight="1" s="130"/>
    <row r="303" ht="18.75" customHeight="1" s="130"/>
    <row r="304" ht="18.75" customHeight="1" s="130"/>
    <row r="305" ht="18.75" customHeight="1" s="130"/>
    <row r="306" ht="18.75" customHeight="1" s="130"/>
    <row r="307" ht="18.75" customHeight="1" s="130"/>
    <row r="308" ht="18.75" customHeight="1" s="130"/>
    <row r="309" ht="18.75" customHeight="1" s="130"/>
    <row r="310" ht="18.75" customHeight="1" s="130"/>
    <row r="311" ht="18.75" customHeight="1" s="130"/>
    <row r="312" ht="18.75" customHeight="1" s="130"/>
    <row r="313" ht="18.75" customHeight="1" s="130"/>
    <row r="314" ht="18.75" customHeight="1" s="130"/>
    <row r="315" ht="18.75" customHeight="1" s="130"/>
    <row r="316" ht="18.75" customHeight="1" s="130"/>
    <row r="317" ht="18.75" customHeight="1" s="130"/>
    <row r="318" ht="18.75" customHeight="1" s="130"/>
    <row r="319" ht="18.75" customHeight="1" s="130"/>
    <row r="320" ht="18.75" customHeight="1" s="130"/>
    <row r="321" ht="18.75" customHeight="1" s="130"/>
    <row r="322" ht="18.75" customHeight="1" s="130"/>
    <row r="323" ht="18.75" customHeight="1" s="130"/>
    <row r="324" ht="18.75" customHeight="1" s="130"/>
    <row r="325" ht="18.75" customHeight="1" s="130"/>
    <row r="326" ht="18.75" customHeight="1" s="130"/>
    <row r="327" ht="18.75" customHeight="1" s="130"/>
    <row r="328" ht="18.75" customHeight="1" s="130"/>
    <row r="329" ht="18.75" customHeight="1" s="130"/>
    <row r="330" ht="18.75" customHeight="1" s="130"/>
    <row r="331" ht="18.75" customHeight="1" s="130"/>
    <row r="332" ht="18.75" customHeight="1" s="130"/>
    <row r="333" ht="18.75" customHeight="1" s="130"/>
    <row r="334" ht="18.75" customHeight="1" s="130"/>
    <row r="335" ht="18.75" customHeight="1" s="130"/>
    <row r="336" ht="18.75" customHeight="1" s="130"/>
    <row r="337" ht="18.75" customHeight="1" s="130"/>
    <row r="338" ht="18.75" customHeight="1" s="130"/>
    <row r="339" ht="18.75" customHeight="1" s="130"/>
    <row r="340" ht="18.75" customHeight="1" s="130"/>
    <row r="341" ht="18.75" customHeight="1" s="130"/>
    <row r="342" ht="18.75" customHeight="1" s="130"/>
    <row r="343" ht="18.75" customHeight="1" s="130"/>
    <row r="344" ht="18.75" customHeight="1" s="130"/>
    <row r="345" ht="18.75" customHeight="1" s="130"/>
    <row r="346" ht="18.75" customHeight="1" s="130"/>
    <row r="347" ht="18.75" customHeight="1" s="130"/>
    <row r="348" ht="18.75" customHeight="1" s="130"/>
    <row r="349" ht="18.75" customHeight="1" s="130"/>
    <row r="350" ht="18.75" customHeight="1" s="130"/>
    <row r="351" ht="18.75" customHeight="1" s="130"/>
    <row r="352" ht="18.75" customHeight="1" s="130"/>
    <row r="353" ht="18.75" customHeight="1" s="130"/>
    <row r="354" ht="18.75" customHeight="1" s="130"/>
    <row r="355" ht="18.75" customHeight="1" s="130"/>
    <row r="356" ht="18.75" customHeight="1" s="130"/>
    <row r="357" ht="18.75" customHeight="1" s="130"/>
    <row r="358" ht="18.75" customHeight="1" s="130"/>
    <row r="359" ht="18.75" customHeight="1" s="130"/>
    <row r="360" ht="18.75" customHeight="1" s="130"/>
    <row r="361" ht="18.75" customHeight="1" s="130"/>
    <row r="362" ht="18.75" customHeight="1" s="130"/>
    <row r="363" ht="18.75" customHeight="1" s="130"/>
    <row r="364" ht="18.75" customHeight="1" s="130"/>
    <row r="365" ht="18.75" customHeight="1" s="130"/>
    <row r="366" ht="18.75" customHeight="1" s="130"/>
    <row r="367" ht="18.75" customHeight="1" s="130"/>
    <row r="368" ht="18.75" customHeight="1" s="130"/>
    <row r="369" ht="18.75" customHeight="1" s="130"/>
    <row r="370" ht="18.75" customHeight="1" s="130"/>
    <row r="371" ht="18.75" customHeight="1" s="130"/>
    <row r="372" ht="18.75" customHeight="1" s="130"/>
    <row r="373" ht="18.75" customHeight="1" s="130"/>
    <row r="374" ht="18.75" customHeight="1" s="130"/>
    <row r="375" ht="18.75" customHeight="1" s="130"/>
    <row r="376" ht="18.75" customHeight="1" s="130"/>
    <row r="377" ht="18.75" customHeight="1" s="130"/>
    <row r="378" ht="18.75" customHeight="1" s="130"/>
    <row r="379" ht="18.75" customHeight="1" s="130"/>
    <row r="380" ht="18.75" customHeight="1" s="130"/>
    <row r="381" ht="18.75" customHeight="1" s="130"/>
    <row r="382" ht="18.75" customHeight="1" s="130"/>
    <row r="383" ht="18.75" customHeight="1" s="130"/>
    <row r="384" ht="18.75" customHeight="1" s="130"/>
    <row r="385" ht="18.75" customHeight="1" s="130"/>
    <row r="386" ht="18.75" customHeight="1" s="130"/>
    <row r="387" ht="18.75" customHeight="1" s="130"/>
    <row r="388" ht="18.75" customHeight="1" s="130"/>
    <row r="389" ht="18.75" customHeight="1" s="130"/>
    <row r="390" ht="18.75" customHeight="1" s="130"/>
    <row r="391" ht="18.75" customHeight="1" s="130"/>
    <row r="392" ht="18.75" customHeight="1" s="130"/>
    <row r="393" ht="18.75" customHeight="1" s="130"/>
    <row r="394" ht="18.75" customHeight="1" s="130"/>
    <row r="395" ht="18.75" customHeight="1" s="130"/>
    <row r="396" ht="18.75" customHeight="1" s="130"/>
    <row r="397" ht="18.75" customHeight="1" s="130"/>
    <row r="398" ht="18.75" customHeight="1" s="130"/>
    <row r="399" ht="18.75" customHeight="1" s="130"/>
    <row r="400" ht="18.75" customHeight="1" s="130"/>
    <row r="401" ht="18.75" customHeight="1" s="130"/>
    <row r="402" ht="18.75" customHeight="1" s="130"/>
    <row r="403" ht="18.75" customHeight="1" s="130"/>
    <row r="404" ht="18.75" customHeight="1" s="130"/>
    <row r="405" ht="18.75" customHeight="1" s="130"/>
    <row r="406" ht="18.75" customHeight="1" s="130"/>
    <row r="407" ht="18.75" customHeight="1" s="130"/>
    <row r="408" ht="18.75" customHeight="1" s="130"/>
    <row r="409" ht="18.75" customHeight="1" s="130"/>
    <row r="410" ht="18.75" customHeight="1" s="130"/>
    <row r="411" ht="18.75" customHeight="1" s="130"/>
    <row r="412" ht="18.75" customHeight="1" s="130"/>
    <row r="413" ht="18.75" customHeight="1" s="130"/>
    <row r="414" ht="18.75" customHeight="1" s="130"/>
    <row r="415" ht="18.75" customHeight="1" s="130"/>
    <row r="416" ht="18.75" customHeight="1" s="130"/>
    <row r="417" ht="18.75" customHeight="1" s="130"/>
    <row r="418" ht="18.75" customHeight="1" s="130"/>
    <row r="419" ht="18.75" customHeight="1" s="130"/>
    <row r="420" ht="18.75" customHeight="1" s="130"/>
    <row r="421" ht="18.75" customHeight="1" s="130"/>
    <row r="422" ht="18.75" customHeight="1" s="130"/>
    <row r="423" ht="18.75" customHeight="1" s="130"/>
    <row r="424" ht="18.75" customHeight="1" s="130"/>
    <row r="425" ht="18.75" customHeight="1" s="130"/>
    <row r="426" ht="18.75" customHeight="1" s="130"/>
    <row r="427" ht="18.75" customHeight="1" s="130"/>
    <row r="428" ht="18.75" customHeight="1" s="130"/>
    <row r="429" ht="18.75" customHeight="1" s="130"/>
    <row r="430" ht="18.75" customHeight="1" s="130"/>
    <row r="431" ht="18.75" customHeight="1" s="130"/>
    <row r="432" ht="18.75" customHeight="1" s="130"/>
    <row r="433" ht="18.75" customHeight="1" s="130"/>
    <row r="434" ht="18.75" customHeight="1" s="130"/>
    <row r="435" ht="18.75" customHeight="1" s="130"/>
    <row r="436" ht="18.75" customHeight="1" s="130"/>
    <row r="437" ht="18.75" customHeight="1" s="130"/>
    <row r="438" ht="18.75" customHeight="1" s="130"/>
    <row r="439" ht="18.75" customHeight="1" s="130"/>
    <row r="440" ht="18.75" customHeight="1" s="130"/>
    <row r="441" ht="18.75" customHeight="1" s="130"/>
    <row r="442" ht="18.75" customHeight="1" s="130"/>
    <row r="443" ht="18.75" customHeight="1" s="130"/>
    <row r="444" ht="18.75" customHeight="1" s="130"/>
    <row r="445" ht="18.75" customHeight="1" s="130"/>
    <row r="446" ht="18.75" customHeight="1" s="130"/>
    <row r="447" ht="18.75" customHeight="1" s="130"/>
    <row r="448" ht="18.75" customHeight="1" s="130"/>
    <row r="449" ht="18.75" customHeight="1" s="130"/>
    <row r="450" ht="18.75" customHeight="1" s="130"/>
    <row r="451" ht="18.75" customHeight="1" s="130"/>
    <row r="452" ht="18.75" customHeight="1" s="130"/>
    <row r="453" ht="18.75" customHeight="1" s="130"/>
    <row r="454" ht="18.75" customHeight="1" s="130"/>
    <row r="455" ht="18.75" customHeight="1" s="130"/>
    <row r="456" ht="18.75" customHeight="1" s="130"/>
    <row r="457" ht="18.75" customHeight="1" s="130"/>
    <row r="458" ht="18.75" customHeight="1" s="130"/>
    <row r="459" ht="18.75" customHeight="1" s="130"/>
    <row r="460" ht="18.75" customHeight="1" s="130"/>
    <row r="461" ht="18.75" customHeight="1" s="130"/>
    <row r="462" ht="18.75" customHeight="1" s="130"/>
    <row r="463" ht="18.75" customHeight="1" s="130"/>
    <row r="464" ht="18.75" customHeight="1" s="130"/>
    <row r="465" ht="18.75" customHeight="1" s="130"/>
    <row r="466" ht="18.75" customHeight="1" s="130"/>
    <row r="467" ht="18.75" customHeight="1" s="130"/>
    <row r="468" ht="18.75" customHeight="1" s="130"/>
    <row r="469" ht="18.75" customHeight="1" s="130"/>
    <row r="470" ht="18.75" customHeight="1" s="130"/>
    <row r="471" ht="18.75" customHeight="1" s="130"/>
    <row r="472" ht="18.75" customHeight="1" s="130"/>
    <row r="473" ht="18.75" customHeight="1" s="130"/>
    <row r="474" ht="18.75" customHeight="1" s="130"/>
    <row r="475" ht="18.75" customHeight="1" s="130"/>
    <row r="476" ht="18.75" customHeight="1" s="130"/>
    <row r="477" ht="18.75" customHeight="1" s="130"/>
    <row r="478" ht="18.75" customHeight="1" s="130"/>
    <row r="479" ht="18.75" customHeight="1" s="130"/>
    <row r="480" ht="18.75" customHeight="1" s="130"/>
    <row r="481" ht="18.75" customHeight="1" s="130"/>
    <row r="482" ht="18.75" customHeight="1" s="130"/>
    <row r="483" ht="18.75" customHeight="1" s="130"/>
    <row r="484" ht="18.75" customHeight="1" s="130"/>
    <row r="485" ht="18.75" customHeight="1" s="130"/>
    <row r="486" ht="18.75" customHeight="1" s="130"/>
    <row r="487" ht="18.75" customHeight="1" s="130"/>
    <row r="488" ht="18.75" customHeight="1" s="130"/>
    <row r="489" ht="18.75" customHeight="1" s="130"/>
    <row r="490" ht="18.75" customHeight="1" s="130"/>
    <row r="491" ht="18.75" customHeight="1" s="130"/>
    <row r="492" ht="18.75" customHeight="1" s="130"/>
    <row r="493" ht="18.75" customHeight="1" s="130"/>
    <row r="494" ht="18.75" customHeight="1" s="130"/>
    <row r="495" ht="18.75" customHeight="1" s="130"/>
    <row r="496" ht="18.75" customHeight="1" s="130"/>
    <row r="497" ht="18.75" customHeight="1" s="130"/>
    <row r="498" ht="18.75" customHeight="1" s="130"/>
    <row r="499" ht="18.75" customHeight="1" s="130"/>
    <row r="500" ht="18.75" customHeight="1" s="130"/>
    <row r="501" ht="18.75" customHeight="1" s="130"/>
    <row r="502" ht="18.75" customHeight="1" s="130"/>
    <row r="503" ht="18.75" customHeight="1" s="130"/>
    <row r="504" ht="18.75" customHeight="1" s="130"/>
    <row r="505" ht="18.75" customHeight="1" s="130"/>
    <row r="506" ht="18.75" customHeight="1" s="130"/>
    <row r="507" ht="18.75" customHeight="1" s="130"/>
    <row r="508" ht="18.75" customHeight="1" s="130"/>
    <row r="509" ht="18.75" customHeight="1" s="130"/>
    <row r="510" ht="18.75" customHeight="1" s="130"/>
    <row r="511" ht="18.75" customHeight="1" s="130"/>
    <row r="512" ht="18.75" customHeight="1" s="130"/>
    <row r="513" ht="18.75" customHeight="1" s="130"/>
    <row r="514" ht="18.75" customHeight="1" s="130"/>
    <row r="515" ht="18.75" customHeight="1" s="130"/>
    <row r="516" ht="18.75" customHeight="1" s="130"/>
    <row r="517" ht="18.75" customHeight="1" s="130"/>
    <row r="518" ht="18.75" customHeight="1" s="130"/>
    <row r="519" ht="18.75" customHeight="1" s="130"/>
    <row r="520" ht="18.75" customHeight="1" s="130"/>
    <row r="521" ht="18.75" customHeight="1" s="130"/>
    <row r="522" ht="18.75" customHeight="1" s="130"/>
    <row r="523" ht="18.75" customHeight="1" s="130"/>
    <row r="524" ht="18.75" customHeight="1" s="130"/>
    <row r="525" ht="18.75" customHeight="1" s="130"/>
    <row r="526" ht="18.75" customHeight="1" s="130"/>
    <row r="527" ht="18.75" customHeight="1" s="130"/>
    <row r="528" ht="18.75" customHeight="1" s="130"/>
    <row r="529" ht="18.75" customHeight="1" s="130"/>
    <row r="530" ht="18.75" customHeight="1" s="130"/>
    <row r="531" ht="18.75" customHeight="1" s="130"/>
    <row r="532" ht="18.75" customHeight="1" s="130"/>
    <row r="533" ht="18.75" customHeight="1" s="130"/>
    <row r="534" ht="18.75" customHeight="1" s="130"/>
    <row r="535" ht="18.75" customHeight="1" s="130"/>
    <row r="536" ht="18.75" customHeight="1" s="130"/>
    <row r="537" ht="18.75" customHeight="1" s="130"/>
    <row r="538" ht="18.75" customHeight="1" s="130"/>
    <row r="539" ht="18.75" customHeight="1" s="130"/>
    <row r="540" ht="18.75" customHeight="1" s="130"/>
    <row r="541" ht="18.75" customHeight="1" s="130"/>
    <row r="542" ht="18.75" customHeight="1" s="130"/>
    <row r="543" ht="18.75" customHeight="1" s="130"/>
    <row r="544" ht="18.75" customHeight="1" s="130"/>
    <row r="545" ht="18.75" customHeight="1" s="130"/>
    <row r="546" ht="18.75" customHeight="1" s="130"/>
    <row r="547" ht="18.75" customHeight="1" s="130"/>
    <row r="548" ht="18.75" customHeight="1" s="130"/>
    <row r="549" ht="18.75" customHeight="1" s="130"/>
    <row r="550" ht="18.75" customHeight="1" s="130"/>
    <row r="551" ht="18.75" customHeight="1" s="130"/>
    <row r="552" ht="18.75" customHeight="1" s="130"/>
    <row r="553" ht="18.75" customHeight="1" s="130"/>
    <row r="554" ht="18.75" customHeight="1" s="130"/>
    <row r="555" ht="18.75" customHeight="1" s="130"/>
    <row r="556" ht="18.75" customHeight="1" s="130"/>
    <row r="557" ht="18.75" customHeight="1" s="130"/>
    <row r="558" ht="18.75" customHeight="1" s="130"/>
    <row r="559" ht="18.75" customHeight="1" s="130"/>
    <row r="560" ht="18.75" customHeight="1" s="130"/>
    <row r="561" ht="18.75" customHeight="1" s="130"/>
    <row r="562" ht="18.75" customHeight="1" s="130"/>
    <row r="563" ht="18.75" customHeight="1" s="130"/>
    <row r="564" ht="18.75" customHeight="1" s="130"/>
    <row r="565" ht="18.75" customHeight="1" s="130"/>
    <row r="566" ht="18.75" customHeight="1" s="130"/>
    <row r="567" ht="18.75" customHeight="1" s="130"/>
    <row r="568" ht="18.75" customHeight="1" s="130"/>
    <row r="569" ht="18.75" customHeight="1" s="130"/>
    <row r="570" ht="18.75" customHeight="1" s="130"/>
    <row r="571" ht="18.75" customHeight="1" s="130"/>
    <row r="572" ht="18.75" customHeight="1" s="130"/>
    <row r="573" ht="18.75" customHeight="1" s="130"/>
    <row r="574" ht="18.75" customHeight="1" s="130"/>
    <row r="575" ht="18.75" customHeight="1" s="130"/>
    <row r="576" ht="18.75" customHeight="1" s="130"/>
    <row r="577" ht="18.75" customHeight="1" s="130"/>
    <row r="578" ht="18.75" customHeight="1" s="130"/>
    <row r="579" ht="18.75" customHeight="1" s="130"/>
    <row r="580" ht="18.75" customHeight="1" s="130"/>
    <row r="581" ht="18.75" customHeight="1" s="130"/>
    <row r="582" ht="18.75" customHeight="1" s="130"/>
    <row r="583" ht="18.75" customHeight="1" s="130"/>
    <row r="584" ht="18.75" customHeight="1" s="130"/>
    <row r="585" ht="18.75" customHeight="1" s="130"/>
    <row r="586" ht="18.75" customHeight="1" s="130"/>
    <row r="587" ht="18.75" customHeight="1" s="130"/>
    <row r="588" ht="18.75" customHeight="1" s="130"/>
    <row r="589" ht="18.75" customHeight="1" s="130"/>
    <row r="590" ht="18.75" customHeight="1" s="130"/>
    <row r="591" ht="18.75" customHeight="1" s="130"/>
    <row r="592" ht="18.75" customHeight="1" s="130"/>
    <row r="593" ht="18.75" customHeight="1" s="130"/>
    <row r="594" ht="18.75" customHeight="1" s="130"/>
    <row r="595" ht="18.75" customHeight="1" s="130"/>
    <row r="596" ht="18.75" customHeight="1" s="130"/>
    <row r="597" ht="18.75" customHeight="1" s="130"/>
    <row r="598" ht="18.75" customHeight="1" s="130"/>
    <row r="599" ht="18.75" customHeight="1" s="130"/>
    <row r="600" ht="18.75" customHeight="1" s="130"/>
    <row r="601" ht="18.75" customHeight="1" s="130"/>
    <row r="602" ht="18.75" customHeight="1" s="130"/>
    <row r="603" ht="18.75" customHeight="1" s="130"/>
    <row r="604" ht="18.75" customHeight="1" s="130"/>
    <row r="605" ht="18.75" customHeight="1" s="130"/>
    <row r="606" ht="18.75" customHeight="1" s="130"/>
    <row r="607" ht="18.75" customHeight="1" s="130"/>
    <row r="608" ht="18.75" customHeight="1" s="130"/>
    <row r="609" ht="18.75" customHeight="1" s="130"/>
    <row r="610" ht="18.75" customHeight="1" s="130"/>
    <row r="611" ht="18.75" customHeight="1" s="130"/>
    <row r="612" ht="18.75" customHeight="1" s="130"/>
    <row r="613" ht="18.75" customHeight="1" s="130"/>
    <row r="614" ht="18.75" customHeight="1" s="130"/>
    <row r="615" ht="18.75" customHeight="1" s="130"/>
    <row r="616" ht="18.75" customHeight="1" s="130"/>
    <row r="617" ht="18.75" customHeight="1" s="130"/>
    <row r="618" ht="18.75" customHeight="1" s="130"/>
    <row r="619" ht="18.75" customHeight="1" s="130"/>
    <row r="620" ht="18.75" customHeight="1" s="130"/>
    <row r="621" ht="18.75" customHeight="1" s="130"/>
    <row r="622" ht="18.75" customHeight="1" s="130"/>
    <row r="623" ht="18.75" customHeight="1" s="130"/>
    <row r="624" ht="18.75" customHeight="1" s="130"/>
    <row r="625" ht="18.75" customHeight="1" s="130"/>
    <row r="626" ht="18.75" customHeight="1" s="130"/>
    <row r="627" ht="18.75" customHeight="1" s="130"/>
    <row r="628" ht="18.75" customHeight="1" s="130"/>
    <row r="629" ht="18.75" customHeight="1" s="130"/>
    <row r="630" ht="18.75" customHeight="1" s="130"/>
    <row r="631" ht="18.75" customHeight="1" s="130"/>
    <row r="632" ht="18.75" customHeight="1" s="130"/>
    <row r="633" ht="18.75" customHeight="1" s="130"/>
    <row r="634" ht="18.75" customHeight="1" s="130"/>
    <row r="635" ht="18.75" customHeight="1" s="130"/>
    <row r="636" ht="18.75" customHeight="1" s="130"/>
    <row r="637" ht="18.75" customHeight="1" s="130"/>
    <row r="638" ht="18.75" customHeight="1" s="130"/>
    <row r="639" ht="18.75" customHeight="1" s="130"/>
    <row r="640" ht="18.75" customHeight="1" s="130"/>
    <row r="641" ht="18.75" customHeight="1" s="130"/>
    <row r="642" ht="18.75" customHeight="1" s="130"/>
    <row r="643" ht="18.75" customHeight="1" s="130"/>
    <row r="644" ht="18.75" customHeight="1" s="130"/>
    <row r="645" ht="18.75" customHeight="1" s="130"/>
    <row r="646" ht="18.75" customHeight="1" s="130"/>
    <row r="647" ht="18.75" customHeight="1" s="130"/>
    <row r="648" ht="18.75" customHeight="1" s="130"/>
    <row r="649" ht="18.75" customHeight="1" s="130"/>
    <row r="650" ht="18.75" customHeight="1" s="130"/>
    <row r="651" ht="18.75" customHeight="1" s="130"/>
    <row r="652" ht="18.75" customHeight="1" s="130"/>
    <row r="653" ht="18.75" customHeight="1" s="130"/>
    <row r="654" ht="18.75" customHeight="1" s="130"/>
    <row r="655" ht="18.75" customHeight="1" s="130"/>
    <row r="656" ht="18.75" customHeight="1" s="130"/>
    <row r="657" ht="18.75" customHeight="1" s="130"/>
    <row r="658" ht="18.75" customHeight="1" s="130"/>
    <row r="659" ht="18.75" customHeight="1" s="130"/>
    <row r="660" ht="18.75" customHeight="1" s="130"/>
    <row r="661" ht="18.75" customHeight="1" s="130"/>
    <row r="662" ht="18.75" customHeight="1" s="130"/>
    <row r="663" ht="18.75" customHeight="1" s="130"/>
    <row r="664" ht="18.75" customHeight="1" s="130"/>
    <row r="665" ht="18.75" customHeight="1" s="130"/>
    <row r="666" ht="18.75" customHeight="1" s="130"/>
    <row r="667" ht="18.75" customHeight="1" s="130"/>
    <row r="668" ht="18.75" customHeight="1" s="130"/>
    <row r="669" ht="18.75" customHeight="1" s="130"/>
    <row r="670" ht="18.75" customHeight="1" s="130"/>
    <row r="671" ht="18.75" customHeight="1" s="130"/>
    <row r="672" ht="18.75" customHeight="1" s="130"/>
    <row r="673" ht="18.75" customHeight="1" s="130"/>
    <row r="674" ht="18.75" customHeight="1" s="130"/>
    <row r="675" ht="18.75" customHeight="1" s="130"/>
    <row r="676" ht="18.75" customHeight="1" s="130"/>
    <row r="677" ht="18.75" customHeight="1" s="130"/>
    <row r="678" ht="18.75" customHeight="1" s="130"/>
    <row r="679" ht="18.75" customHeight="1" s="130"/>
    <row r="680" ht="18.75" customHeight="1" s="130"/>
    <row r="681" ht="18.75" customHeight="1" s="130"/>
    <row r="682" ht="18.75" customHeight="1" s="130"/>
    <row r="683" ht="18.75" customHeight="1" s="130"/>
    <row r="684" ht="18.75" customHeight="1" s="130"/>
    <row r="685" ht="18.75" customHeight="1" s="130"/>
    <row r="686" ht="18.75" customHeight="1" s="130"/>
    <row r="687" ht="18.75" customHeight="1" s="130"/>
    <row r="688" ht="18.75" customHeight="1" s="130"/>
    <row r="689" ht="18.75" customHeight="1" s="130"/>
    <row r="690" ht="18.75" customHeight="1" s="130"/>
    <row r="691" ht="18.75" customHeight="1" s="130"/>
    <row r="692" ht="18.75" customHeight="1" s="130"/>
    <row r="693" ht="18.75" customHeight="1" s="130"/>
    <row r="694" ht="18.75" customHeight="1" s="130"/>
    <row r="695" ht="18.75" customHeight="1" s="130"/>
    <row r="696" ht="18.75" customHeight="1" s="130"/>
    <row r="697" ht="18.75" customHeight="1" s="130"/>
    <row r="698" ht="18.75" customHeight="1" s="130"/>
    <row r="699" ht="18.75" customHeight="1" s="130"/>
    <row r="700" ht="18.75" customHeight="1" s="130"/>
    <row r="701" ht="18.75" customHeight="1" s="130"/>
    <row r="702" ht="18.75" customHeight="1" s="130"/>
    <row r="703" ht="18.75" customHeight="1" s="130"/>
    <row r="704" ht="18.75" customHeight="1" s="130"/>
    <row r="705" ht="18.75" customHeight="1" s="130"/>
    <row r="706" ht="18.75" customHeight="1" s="130"/>
    <row r="707" ht="18.75" customHeight="1" s="130"/>
    <row r="708" ht="18.75" customHeight="1" s="130"/>
    <row r="709" ht="18.75" customHeight="1" s="130"/>
    <row r="710" ht="18.75" customHeight="1" s="130"/>
    <row r="711" ht="18.75" customHeight="1" s="130"/>
    <row r="712" ht="18.75" customHeight="1" s="130"/>
    <row r="713" ht="18.75" customHeight="1" s="130"/>
    <row r="714" ht="18.75" customHeight="1" s="130"/>
    <row r="715" ht="18.75" customHeight="1" s="130"/>
    <row r="716" ht="18.75" customHeight="1" s="130"/>
    <row r="717" ht="18.75" customHeight="1" s="130"/>
    <row r="718" ht="18.75" customHeight="1" s="130"/>
    <row r="719" ht="18.75" customHeight="1" s="130"/>
    <row r="720" ht="18.75" customHeight="1" s="130"/>
    <row r="721" ht="18.75" customHeight="1" s="130"/>
    <row r="722" ht="18.75" customHeight="1" s="130"/>
    <row r="723" ht="18.75" customHeight="1" s="130"/>
    <row r="724" ht="18.75" customHeight="1" s="130"/>
    <row r="725" ht="18.75" customHeight="1" s="130"/>
    <row r="726" ht="18.75" customHeight="1" s="130"/>
    <row r="727" ht="18.75" customHeight="1" s="130"/>
    <row r="728" ht="18.75" customHeight="1" s="130"/>
    <row r="729" ht="18.75" customHeight="1" s="130"/>
    <row r="730" ht="18.75" customHeight="1" s="130"/>
    <row r="731" ht="18.75" customHeight="1" s="130"/>
    <row r="732" ht="18.75" customHeight="1" s="130"/>
    <row r="733" ht="18.75" customHeight="1" s="130"/>
    <row r="734" ht="18.75" customHeight="1" s="130"/>
    <row r="735" ht="18.75" customHeight="1" s="130"/>
    <row r="736" ht="18.75" customHeight="1" s="130"/>
    <row r="737" ht="18.75" customHeight="1" s="130"/>
    <row r="738" ht="18.75" customHeight="1" s="130"/>
    <row r="739" ht="18.75" customHeight="1" s="130"/>
    <row r="740" ht="18.75" customHeight="1" s="130"/>
    <row r="741" ht="18.75" customHeight="1" s="130"/>
    <row r="742" ht="18.75" customHeight="1" s="130"/>
    <row r="743" ht="18.75" customHeight="1" s="130"/>
    <row r="744" ht="18.75" customHeight="1" s="130"/>
    <row r="745" ht="18.75" customHeight="1" s="130"/>
    <row r="746" ht="18.75" customHeight="1" s="130"/>
    <row r="747" ht="18.75" customHeight="1" s="130"/>
    <row r="748" ht="18.75" customHeight="1" s="130"/>
    <row r="749" ht="18.75" customHeight="1" s="130"/>
    <row r="750" ht="18.75" customHeight="1" s="130"/>
    <row r="751" ht="18.75" customHeight="1" s="130"/>
    <row r="752" ht="18.75" customHeight="1" s="130"/>
    <row r="753" ht="18.75" customHeight="1" s="130"/>
    <row r="754" ht="18.75" customHeight="1" s="130"/>
    <row r="755" ht="18.75" customHeight="1" s="130"/>
    <row r="756" ht="18.75" customHeight="1" s="130"/>
    <row r="757" ht="18.75" customHeight="1" s="130"/>
    <row r="758" ht="18.75" customHeight="1" s="130"/>
    <row r="759" ht="18.75" customHeight="1" s="130"/>
    <row r="760" ht="18.75" customHeight="1" s="130"/>
    <row r="761" ht="18.75" customHeight="1" s="130"/>
    <row r="762" ht="18.75" customHeight="1" s="130"/>
    <row r="763" ht="18.75" customHeight="1" s="130"/>
    <row r="764" ht="18.75" customHeight="1" s="130"/>
    <row r="765" ht="18.75" customHeight="1" s="130"/>
    <row r="766" ht="18.75" customHeight="1" s="130"/>
    <row r="767" ht="18.75" customHeight="1" s="130"/>
    <row r="768" ht="18.75" customHeight="1" s="130"/>
    <row r="769" ht="18.75" customHeight="1" s="130"/>
    <row r="770" ht="18.75" customHeight="1" s="130"/>
    <row r="771" ht="18.75" customHeight="1" s="130"/>
    <row r="772" ht="18.75" customHeight="1" s="130"/>
    <row r="773" ht="18.75" customHeight="1" s="130"/>
    <row r="774" ht="18.75" customHeight="1" s="130"/>
    <row r="775" ht="18.75" customHeight="1" s="130"/>
    <row r="776" ht="18.75" customHeight="1" s="130"/>
    <row r="777" ht="18.75" customHeight="1" s="130"/>
    <row r="778" ht="18.75" customHeight="1" s="130"/>
    <row r="779" ht="18.75" customHeight="1" s="130"/>
    <row r="780" ht="18.75" customHeight="1" s="130"/>
    <row r="781" ht="18.75" customHeight="1" s="130"/>
    <row r="782" ht="18.75" customHeight="1" s="130"/>
    <row r="783" ht="18.75" customHeight="1" s="130"/>
    <row r="784" ht="18.75" customHeight="1" s="130"/>
    <row r="785" ht="18.75" customHeight="1" s="130"/>
    <row r="786" ht="18.75" customHeight="1" s="130"/>
    <row r="787" ht="18.75" customHeight="1" s="130"/>
    <row r="788" ht="18.75" customHeight="1" s="130"/>
    <row r="789" ht="18.75" customHeight="1" s="130"/>
    <row r="790" ht="18.75" customHeight="1" s="130"/>
    <row r="791" ht="18.75" customHeight="1" s="130"/>
    <row r="792" ht="18.75" customHeight="1" s="130"/>
    <row r="793" ht="18.75" customHeight="1" s="130"/>
    <row r="794" ht="18.75" customHeight="1" s="130"/>
    <row r="795" ht="18.75" customHeight="1" s="130"/>
    <row r="796" ht="18.75" customHeight="1" s="130"/>
    <row r="797" ht="18.75" customHeight="1" s="130"/>
    <row r="798" ht="18.75" customHeight="1" s="130"/>
    <row r="799" ht="18.75" customHeight="1" s="130"/>
    <row r="800" ht="18.75" customHeight="1" s="130"/>
    <row r="801" ht="18.75" customHeight="1" s="130"/>
    <row r="802" ht="18.75" customHeight="1" s="130"/>
    <row r="803" ht="18.75" customHeight="1" s="130"/>
    <row r="804" ht="18.75" customHeight="1" s="130"/>
    <row r="805" ht="18.75" customHeight="1" s="130"/>
    <row r="806" ht="18.75" customHeight="1" s="130"/>
    <row r="807" ht="18.75" customHeight="1" s="130"/>
    <row r="808" ht="18.75" customHeight="1" s="130"/>
    <row r="809" ht="18.75" customHeight="1" s="130"/>
    <row r="810" ht="18.75" customHeight="1" s="130"/>
    <row r="811" ht="18.75" customHeight="1" s="130"/>
    <row r="812" ht="18.75" customHeight="1" s="130"/>
    <row r="813" ht="18.75" customHeight="1" s="130"/>
    <row r="814" ht="18.75" customHeight="1" s="130"/>
    <row r="815" ht="18.75" customHeight="1" s="130"/>
    <row r="816" ht="18.75" customHeight="1" s="130"/>
    <row r="817" ht="18.75" customHeight="1" s="130"/>
    <row r="818" ht="18.75" customHeight="1" s="130"/>
    <row r="819" ht="18.75" customHeight="1" s="130"/>
    <row r="820" ht="18.75" customHeight="1" s="130"/>
    <row r="821" ht="18.75" customHeight="1" s="130"/>
    <row r="822" ht="18.75" customHeight="1" s="130"/>
    <row r="823" ht="18.75" customHeight="1" s="130"/>
    <row r="824" ht="18.75" customHeight="1" s="130"/>
    <row r="825" ht="18.75" customHeight="1" s="130"/>
    <row r="826" ht="18.75" customHeight="1" s="130"/>
    <row r="827" ht="18.75" customHeight="1" s="130"/>
    <row r="828" ht="18.75" customHeight="1" s="130"/>
    <row r="829" ht="18.75" customHeight="1" s="130"/>
    <row r="830" ht="18.75" customHeight="1" s="130"/>
    <row r="831" ht="18.75" customHeight="1" s="130"/>
    <row r="832" ht="18.75" customHeight="1" s="130"/>
    <row r="833" ht="18.75" customHeight="1" s="130"/>
    <row r="834" ht="18.75" customHeight="1" s="130"/>
    <row r="835" ht="18.75" customHeight="1" s="130"/>
    <row r="836" ht="18.75" customHeight="1" s="130"/>
    <row r="837" ht="18.75" customHeight="1" s="130"/>
    <row r="838" ht="18.75" customHeight="1" s="130"/>
    <row r="839" ht="18.75" customHeight="1" s="130"/>
    <row r="840" ht="18.75" customHeight="1" s="130"/>
    <row r="841" ht="18.75" customHeight="1" s="130"/>
    <row r="842" ht="18.75" customHeight="1" s="130"/>
    <row r="843" ht="18.75" customHeight="1" s="130"/>
    <row r="844" ht="18.75" customHeight="1" s="130"/>
    <row r="845" ht="18.75" customHeight="1" s="130"/>
    <row r="846" ht="18.75" customHeight="1" s="130"/>
    <row r="847" ht="18.75" customHeight="1" s="130"/>
    <row r="848" ht="18.75" customHeight="1" s="130"/>
    <row r="849" ht="18.75" customHeight="1" s="130"/>
    <row r="850" ht="18.75" customHeight="1" s="130"/>
    <row r="851" ht="18.75" customHeight="1" s="130"/>
    <row r="852" ht="18.75" customHeight="1" s="130"/>
    <row r="853" ht="18.75" customHeight="1" s="130"/>
    <row r="854" ht="18.75" customHeight="1" s="130"/>
    <row r="855" ht="18.75" customHeight="1" s="130"/>
    <row r="856" ht="18.75" customHeight="1" s="130"/>
    <row r="857" ht="18.75" customHeight="1" s="130"/>
    <row r="858" ht="18.75" customHeight="1" s="130"/>
    <row r="859" ht="18.75" customHeight="1" s="130"/>
    <row r="860" ht="18.75" customHeight="1" s="130"/>
    <row r="861" ht="18.75" customHeight="1" s="130"/>
    <row r="862" ht="18.75" customHeight="1" s="130"/>
    <row r="863" ht="18.75" customHeight="1" s="130"/>
    <row r="864" ht="18.75" customHeight="1" s="130"/>
    <row r="865" ht="18.75" customHeight="1" s="130"/>
    <row r="866" ht="18.75" customHeight="1" s="130"/>
    <row r="867" ht="18.75" customHeight="1" s="130"/>
    <row r="868" ht="18.75" customHeight="1" s="130"/>
    <row r="869" ht="18.75" customHeight="1" s="130"/>
    <row r="870" ht="18.75" customHeight="1" s="130"/>
    <row r="871" ht="18.75" customHeight="1" s="130"/>
    <row r="872" ht="18.75" customHeight="1" s="130"/>
    <row r="873" ht="18.75" customHeight="1" s="130"/>
    <row r="874" ht="18.75" customHeight="1" s="130"/>
    <row r="875" ht="18.75" customHeight="1" s="130"/>
    <row r="876" ht="18.75" customHeight="1" s="130"/>
    <row r="877" ht="18.75" customHeight="1" s="130"/>
    <row r="878" ht="18.75" customHeight="1" s="130"/>
    <row r="879" ht="18.75" customHeight="1" s="130"/>
    <row r="880" ht="18.75" customHeight="1" s="130"/>
    <row r="881" ht="18.75" customHeight="1" s="130"/>
    <row r="882" ht="18.75" customHeight="1" s="130"/>
    <row r="883" ht="18.75" customHeight="1" s="130"/>
    <row r="884" ht="18.75" customHeight="1" s="130"/>
    <row r="885" ht="18.75" customHeight="1" s="130"/>
    <row r="886" ht="18.75" customHeight="1" s="130"/>
    <row r="887" ht="18.75" customHeight="1" s="130"/>
    <row r="888" ht="18.75" customHeight="1" s="130"/>
    <row r="889" ht="18.75" customHeight="1" s="130"/>
    <row r="890" ht="18.75" customHeight="1" s="130"/>
    <row r="891" ht="18.75" customHeight="1" s="130"/>
    <row r="892" ht="18.75" customHeight="1" s="130"/>
    <row r="893" ht="18.75" customHeight="1" s="130"/>
    <row r="894" ht="18.75" customHeight="1" s="130"/>
    <row r="895" ht="18.75" customHeight="1" s="130"/>
    <row r="896" ht="18.75" customHeight="1" s="130"/>
    <row r="897" ht="18.75" customHeight="1" s="130"/>
    <row r="898" ht="18.75" customHeight="1" s="130"/>
    <row r="899" ht="18.75" customHeight="1" s="130"/>
    <row r="900" ht="18.75" customHeight="1" s="130"/>
    <row r="901" ht="18.75" customHeight="1" s="130"/>
    <row r="902" ht="18.75" customHeight="1" s="130"/>
    <row r="903" ht="18.75" customHeight="1" s="130"/>
    <row r="904" ht="18.75" customHeight="1" s="130"/>
    <row r="905" ht="18.75" customHeight="1" s="130"/>
    <row r="906" ht="18.75" customHeight="1" s="130"/>
    <row r="907" ht="18.75" customHeight="1" s="130"/>
    <row r="908" ht="18.75" customHeight="1" s="130"/>
    <row r="909" ht="18.75" customHeight="1" s="130"/>
    <row r="910" ht="18.75" customHeight="1" s="130"/>
    <row r="911" ht="18.75" customHeight="1" s="130"/>
    <row r="912" ht="18.75" customHeight="1" s="130"/>
    <row r="913" ht="18.75" customHeight="1" s="130"/>
    <row r="914" ht="18.75" customHeight="1" s="130"/>
    <row r="915" ht="18.75" customHeight="1" s="130"/>
    <row r="916" ht="18.75" customHeight="1" s="130"/>
    <row r="917" ht="18.75" customHeight="1" s="130"/>
    <row r="918" ht="18.75" customHeight="1" s="130"/>
    <row r="919" ht="18.75" customHeight="1" s="130"/>
    <row r="920" ht="18.75" customHeight="1" s="130"/>
    <row r="921" ht="18.75" customHeight="1" s="130"/>
    <row r="922" ht="18.75" customHeight="1" s="130"/>
    <row r="923" ht="18.75" customHeight="1" s="130"/>
    <row r="924" ht="18.75" customHeight="1" s="130"/>
    <row r="925" ht="18.75" customHeight="1" s="130"/>
    <row r="926" ht="18.75" customHeight="1" s="130"/>
    <row r="927" ht="18.75" customHeight="1" s="130"/>
    <row r="928" ht="18.75" customHeight="1" s="130"/>
    <row r="929" ht="18.75" customHeight="1" s="130"/>
    <row r="930" ht="18.75" customHeight="1" s="130"/>
    <row r="931" ht="18.75" customHeight="1" s="130"/>
    <row r="932" ht="18.75" customHeight="1" s="130"/>
    <row r="933" ht="18.75" customHeight="1" s="130"/>
    <row r="934" ht="18.75" customHeight="1" s="130"/>
    <row r="935" ht="18.75" customHeight="1" s="130"/>
    <row r="936" ht="18.75" customHeight="1" s="130"/>
    <row r="937" ht="18.75" customHeight="1" s="130"/>
    <row r="938" ht="18.75" customHeight="1" s="130"/>
    <row r="939" ht="18.75" customHeight="1" s="130"/>
    <row r="940" ht="18.75" customHeight="1" s="130"/>
    <row r="941" ht="18.75" customHeight="1" s="130"/>
    <row r="942" ht="18.75" customHeight="1" s="130"/>
    <row r="943" ht="18.75" customHeight="1" s="130"/>
    <row r="944" ht="18.75" customHeight="1" s="130"/>
    <row r="945" ht="18.75" customHeight="1" s="130"/>
    <row r="946" ht="18.75" customHeight="1" s="130"/>
    <row r="947" ht="18.75" customHeight="1" s="130"/>
    <row r="948" ht="18.75" customHeight="1" s="130"/>
    <row r="949" ht="18.75" customHeight="1" s="130"/>
    <row r="950" ht="18.75" customHeight="1" s="130"/>
    <row r="951" ht="18.75" customHeight="1" s="130"/>
    <row r="952" ht="18.75" customHeight="1" s="130"/>
    <row r="953" ht="18.75" customHeight="1" s="130"/>
    <row r="954" ht="18.75" customHeight="1" s="130"/>
    <row r="955" ht="18.75" customHeight="1" s="130"/>
    <row r="956" ht="18.75" customHeight="1" s="130"/>
    <row r="957" ht="18.75" customHeight="1" s="130"/>
    <row r="958" ht="18.75" customHeight="1" s="130"/>
    <row r="959" ht="18.75" customHeight="1" s="130"/>
    <row r="960" ht="18.75" customHeight="1" s="130"/>
    <row r="961" ht="18.75" customHeight="1" s="130"/>
    <row r="962" ht="18.75" customHeight="1" s="130"/>
    <row r="963" ht="18.75" customHeight="1" s="130"/>
    <row r="964" ht="18.75" customHeight="1" s="130"/>
    <row r="965" ht="18.75" customHeight="1" s="130"/>
    <row r="966" ht="18.75" customHeight="1" s="130"/>
    <row r="967" ht="18.75" customHeight="1" s="130"/>
    <row r="968" ht="18.75" customHeight="1" s="130"/>
    <row r="969" ht="18.75" customHeight="1" s="130"/>
    <row r="970" ht="18.75" customHeight="1" s="130"/>
    <row r="971" ht="18.75" customHeight="1" s="130"/>
    <row r="972" ht="18.75" customHeight="1" s="130"/>
    <row r="973" ht="18.75" customHeight="1" s="130"/>
    <row r="974" ht="18.75" customHeight="1" s="130"/>
    <row r="975" ht="18.75" customHeight="1" s="130"/>
    <row r="976" ht="18.75" customHeight="1" s="130"/>
    <row r="977" ht="18.75" customHeight="1" s="130"/>
    <row r="978" ht="18.75" customHeight="1" s="130"/>
    <row r="979" ht="18.75" customHeight="1" s="130"/>
    <row r="980" ht="18.75" customHeight="1" s="130"/>
    <row r="981" ht="18.75" customHeight="1" s="130"/>
    <row r="982" ht="18.75" customHeight="1" s="130"/>
    <row r="983" ht="18.75" customHeight="1" s="130"/>
    <row r="984" ht="18.75" customHeight="1" s="130"/>
    <row r="985" ht="18.75" customHeight="1" s="130"/>
    <row r="986" ht="18.75" customHeight="1" s="130"/>
    <row r="987" ht="18.75" customHeight="1" s="130"/>
    <row r="988" ht="18.75" customHeight="1" s="130"/>
    <row r="989" ht="18.75" customHeight="1" s="130"/>
    <row r="990" ht="18.75" customHeight="1" s="130"/>
    <row r="991" ht="18.75" customHeight="1" s="130"/>
    <row r="992" ht="18.75" customHeight="1" s="130"/>
    <row r="993" ht="18.75" customHeight="1" s="130"/>
    <row r="994" ht="18.75" customHeight="1" s="130"/>
    <row r="995" ht="18.75" customHeight="1" s="130"/>
    <row r="996" ht="18.75" customHeight="1" s="130"/>
    <row r="997" ht="18.75" customHeight="1" s="130"/>
    <row r="998" ht="18.75" customHeight="1" s="130"/>
    <row r="999" ht="18.75" customHeight="1" s="130"/>
    <row r="1000" ht="18.75" customHeight="1" s="130"/>
    <row r="1001" ht="18.75" customHeight="1" s="130"/>
    <row r="1002" ht="18.75" customHeight="1" s="130"/>
    <row r="1003" ht="18.75" customHeight="1" s="130"/>
    <row r="1004" ht="18.75" customHeight="1" s="130"/>
    <row r="1005" ht="18.75" customHeight="1" s="130"/>
    <row r="1006" ht="18.75" customHeight="1" s="130"/>
    <row r="1007" ht="18.75" customHeight="1" s="130"/>
    <row r="1008" ht="18.75" customHeight="1" s="130"/>
    <row r="1009" ht="18.75" customHeight="1" s="130"/>
    <row r="1010" ht="18.75" customHeight="1" s="130"/>
    <row r="1011" ht="18.75" customHeight="1" s="130"/>
    <row r="1012" ht="18.75" customHeight="1" s="130"/>
    <row r="1013" ht="18.75" customHeight="1" s="130"/>
    <row r="1014" ht="18.75" customHeight="1" s="130"/>
    <row r="1015" ht="18.75" customHeight="1" s="130"/>
    <row r="1016" ht="18.75" customHeight="1" s="130"/>
    <row r="1017" ht="18.75" customHeight="1" s="130"/>
    <row r="1018" ht="18.75" customHeight="1" s="130"/>
    <row r="1019" ht="18.75" customHeight="1" s="130"/>
    <row r="1020" ht="18.75" customHeight="1" s="130"/>
    <row r="1021" ht="18.75" customHeight="1" s="130"/>
    <row r="1022" ht="18.75" customHeight="1" s="130"/>
    <row r="1023" ht="18.75" customHeight="1" s="130"/>
    <row r="1024" ht="18.75" customHeight="1" s="130"/>
    <row r="1025" ht="18.75" customHeight="1" s="130"/>
    <row r="1026" ht="18.75" customHeight="1" s="130"/>
    <row r="1027" ht="18.75" customHeight="1" s="130"/>
    <row r="1028" ht="18.75" customHeight="1" s="130"/>
    <row r="1029" ht="18.75" customHeight="1" s="130"/>
    <row r="1030" ht="18.75" customHeight="1" s="130"/>
    <row r="1031" ht="18.75" customHeight="1" s="130"/>
    <row r="1032" ht="18.75" customHeight="1" s="130"/>
    <row r="1033" ht="18.75" customHeight="1" s="130"/>
    <row r="1034" ht="18.75" customHeight="1" s="130"/>
    <row r="1035" ht="18.75" customHeight="1" s="130"/>
    <row r="1036" ht="18.75" customHeight="1" s="130"/>
    <row r="1037" ht="18.75" customHeight="1" s="130"/>
    <row r="1038" ht="18.75" customHeight="1" s="130"/>
    <row r="1039" ht="18.75" customHeight="1" s="130"/>
  </sheetData>
  <autoFilter ref="A4:P60"/>
  <mergeCells count="2">
    <mergeCell ref="A1:P1"/>
    <mergeCell ref="A2:P2"/>
  </mergeCells>
  <dataValidations count="4">
    <dataValidation sqref="B5:B1039" showDropDown="0" showInputMessage="0" showErrorMessage="1" allowBlank="1" type="list" errorStyle="warning">
      <formula1>"Need,Fact,Requirement,Constraint,Criterion,Assumption,Directive,Decision,Finding"</formula1>
      <formula2>0</formula2>
    </dataValidation>
    <dataValidation sqref="G5:G1039" showDropDown="0" showInputMessage="0" showErrorMessage="1" allowBlank="1" type="list" errorStyle="warning">
      <formula1>"applicable,candidate,not_applicable,unresolved,superseded"</formula1>
      <formula2>0</formula2>
    </dataValidation>
    <dataValidation sqref="H5:H1039" showDropDown="0" showInputMessage="0" showErrorMessage="1" allowBlank="1" type="list" errorStyle="warning">
      <formula1>"high,medium,low,unknown"</formula1>
      <formula2>0</formula2>
    </dataValidation>
    <dataValidation sqref="I5:I1039" showDropDown="0" showInputMessage="0" showErrorMessage="1" allowBlank="1" type="list" errorStyle="warning">
      <formula1>"unreviewed,provisional,reviewed,approved,superseded,rejected"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0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0" min="1" max="1"/>
    <col width="21" customWidth="1" style="130" min="2" max="2"/>
    <col width="22" customWidth="1" style="130" min="3" max="3"/>
    <col width="27" customWidth="1" style="130" min="4" max="4"/>
    <col width="21" customWidth="1" style="130" min="5" max="5"/>
    <col width="23" customWidth="1" style="130" min="6" max="6"/>
    <col width="31" customWidth="1" style="130" min="7" max="7"/>
    <col width="20" customWidth="1" style="130" min="8" max="8"/>
    <col width="64" customWidth="1" style="130" min="9" max="9"/>
    <col width="30" customWidth="1" style="130" min="10" max="10"/>
  </cols>
  <sheetData>
    <row r="1" ht="27.75" customHeight="1" s="130">
      <c r="A1" s="131" t="inlineStr">
        <is>
          <t>LINKS | Typed Relationships</t>
        </is>
      </c>
    </row>
    <row r="2" ht="24.75" customHeight="1" s="130">
      <c r="A2" s="129" t="inlineStr">
        <is>
          <t>Typed cross-record links; WorkPackage tracks_scope Scope links connect progress to contractual obligations.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Link ID</t>
        </is>
      </c>
      <c r="B4" s="135" t="inlineStr">
        <is>
          <t>From Type</t>
        </is>
      </c>
      <c r="C4" s="135" t="inlineStr">
        <is>
          <t>From ID</t>
        </is>
      </c>
      <c r="D4" s="135" t="inlineStr">
        <is>
          <t>Relationship</t>
        </is>
      </c>
      <c r="E4" s="135" t="inlineStr">
        <is>
          <t>To Type</t>
        </is>
      </c>
      <c r="F4" s="135" t="inlineStr">
        <is>
          <t>To ID</t>
        </is>
      </c>
      <c r="G4" s="135" t="inlineStr">
        <is>
          <t>Source IDs</t>
        </is>
      </c>
      <c r="H4" s="135" t="inlineStr">
        <is>
          <t>Review State</t>
        </is>
      </c>
      <c r="I4" s="135" t="inlineStr">
        <is>
          <t>Notes</t>
        </is>
      </c>
      <c r="J4" s="135" t="inlineStr">
        <is>
          <t>Linked Scope State (derived)</t>
        </is>
      </c>
    </row>
    <row r="5" ht="21.75" customHeight="1" s="130">
      <c r="J5" s="107">
        <f>IF(OR(B5&lt;&gt;"WorkPackage",D5&lt;&gt;"tracks_scope",E5&lt;&gt;"Scope",F5=""),"",IFERROR(INDEX(SCOPES!$K$5:$K$2000,MATCH(F5,SCOPES!$A$5:$A$2000,0)),"UNMATCHED"))</f>
        <v/>
      </c>
    </row>
    <row r="6" ht="21.75" customHeight="1" s="130">
      <c r="J6" s="107">
        <f>IF(OR(B6&lt;&gt;"WorkPackage",D6&lt;&gt;"tracks_scope",E6&lt;&gt;"Scope",F6=""),"",IFERROR(INDEX(SCOPES!$K$5:$K$2000,MATCH(F6,SCOPES!$A$5:$A$2000,0)),"UNMATCHED"))</f>
        <v/>
      </c>
    </row>
    <row r="7" ht="21.75" customHeight="1" s="130">
      <c r="J7" s="107">
        <f>IF(OR(B7&lt;&gt;"WorkPackage",D7&lt;&gt;"tracks_scope",E7&lt;&gt;"Scope",F7=""),"",IFERROR(INDEX(SCOPES!$K$5:$K$2000,MATCH(F7,SCOPES!$A$5:$A$2000,0)),"UNMATCHED"))</f>
        <v/>
      </c>
    </row>
    <row r="8" ht="21.75" customHeight="1" s="130">
      <c r="J8" s="107">
        <f>IF(OR(B8&lt;&gt;"WorkPackage",D8&lt;&gt;"tracks_scope",E8&lt;&gt;"Scope",F8=""),"",IFERROR(INDEX(SCOPES!$K$5:$K$2000,MATCH(F8,SCOPES!$A$5:$A$2000,0)),"UNMATCHED"))</f>
        <v/>
      </c>
    </row>
    <row r="9" ht="21.75" customHeight="1" s="130">
      <c r="J9" s="107">
        <f>IF(OR(B9&lt;&gt;"WorkPackage",D9&lt;&gt;"tracks_scope",E9&lt;&gt;"Scope",F9=""),"",IFERROR(INDEX(SCOPES!$K$5:$K$2000,MATCH(F9,SCOPES!$A$5:$A$2000,0)),"UNMATCHED"))</f>
        <v/>
      </c>
    </row>
    <row r="10" ht="21.75" customHeight="1" s="130">
      <c r="J10" s="107">
        <f>IF(OR(B10&lt;&gt;"WorkPackage",D10&lt;&gt;"tracks_scope",E10&lt;&gt;"Scope",F10=""),"",IFERROR(INDEX(SCOPES!$K$5:$K$2000,MATCH(F10,SCOPES!$A$5:$A$2000,0)),"UNMATCHED"))</f>
        <v/>
      </c>
    </row>
    <row r="11" ht="21.75" customHeight="1" s="130">
      <c r="J11" s="107">
        <f>IF(OR(B11&lt;&gt;"WorkPackage",D11&lt;&gt;"tracks_scope",E11&lt;&gt;"Scope",F11=""),"",IFERROR(INDEX(SCOPES!$K$5:$K$2000,MATCH(F11,SCOPES!$A$5:$A$2000,0)),"UNMATCHED"))</f>
        <v/>
      </c>
    </row>
    <row r="12" ht="21.75" customHeight="1" s="130">
      <c r="J12" s="107">
        <f>IF(OR(B12&lt;&gt;"WorkPackage",D12&lt;&gt;"tracks_scope",E12&lt;&gt;"Scope",F12=""),"",IFERROR(INDEX(SCOPES!$K$5:$K$2000,MATCH(F12,SCOPES!$A$5:$A$2000,0)),"UNMATCHED"))</f>
        <v/>
      </c>
    </row>
    <row r="13" ht="21.75" customHeight="1" s="130">
      <c r="J13" s="107">
        <f>IF(OR(B13&lt;&gt;"WorkPackage",D13&lt;&gt;"tracks_scope",E13&lt;&gt;"Scope",F13=""),"",IFERROR(INDEX(SCOPES!$K$5:$K$2000,MATCH(F13,SCOPES!$A$5:$A$2000,0)),"UNMATCHED"))</f>
        <v/>
      </c>
    </row>
    <row r="14" ht="21.75" customHeight="1" s="130">
      <c r="J14" s="107">
        <f>IF(OR(B14&lt;&gt;"WorkPackage",D14&lt;&gt;"tracks_scope",E14&lt;&gt;"Scope",F14=""),"",IFERROR(INDEX(SCOPES!$K$5:$K$2000,MATCH(F14,SCOPES!$A$5:$A$2000,0)),"UNMATCHED"))</f>
        <v/>
      </c>
    </row>
    <row r="15" ht="21.75" customHeight="1" s="130">
      <c r="J15" s="107">
        <f>IF(OR(B15&lt;&gt;"WorkPackage",D15&lt;&gt;"tracks_scope",E15&lt;&gt;"Scope",F15=""),"",IFERROR(INDEX(SCOPES!$K$5:$K$2000,MATCH(F15,SCOPES!$A$5:$A$2000,0)),"UNMATCHED"))</f>
        <v/>
      </c>
    </row>
    <row r="16" ht="21.75" customHeight="1" s="130">
      <c r="J16" s="107">
        <f>IF(OR(B16&lt;&gt;"WorkPackage",D16&lt;&gt;"tracks_scope",E16&lt;&gt;"Scope",F16=""),"",IFERROR(INDEX(SCOPES!$K$5:$K$2000,MATCH(F16,SCOPES!$A$5:$A$2000,0)),"UNMATCHED"))</f>
        <v/>
      </c>
    </row>
    <row r="17" ht="21.75" customHeight="1" s="130">
      <c r="J17" s="107">
        <f>IF(OR(B17&lt;&gt;"WorkPackage",D17&lt;&gt;"tracks_scope",E17&lt;&gt;"Scope",F17=""),"",IFERROR(INDEX(SCOPES!$K$5:$K$2000,MATCH(F17,SCOPES!$A$5:$A$2000,0)),"UNMATCHED"))</f>
        <v/>
      </c>
    </row>
    <row r="18" ht="21.75" customHeight="1" s="130">
      <c r="J18" s="107">
        <f>IF(OR(B18&lt;&gt;"WorkPackage",D18&lt;&gt;"tracks_scope",E18&lt;&gt;"Scope",F18=""),"",IFERROR(INDEX(SCOPES!$K$5:$K$2000,MATCH(F18,SCOPES!$A$5:$A$2000,0)),"UNMATCHED"))</f>
        <v/>
      </c>
    </row>
    <row r="19" ht="21.75" customHeight="1" s="130">
      <c r="J19" s="107">
        <f>IF(OR(B19&lt;&gt;"WorkPackage",D19&lt;&gt;"tracks_scope",E19&lt;&gt;"Scope",F19=""),"",IFERROR(INDEX(SCOPES!$K$5:$K$2000,MATCH(F19,SCOPES!$A$5:$A$2000,0)),"UNMATCHED"))</f>
        <v/>
      </c>
    </row>
    <row r="20" ht="21.75" customHeight="1" s="130">
      <c r="J20" s="107">
        <f>IF(OR(B20&lt;&gt;"WorkPackage",D20&lt;&gt;"tracks_scope",E20&lt;&gt;"Scope",F20=""),"",IFERROR(INDEX(SCOPES!$K$5:$K$2000,MATCH(F20,SCOPES!$A$5:$A$2000,0)),"UNMATCHED"))</f>
        <v/>
      </c>
    </row>
    <row r="21" ht="21.75" customHeight="1" s="130">
      <c r="J21" s="107">
        <f>IF(OR(B21&lt;&gt;"WorkPackage",D21&lt;&gt;"tracks_scope",E21&lt;&gt;"Scope",F21=""),"",IFERROR(INDEX(SCOPES!$K$5:$K$2000,MATCH(F21,SCOPES!$A$5:$A$2000,0)),"UNMATCHED"))</f>
        <v/>
      </c>
    </row>
    <row r="22" ht="21.75" customHeight="1" s="130">
      <c r="J22" s="107">
        <f>IF(OR(B22&lt;&gt;"WorkPackage",D22&lt;&gt;"tracks_scope",E22&lt;&gt;"Scope",F22=""),"",IFERROR(INDEX(SCOPES!$K$5:$K$2000,MATCH(F22,SCOPES!$A$5:$A$2000,0)),"UNMATCHED"))</f>
        <v/>
      </c>
    </row>
    <row r="23" ht="21.75" customHeight="1" s="130">
      <c r="J23" s="107">
        <f>IF(OR(B23&lt;&gt;"WorkPackage",D23&lt;&gt;"tracks_scope",E23&lt;&gt;"Scope",F23=""),"",IFERROR(INDEX(SCOPES!$K$5:$K$2000,MATCH(F23,SCOPES!$A$5:$A$2000,0)),"UNMATCHED"))</f>
        <v/>
      </c>
    </row>
    <row r="24" ht="21.75" customHeight="1" s="130">
      <c r="J24" s="107">
        <f>IF(OR(B24&lt;&gt;"WorkPackage",D24&lt;&gt;"tracks_scope",E24&lt;&gt;"Scope",F24=""),"",IFERROR(INDEX(SCOPES!$K$5:$K$2000,MATCH(F24,SCOPES!$A$5:$A$2000,0)),"UNMATCHED"))</f>
        <v/>
      </c>
    </row>
    <row r="25" ht="21.75" customHeight="1" s="130">
      <c r="J25" s="107">
        <f>IF(OR(B25&lt;&gt;"WorkPackage",D25&lt;&gt;"tracks_scope",E25&lt;&gt;"Scope",F25=""),"",IFERROR(INDEX(SCOPES!$K$5:$K$2000,MATCH(F25,SCOPES!$A$5:$A$2000,0)),"UNMATCHED"))</f>
        <v/>
      </c>
    </row>
    <row r="26" ht="21.75" customHeight="1" s="130">
      <c r="J26" s="107">
        <f>IF(OR(B26&lt;&gt;"WorkPackage",D26&lt;&gt;"tracks_scope",E26&lt;&gt;"Scope",F26=""),"",IFERROR(INDEX(SCOPES!$K$5:$K$2000,MATCH(F26,SCOPES!$A$5:$A$2000,0)),"UNMATCHED"))</f>
        <v/>
      </c>
    </row>
    <row r="27" ht="21.75" customHeight="1" s="130">
      <c r="J27" s="107">
        <f>IF(OR(B27&lt;&gt;"WorkPackage",D27&lt;&gt;"tracks_scope",E27&lt;&gt;"Scope",F27=""),"",IFERROR(INDEX(SCOPES!$K$5:$K$2000,MATCH(F27,SCOPES!$A$5:$A$2000,0)),"UNMATCHED"))</f>
        <v/>
      </c>
    </row>
    <row r="28" ht="21.75" customHeight="1" s="130">
      <c r="J28" s="107">
        <f>IF(OR(B28&lt;&gt;"WorkPackage",D28&lt;&gt;"tracks_scope",E28&lt;&gt;"Scope",F28=""),"",IFERROR(INDEX(SCOPES!$K$5:$K$2000,MATCH(F28,SCOPES!$A$5:$A$2000,0)),"UNMATCHED"))</f>
        <v/>
      </c>
    </row>
    <row r="29" ht="21.75" customHeight="1" s="130">
      <c r="J29" s="107">
        <f>IF(OR(B29&lt;&gt;"WorkPackage",D29&lt;&gt;"tracks_scope",E29&lt;&gt;"Scope",F29=""),"",IFERROR(INDEX(SCOPES!$K$5:$K$2000,MATCH(F29,SCOPES!$A$5:$A$2000,0)),"UNMATCHED"))</f>
        <v/>
      </c>
    </row>
    <row r="30" ht="21.75" customHeight="1" s="130">
      <c r="J30" s="107">
        <f>IF(OR(B30&lt;&gt;"WorkPackage",D30&lt;&gt;"tracks_scope",E30&lt;&gt;"Scope",F30=""),"",IFERROR(INDEX(SCOPES!$K$5:$K$2000,MATCH(F30,SCOPES!$A$5:$A$2000,0)),"UNMATCHED"))</f>
        <v/>
      </c>
    </row>
    <row r="31" ht="21.75" customHeight="1" s="130">
      <c r="J31" s="107">
        <f>IF(OR(B31&lt;&gt;"WorkPackage",D31&lt;&gt;"tracks_scope",E31&lt;&gt;"Scope",F31=""),"",IFERROR(INDEX(SCOPES!$K$5:$K$2000,MATCH(F31,SCOPES!$A$5:$A$2000,0)),"UNMATCHED"))</f>
        <v/>
      </c>
    </row>
    <row r="32" ht="21.75" customHeight="1" s="130">
      <c r="J32" s="107">
        <f>IF(OR(B32&lt;&gt;"WorkPackage",D32&lt;&gt;"tracks_scope",E32&lt;&gt;"Scope",F32=""),"",IFERROR(INDEX(SCOPES!$K$5:$K$2000,MATCH(F32,SCOPES!$A$5:$A$2000,0)),"UNMATCHED"))</f>
        <v/>
      </c>
    </row>
    <row r="33" ht="21.75" customHeight="1" s="130">
      <c r="J33" s="107">
        <f>IF(OR(B33&lt;&gt;"WorkPackage",D33&lt;&gt;"tracks_scope",E33&lt;&gt;"Scope",F33=""),"",IFERROR(INDEX(SCOPES!$K$5:$K$2000,MATCH(F33,SCOPES!$A$5:$A$2000,0)),"UNMATCHED"))</f>
        <v/>
      </c>
    </row>
    <row r="34" ht="21.75" customHeight="1" s="130">
      <c r="J34" s="107">
        <f>IF(OR(B34&lt;&gt;"WorkPackage",D34&lt;&gt;"tracks_scope",E34&lt;&gt;"Scope",F34=""),"",IFERROR(INDEX(SCOPES!$K$5:$K$2000,MATCH(F34,SCOPES!$A$5:$A$2000,0)),"UNMATCHED"))</f>
        <v/>
      </c>
    </row>
    <row r="35" ht="21.75" customHeight="1" s="130">
      <c r="J35" s="107">
        <f>IF(OR(B35&lt;&gt;"WorkPackage",D35&lt;&gt;"tracks_scope",E35&lt;&gt;"Scope",F35=""),"",IFERROR(INDEX(SCOPES!$K$5:$K$2000,MATCH(F35,SCOPES!$A$5:$A$2000,0)),"UNMATCHED"))</f>
        <v/>
      </c>
    </row>
    <row r="36" ht="21.75" customHeight="1" s="130">
      <c r="J36" s="107">
        <f>IF(OR(B36&lt;&gt;"WorkPackage",D36&lt;&gt;"tracks_scope",E36&lt;&gt;"Scope",F36=""),"",IFERROR(INDEX(SCOPES!$K$5:$K$2000,MATCH(F36,SCOPES!$A$5:$A$2000,0)),"UNMATCHED"))</f>
        <v/>
      </c>
    </row>
    <row r="37" ht="21.75" customHeight="1" s="130">
      <c r="J37" s="107">
        <f>IF(OR(B37&lt;&gt;"WorkPackage",D37&lt;&gt;"tracks_scope",E37&lt;&gt;"Scope",F37=""),"",IFERROR(INDEX(SCOPES!$K$5:$K$2000,MATCH(F37,SCOPES!$A$5:$A$2000,0)),"UNMATCHED"))</f>
        <v/>
      </c>
    </row>
    <row r="38" ht="21.75" customHeight="1" s="130">
      <c r="J38" s="107">
        <f>IF(OR(B38&lt;&gt;"WorkPackage",D38&lt;&gt;"tracks_scope",E38&lt;&gt;"Scope",F38=""),"",IFERROR(INDEX(SCOPES!$K$5:$K$2000,MATCH(F38,SCOPES!$A$5:$A$2000,0)),"UNMATCHED"))</f>
        <v/>
      </c>
    </row>
    <row r="39" ht="21.75" customHeight="1" s="130">
      <c r="J39" s="107">
        <f>IF(OR(B39&lt;&gt;"WorkPackage",D39&lt;&gt;"tracks_scope",E39&lt;&gt;"Scope",F39=""),"",IFERROR(INDEX(SCOPES!$K$5:$K$2000,MATCH(F39,SCOPES!$A$5:$A$2000,0)),"UNMATCHED"))</f>
        <v/>
      </c>
    </row>
    <row r="40" ht="21.75" customHeight="1" s="130">
      <c r="J40" s="107">
        <f>IF(OR(B40&lt;&gt;"WorkPackage",D40&lt;&gt;"tracks_scope",E40&lt;&gt;"Scope",F40=""),"",IFERROR(INDEX(SCOPES!$K$5:$K$2000,MATCH(F40,SCOPES!$A$5:$A$2000,0)),"UNMATCHED"))</f>
        <v/>
      </c>
    </row>
    <row r="41" ht="21.75" customHeight="1" s="130">
      <c r="J41" s="107">
        <f>IF(OR(B41&lt;&gt;"WorkPackage",D41&lt;&gt;"tracks_scope",E41&lt;&gt;"Scope",F41=""),"",IFERROR(INDEX(SCOPES!$K$5:$K$2000,MATCH(F41,SCOPES!$A$5:$A$2000,0)),"UNMATCHED"))</f>
        <v/>
      </c>
    </row>
    <row r="42" ht="21.75" customHeight="1" s="130">
      <c r="J42" s="107">
        <f>IF(OR(B42&lt;&gt;"WorkPackage",D42&lt;&gt;"tracks_scope",E42&lt;&gt;"Scope",F42=""),"",IFERROR(INDEX(SCOPES!$K$5:$K$2000,MATCH(F42,SCOPES!$A$5:$A$2000,0)),"UNMATCHED"))</f>
        <v/>
      </c>
    </row>
    <row r="43" ht="21.75" customHeight="1" s="130">
      <c r="J43" s="107">
        <f>IF(OR(B43&lt;&gt;"WorkPackage",D43&lt;&gt;"tracks_scope",E43&lt;&gt;"Scope",F43=""),"",IFERROR(INDEX(SCOPES!$K$5:$K$2000,MATCH(F43,SCOPES!$A$5:$A$2000,0)),"UNMATCHED"))</f>
        <v/>
      </c>
    </row>
    <row r="44" ht="21.75" customHeight="1" s="130">
      <c r="J44" s="107">
        <f>IF(OR(B44&lt;&gt;"WorkPackage",D44&lt;&gt;"tracks_scope",E44&lt;&gt;"Scope",F44=""),"",IFERROR(INDEX(SCOPES!$K$5:$K$2000,MATCH(F44,SCOPES!$A$5:$A$2000,0)),"UNMATCHED"))</f>
        <v/>
      </c>
    </row>
    <row r="45" ht="21.75" customHeight="1" s="130">
      <c r="J45" s="107">
        <f>IF(OR(B45&lt;&gt;"WorkPackage",D45&lt;&gt;"tracks_scope",E45&lt;&gt;"Scope",F45=""),"",IFERROR(INDEX(SCOPES!$K$5:$K$2000,MATCH(F45,SCOPES!$A$5:$A$2000,0)),"UNMATCHED"))</f>
        <v/>
      </c>
    </row>
    <row r="46" ht="21.75" customHeight="1" s="130">
      <c r="J46" s="107">
        <f>IF(OR(B46&lt;&gt;"WorkPackage",D46&lt;&gt;"tracks_scope",E46&lt;&gt;"Scope",F46=""),"",IFERROR(INDEX(SCOPES!$K$5:$K$2000,MATCH(F46,SCOPES!$A$5:$A$2000,0)),"UNMATCHED"))</f>
        <v/>
      </c>
    </row>
    <row r="47" ht="21.75" customHeight="1" s="130">
      <c r="J47" s="107">
        <f>IF(OR(B47&lt;&gt;"WorkPackage",D47&lt;&gt;"tracks_scope",E47&lt;&gt;"Scope",F47=""),"",IFERROR(INDEX(SCOPES!$K$5:$K$2000,MATCH(F47,SCOPES!$A$5:$A$2000,0)),"UNMATCHED"))</f>
        <v/>
      </c>
    </row>
    <row r="48" ht="21.75" customHeight="1" s="130">
      <c r="J48" s="107">
        <f>IF(OR(B48&lt;&gt;"WorkPackage",D48&lt;&gt;"tracks_scope",E48&lt;&gt;"Scope",F48=""),"",IFERROR(INDEX(SCOPES!$K$5:$K$2000,MATCH(F48,SCOPES!$A$5:$A$2000,0)),"UNMATCHED"))</f>
        <v/>
      </c>
    </row>
    <row r="49" ht="21.75" customHeight="1" s="130">
      <c r="J49" s="107">
        <f>IF(OR(B49&lt;&gt;"WorkPackage",D49&lt;&gt;"tracks_scope",E49&lt;&gt;"Scope",F49=""),"",IFERROR(INDEX(SCOPES!$K$5:$K$2000,MATCH(F49,SCOPES!$A$5:$A$2000,0)),"UNMATCHED"))</f>
        <v/>
      </c>
    </row>
    <row r="50" ht="21.75" customHeight="1" s="130">
      <c r="J50" s="107">
        <f>IF(OR(B50&lt;&gt;"WorkPackage",D50&lt;&gt;"tracks_scope",E50&lt;&gt;"Scope",F50=""),"",IFERROR(INDEX(SCOPES!$K$5:$K$2000,MATCH(F50,SCOPES!$A$5:$A$2000,0)),"UNMATCHED"))</f>
        <v/>
      </c>
    </row>
    <row r="51" ht="21.75" customHeight="1" s="130">
      <c r="J51" s="107">
        <f>IF(OR(B51&lt;&gt;"WorkPackage",D51&lt;&gt;"tracks_scope",E51&lt;&gt;"Scope",F51=""),"",IFERROR(INDEX(SCOPES!$K$5:$K$2000,MATCH(F51,SCOPES!$A$5:$A$2000,0)),"UNMATCHED"))</f>
        <v/>
      </c>
    </row>
    <row r="52" ht="21.75" customHeight="1" s="130">
      <c r="J52" s="107">
        <f>IF(OR(B52&lt;&gt;"WorkPackage",D52&lt;&gt;"tracks_scope",E52&lt;&gt;"Scope",F52=""),"",IFERROR(INDEX(SCOPES!$K$5:$K$2000,MATCH(F52,SCOPES!$A$5:$A$2000,0)),"UNMATCHED"))</f>
        <v/>
      </c>
    </row>
    <row r="53" ht="21.75" customHeight="1" s="130">
      <c r="J53" s="107">
        <f>IF(OR(B53&lt;&gt;"WorkPackage",D53&lt;&gt;"tracks_scope",E53&lt;&gt;"Scope",F53=""),"",IFERROR(INDEX(SCOPES!$K$5:$K$2000,MATCH(F53,SCOPES!$A$5:$A$2000,0)),"UNMATCHED"))</f>
        <v/>
      </c>
    </row>
    <row r="54" ht="21.75" customHeight="1" s="130">
      <c r="J54" s="107">
        <f>IF(OR(B54&lt;&gt;"WorkPackage",D54&lt;&gt;"tracks_scope",E54&lt;&gt;"Scope",F54=""),"",IFERROR(INDEX(SCOPES!$K$5:$K$2000,MATCH(F54,SCOPES!$A$5:$A$2000,0)),"UNMATCHED"))</f>
        <v/>
      </c>
    </row>
    <row r="55" ht="21.75" customHeight="1" s="130">
      <c r="J55" s="107">
        <f>IF(OR(B55&lt;&gt;"WorkPackage",D55&lt;&gt;"tracks_scope",E55&lt;&gt;"Scope",F55=""),"",IFERROR(INDEX(SCOPES!$K$5:$K$2000,MATCH(F55,SCOPES!$A$5:$A$2000,0)),"UNMATCHED"))</f>
        <v/>
      </c>
    </row>
    <row r="56" ht="21.75" customHeight="1" s="130">
      <c r="J56" s="107">
        <f>IF(OR(B56&lt;&gt;"WorkPackage",D56&lt;&gt;"tracks_scope",E56&lt;&gt;"Scope",F56=""),"",IFERROR(INDEX(SCOPES!$K$5:$K$2000,MATCH(F56,SCOPES!$A$5:$A$2000,0)),"UNMATCHED"))</f>
        <v/>
      </c>
    </row>
    <row r="57" ht="21.75" customHeight="1" s="130">
      <c r="J57" s="107">
        <f>IF(OR(B57&lt;&gt;"WorkPackage",D57&lt;&gt;"tracks_scope",E57&lt;&gt;"Scope",F57=""),"",IFERROR(INDEX(SCOPES!$K$5:$K$2000,MATCH(F57,SCOPES!$A$5:$A$2000,0)),"UNMATCHED"))</f>
        <v/>
      </c>
    </row>
    <row r="58" ht="21.75" customHeight="1" s="130">
      <c r="J58" s="107">
        <f>IF(OR(B58&lt;&gt;"WorkPackage",D58&lt;&gt;"tracks_scope",E58&lt;&gt;"Scope",F58=""),"",IFERROR(INDEX(SCOPES!$K$5:$K$2000,MATCH(F58,SCOPES!$A$5:$A$2000,0)),"UNMATCHED"))</f>
        <v/>
      </c>
    </row>
    <row r="59" ht="21.75" customHeight="1" s="130">
      <c r="J59" s="107">
        <f>IF(OR(B59&lt;&gt;"WorkPackage",D59&lt;&gt;"tracks_scope",E59&lt;&gt;"Scope",F59=""),"",IFERROR(INDEX(SCOPES!$K$5:$K$2000,MATCH(F59,SCOPES!$A$5:$A$2000,0)),"UNMATCHED"))</f>
        <v/>
      </c>
    </row>
    <row r="60" ht="21.75" customHeight="1" s="130">
      <c r="J60" s="107">
        <f>IF(OR(B60&lt;&gt;"WorkPackage",D60&lt;&gt;"tracks_scope",E60&lt;&gt;"Scope",F60=""),"",IFERROR(INDEX(SCOPES!$K$5:$K$2000,MATCH(F60,SCOPES!$A$5:$A$2000,0)),"UNMATCHED"))</f>
        <v/>
      </c>
    </row>
    <row r="61" ht="21.75" customHeight="1" s="130">
      <c r="J61" s="107">
        <f>IF(OR(B61&lt;&gt;"WorkPackage",D61&lt;&gt;"tracks_scope",E61&lt;&gt;"Scope",F61=""),"",IFERROR(INDEX(SCOPES!$K$5:$K$2000,MATCH(F61,SCOPES!$A$5:$A$2000,0)),"UNMATCHED"))</f>
        <v/>
      </c>
    </row>
    <row r="62" ht="21.75" customHeight="1" s="130">
      <c r="J62" s="107">
        <f>IF(OR(B62&lt;&gt;"WorkPackage",D62&lt;&gt;"tracks_scope",E62&lt;&gt;"Scope",F62=""),"",IFERROR(INDEX(SCOPES!$K$5:$K$2000,MATCH(F62,SCOPES!$A$5:$A$2000,0)),"UNMATCHED"))</f>
        <v/>
      </c>
    </row>
    <row r="63" ht="21.75" customHeight="1" s="130">
      <c r="J63" s="107">
        <f>IF(OR(B63&lt;&gt;"WorkPackage",D63&lt;&gt;"tracks_scope",E63&lt;&gt;"Scope",F63=""),"",IFERROR(INDEX(SCOPES!$K$5:$K$2000,MATCH(F63,SCOPES!$A$5:$A$2000,0)),"UNMATCHED"))</f>
        <v/>
      </c>
    </row>
    <row r="64" ht="21.75" customHeight="1" s="130">
      <c r="J64" s="107">
        <f>IF(OR(B64&lt;&gt;"WorkPackage",D64&lt;&gt;"tracks_scope",E64&lt;&gt;"Scope",F64=""),"",IFERROR(INDEX(SCOPES!$K$5:$K$2000,MATCH(F64,SCOPES!$A$5:$A$2000,0)),"UNMATCHED"))</f>
        <v/>
      </c>
    </row>
    <row r="65" ht="21.75" customHeight="1" s="130">
      <c r="J65" s="107">
        <f>IF(OR(B65&lt;&gt;"WorkPackage",D65&lt;&gt;"tracks_scope",E65&lt;&gt;"Scope",F65=""),"",IFERROR(INDEX(SCOPES!$K$5:$K$2000,MATCH(F65,SCOPES!$A$5:$A$2000,0)),"UNMATCHED"))</f>
        <v/>
      </c>
    </row>
    <row r="66" ht="21.75" customHeight="1" s="130">
      <c r="J66" s="107">
        <f>IF(OR(B66&lt;&gt;"WorkPackage",D66&lt;&gt;"tracks_scope",E66&lt;&gt;"Scope",F66=""),"",IFERROR(INDEX(SCOPES!$K$5:$K$2000,MATCH(F66,SCOPES!$A$5:$A$2000,0)),"UNMATCHED"))</f>
        <v/>
      </c>
    </row>
    <row r="67" ht="21.75" customHeight="1" s="130">
      <c r="J67" s="107">
        <f>IF(OR(B67&lt;&gt;"WorkPackage",D67&lt;&gt;"tracks_scope",E67&lt;&gt;"Scope",F67=""),"",IFERROR(INDEX(SCOPES!$K$5:$K$2000,MATCH(F67,SCOPES!$A$5:$A$2000,0)),"UNMATCHED"))</f>
        <v/>
      </c>
    </row>
    <row r="68" ht="21.75" customHeight="1" s="130">
      <c r="J68" s="107">
        <f>IF(OR(B68&lt;&gt;"WorkPackage",D68&lt;&gt;"tracks_scope",E68&lt;&gt;"Scope",F68=""),"",IFERROR(INDEX(SCOPES!$K$5:$K$2000,MATCH(F68,SCOPES!$A$5:$A$2000,0)),"UNMATCHED"))</f>
        <v/>
      </c>
    </row>
    <row r="69" ht="21.75" customHeight="1" s="130">
      <c r="J69" s="107">
        <f>IF(OR(B69&lt;&gt;"WorkPackage",D69&lt;&gt;"tracks_scope",E69&lt;&gt;"Scope",F69=""),"",IFERROR(INDEX(SCOPES!$K$5:$K$2000,MATCH(F69,SCOPES!$A$5:$A$2000,0)),"UNMATCHED"))</f>
        <v/>
      </c>
    </row>
    <row r="70" ht="21.75" customHeight="1" s="130">
      <c r="J70" s="107">
        <f>IF(OR(B70&lt;&gt;"WorkPackage",D70&lt;&gt;"tracks_scope",E70&lt;&gt;"Scope",F70=""),"",IFERROR(INDEX(SCOPES!$K$5:$K$2000,MATCH(F70,SCOPES!$A$5:$A$2000,0)),"UNMATCHED"))</f>
        <v/>
      </c>
    </row>
    <row r="71" ht="21.75" customHeight="1" s="130">
      <c r="J71" s="107">
        <f>IF(OR(B71&lt;&gt;"WorkPackage",D71&lt;&gt;"tracks_scope",E71&lt;&gt;"Scope",F71=""),"",IFERROR(INDEX(SCOPES!$K$5:$K$2000,MATCH(F71,SCOPES!$A$5:$A$2000,0)),"UNMATCHED"))</f>
        <v/>
      </c>
    </row>
    <row r="72" ht="21.75" customHeight="1" s="130">
      <c r="J72" s="107">
        <f>IF(OR(B72&lt;&gt;"WorkPackage",D72&lt;&gt;"tracks_scope",E72&lt;&gt;"Scope",F72=""),"",IFERROR(INDEX(SCOPES!$K$5:$K$2000,MATCH(F72,SCOPES!$A$5:$A$2000,0)),"UNMATCHED"))</f>
        <v/>
      </c>
    </row>
    <row r="73" ht="21.75" customHeight="1" s="130">
      <c r="J73" s="107">
        <f>IF(OR(B73&lt;&gt;"WorkPackage",D73&lt;&gt;"tracks_scope",E73&lt;&gt;"Scope",F73=""),"",IFERROR(INDEX(SCOPES!$K$5:$K$2000,MATCH(F73,SCOPES!$A$5:$A$2000,0)),"UNMATCHED"))</f>
        <v/>
      </c>
    </row>
    <row r="74" ht="21.75" customHeight="1" s="130">
      <c r="J74" s="107">
        <f>IF(OR(B74&lt;&gt;"WorkPackage",D74&lt;&gt;"tracks_scope",E74&lt;&gt;"Scope",F74=""),"",IFERROR(INDEX(SCOPES!$K$5:$K$2000,MATCH(F74,SCOPES!$A$5:$A$2000,0)),"UNMATCHED"))</f>
        <v/>
      </c>
    </row>
    <row r="75" ht="21.75" customHeight="1" s="130">
      <c r="J75" s="107">
        <f>IF(OR(B75&lt;&gt;"WorkPackage",D75&lt;&gt;"tracks_scope",E75&lt;&gt;"Scope",F75=""),"",IFERROR(INDEX(SCOPES!$K$5:$K$2000,MATCH(F75,SCOPES!$A$5:$A$2000,0)),"UNMATCHED"))</f>
        <v/>
      </c>
    </row>
    <row r="76" ht="21.75" customHeight="1" s="130">
      <c r="J76" s="107">
        <f>IF(OR(B76&lt;&gt;"WorkPackage",D76&lt;&gt;"tracks_scope",E76&lt;&gt;"Scope",F76=""),"",IFERROR(INDEX(SCOPES!$K$5:$K$2000,MATCH(F76,SCOPES!$A$5:$A$2000,0)),"UNMATCHED"))</f>
        <v/>
      </c>
    </row>
    <row r="77" ht="21.75" customHeight="1" s="130">
      <c r="J77" s="107">
        <f>IF(OR(B77&lt;&gt;"WorkPackage",D77&lt;&gt;"tracks_scope",E77&lt;&gt;"Scope",F77=""),"",IFERROR(INDEX(SCOPES!$K$5:$K$2000,MATCH(F77,SCOPES!$A$5:$A$2000,0)),"UNMATCHED"))</f>
        <v/>
      </c>
    </row>
    <row r="78" ht="21.75" customHeight="1" s="130">
      <c r="J78" s="107">
        <f>IF(OR(B78&lt;&gt;"WorkPackage",D78&lt;&gt;"tracks_scope",E78&lt;&gt;"Scope",F78=""),"",IFERROR(INDEX(SCOPES!$K$5:$K$2000,MATCH(F78,SCOPES!$A$5:$A$2000,0)),"UNMATCHED"))</f>
        <v/>
      </c>
    </row>
    <row r="79" ht="21.75" customHeight="1" s="130">
      <c r="J79" s="107">
        <f>IF(OR(B79&lt;&gt;"WorkPackage",D79&lt;&gt;"tracks_scope",E79&lt;&gt;"Scope",F79=""),"",IFERROR(INDEX(SCOPES!$K$5:$K$2000,MATCH(F79,SCOPES!$A$5:$A$2000,0)),"UNMATCHED"))</f>
        <v/>
      </c>
    </row>
    <row r="80" ht="21.75" customHeight="1" s="130">
      <c r="J80" s="107">
        <f>IF(OR(B80&lt;&gt;"WorkPackage",D80&lt;&gt;"tracks_scope",E80&lt;&gt;"Scope",F80=""),"",IFERROR(INDEX(SCOPES!$K$5:$K$2000,MATCH(F80,SCOPES!$A$5:$A$2000,0)),"UNMATCHED"))</f>
        <v/>
      </c>
    </row>
    <row r="81" ht="21.75" customHeight="1" s="130">
      <c r="J81" s="107">
        <f>IF(OR(B81&lt;&gt;"WorkPackage",D81&lt;&gt;"tracks_scope",E81&lt;&gt;"Scope",F81=""),"",IFERROR(INDEX(SCOPES!$K$5:$K$2000,MATCH(F81,SCOPES!$A$5:$A$2000,0)),"UNMATCHED"))</f>
        <v/>
      </c>
    </row>
    <row r="82" ht="21.75" customHeight="1" s="130">
      <c r="J82" s="107">
        <f>IF(OR(B82&lt;&gt;"WorkPackage",D82&lt;&gt;"tracks_scope",E82&lt;&gt;"Scope",F82=""),"",IFERROR(INDEX(SCOPES!$K$5:$K$2000,MATCH(F82,SCOPES!$A$5:$A$2000,0)),"UNMATCHED"))</f>
        <v/>
      </c>
    </row>
    <row r="83" ht="21.75" customHeight="1" s="130">
      <c r="J83" s="107">
        <f>IF(OR(B83&lt;&gt;"WorkPackage",D83&lt;&gt;"tracks_scope",E83&lt;&gt;"Scope",F83=""),"",IFERROR(INDEX(SCOPES!$K$5:$K$2000,MATCH(F83,SCOPES!$A$5:$A$2000,0)),"UNMATCHED"))</f>
        <v/>
      </c>
    </row>
    <row r="84" ht="21.75" customHeight="1" s="130">
      <c r="J84" s="107">
        <f>IF(OR(B84&lt;&gt;"WorkPackage",D84&lt;&gt;"tracks_scope",E84&lt;&gt;"Scope",F84=""),"",IFERROR(INDEX(SCOPES!$K$5:$K$2000,MATCH(F84,SCOPES!$A$5:$A$2000,0)),"UNMATCHED"))</f>
        <v/>
      </c>
    </row>
    <row r="85" ht="21.75" customHeight="1" s="130">
      <c r="J85" s="107">
        <f>IF(OR(B85&lt;&gt;"WorkPackage",D85&lt;&gt;"tracks_scope",E85&lt;&gt;"Scope",F85=""),"",IFERROR(INDEX(SCOPES!$K$5:$K$2000,MATCH(F85,SCOPES!$A$5:$A$2000,0)),"UNMATCHED"))</f>
        <v/>
      </c>
    </row>
    <row r="86" ht="21.75" customHeight="1" s="130">
      <c r="J86" s="107">
        <f>IF(OR(B86&lt;&gt;"WorkPackage",D86&lt;&gt;"tracks_scope",E86&lt;&gt;"Scope",F86=""),"",IFERROR(INDEX(SCOPES!$K$5:$K$2000,MATCH(F86,SCOPES!$A$5:$A$2000,0)),"UNMATCHED"))</f>
        <v/>
      </c>
    </row>
    <row r="87" ht="21.75" customHeight="1" s="130">
      <c r="J87" s="107">
        <f>IF(OR(B87&lt;&gt;"WorkPackage",D87&lt;&gt;"tracks_scope",E87&lt;&gt;"Scope",F87=""),"",IFERROR(INDEX(SCOPES!$K$5:$K$2000,MATCH(F87,SCOPES!$A$5:$A$2000,0)),"UNMATCHED"))</f>
        <v/>
      </c>
    </row>
    <row r="88" ht="21.75" customHeight="1" s="130">
      <c r="J88" s="107">
        <f>IF(OR(B88&lt;&gt;"WorkPackage",D88&lt;&gt;"tracks_scope",E88&lt;&gt;"Scope",F88=""),"",IFERROR(INDEX(SCOPES!$K$5:$K$2000,MATCH(F88,SCOPES!$A$5:$A$2000,0)),"UNMATCHED"))</f>
        <v/>
      </c>
    </row>
    <row r="89" ht="21.75" customHeight="1" s="130">
      <c r="J89" s="107">
        <f>IF(OR(B89&lt;&gt;"WorkPackage",D89&lt;&gt;"tracks_scope",E89&lt;&gt;"Scope",F89=""),"",IFERROR(INDEX(SCOPES!$K$5:$K$2000,MATCH(F89,SCOPES!$A$5:$A$2000,0)),"UNMATCHED"))</f>
        <v/>
      </c>
    </row>
    <row r="90" ht="21.75" customHeight="1" s="130">
      <c r="J90" s="107">
        <f>IF(OR(B90&lt;&gt;"WorkPackage",D90&lt;&gt;"tracks_scope",E90&lt;&gt;"Scope",F90=""),"",IFERROR(INDEX(SCOPES!$K$5:$K$2000,MATCH(F90,SCOPES!$A$5:$A$2000,0)),"UNMATCHED"))</f>
        <v/>
      </c>
    </row>
    <row r="91" ht="21.75" customHeight="1" s="130">
      <c r="J91" s="107">
        <f>IF(OR(B91&lt;&gt;"WorkPackage",D91&lt;&gt;"tracks_scope",E91&lt;&gt;"Scope",F91=""),"",IFERROR(INDEX(SCOPES!$K$5:$K$2000,MATCH(F91,SCOPES!$A$5:$A$2000,0)),"UNMATCHED"))</f>
        <v/>
      </c>
    </row>
    <row r="92" ht="21.75" customHeight="1" s="130">
      <c r="J92" s="107">
        <f>IF(OR(B92&lt;&gt;"WorkPackage",D92&lt;&gt;"tracks_scope",E92&lt;&gt;"Scope",F92=""),"",IFERROR(INDEX(SCOPES!$K$5:$K$2000,MATCH(F92,SCOPES!$A$5:$A$2000,0)),"UNMATCHED"))</f>
        <v/>
      </c>
    </row>
    <row r="93" ht="21.75" customHeight="1" s="130">
      <c r="J93" s="107">
        <f>IF(OR(B93&lt;&gt;"WorkPackage",D93&lt;&gt;"tracks_scope",E93&lt;&gt;"Scope",F93=""),"",IFERROR(INDEX(SCOPES!$K$5:$K$2000,MATCH(F93,SCOPES!$A$5:$A$2000,0)),"UNMATCHED"))</f>
        <v/>
      </c>
    </row>
    <row r="94" ht="21.75" customHeight="1" s="130">
      <c r="J94" s="107">
        <f>IF(OR(B94&lt;&gt;"WorkPackage",D94&lt;&gt;"tracks_scope",E94&lt;&gt;"Scope",F94=""),"",IFERROR(INDEX(SCOPES!$K$5:$K$2000,MATCH(F94,SCOPES!$A$5:$A$2000,0)),"UNMATCHED"))</f>
        <v/>
      </c>
    </row>
    <row r="95" ht="21.75" customHeight="1" s="130">
      <c r="J95" s="107">
        <f>IF(OR(B95&lt;&gt;"WorkPackage",D95&lt;&gt;"tracks_scope",E95&lt;&gt;"Scope",F95=""),"",IFERROR(INDEX(SCOPES!$K$5:$K$2000,MATCH(F95,SCOPES!$A$5:$A$2000,0)),"UNMATCHED"))</f>
        <v/>
      </c>
    </row>
    <row r="96" ht="21.75" customHeight="1" s="130">
      <c r="J96" s="107">
        <f>IF(OR(B96&lt;&gt;"WorkPackage",D96&lt;&gt;"tracks_scope",E96&lt;&gt;"Scope",F96=""),"",IFERROR(INDEX(SCOPES!$K$5:$K$2000,MATCH(F96,SCOPES!$A$5:$A$2000,0)),"UNMATCHED"))</f>
        <v/>
      </c>
    </row>
    <row r="97" ht="21.75" customHeight="1" s="130">
      <c r="J97" s="107">
        <f>IF(OR(B97&lt;&gt;"WorkPackage",D97&lt;&gt;"tracks_scope",E97&lt;&gt;"Scope",F97=""),"",IFERROR(INDEX(SCOPES!$K$5:$K$2000,MATCH(F97,SCOPES!$A$5:$A$2000,0)),"UNMATCHED"))</f>
        <v/>
      </c>
    </row>
    <row r="98" ht="21.75" customHeight="1" s="130">
      <c r="J98" s="107">
        <f>IF(OR(B98&lt;&gt;"WorkPackage",D98&lt;&gt;"tracks_scope",E98&lt;&gt;"Scope",F98=""),"",IFERROR(INDEX(SCOPES!$K$5:$K$2000,MATCH(F98,SCOPES!$A$5:$A$2000,0)),"UNMATCHED"))</f>
        <v/>
      </c>
    </row>
    <row r="99" ht="21.75" customHeight="1" s="130">
      <c r="J99" s="107">
        <f>IF(OR(B99&lt;&gt;"WorkPackage",D99&lt;&gt;"tracks_scope",E99&lt;&gt;"Scope",F99=""),"",IFERROR(INDEX(SCOPES!$K$5:$K$2000,MATCH(F99,SCOPES!$A$5:$A$2000,0)),"UNMATCHED"))</f>
        <v/>
      </c>
    </row>
    <row r="100" ht="21.75" customHeight="1" s="130">
      <c r="J100" s="107">
        <f>IF(OR(B100&lt;&gt;"WorkPackage",D100&lt;&gt;"tracks_scope",E100&lt;&gt;"Scope",F100=""),"",IFERROR(INDEX(SCOPES!$K$5:$K$2000,MATCH(F100,SCOPES!$A$5:$A$2000,0)),"UNMATCHED"))</f>
        <v/>
      </c>
    </row>
    <row r="101" ht="21.75" customHeight="1" s="130">
      <c r="J101" s="107">
        <f>IF(OR(B101&lt;&gt;"WorkPackage",D101&lt;&gt;"tracks_scope",E101&lt;&gt;"Scope",F101=""),"",IFERROR(INDEX(SCOPES!$K$5:$K$2000,MATCH(F101,SCOPES!$A$5:$A$2000,0)),"UNMATCHED"))</f>
        <v/>
      </c>
    </row>
    <row r="102" ht="21.75" customHeight="1" s="130">
      <c r="J102" s="107">
        <f>IF(OR(B102&lt;&gt;"WorkPackage",D102&lt;&gt;"tracks_scope",E102&lt;&gt;"Scope",F102=""),"",IFERROR(INDEX(SCOPES!$K$5:$K$2000,MATCH(F102,SCOPES!$A$5:$A$2000,0)),"UNMATCHED"))</f>
        <v/>
      </c>
    </row>
    <row r="103" ht="21.75" customHeight="1" s="130">
      <c r="J103" s="107">
        <f>IF(OR(B103&lt;&gt;"WorkPackage",D103&lt;&gt;"tracks_scope",E103&lt;&gt;"Scope",F103=""),"",IFERROR(INDEX(SCOPES!$K$5:$K$2000,MATCH(F103,SCOPES!$A$5:$A$2000,0)),"UNMATCHED"))</f>
        <v/>
      </c>
    </row>
    <row r="104" ht="21.75" customHeight="1" s="130">
      <c r="J104" s="107">
        <f>IF(OR(B104&lt;&gt;"WorkPackage",D104&lt;&gt;"tracks_scope",E104&lt;&gt;"Scope",F104=""),"",IFERROR(INDEX(SCOPES!$K$5:$K$2000,MATCH(F104,SCOPES!$A$5:$A$2000,0)),"UNMATCHED"))</f>
        <v/>
      </c>
    </row>
    <row r="105" ht="21.75" customHeight="1" s="130">
      <c r="J105" s="107">
        <f>IF(OR(B105&lt;&gt;"WorkPackage",D105&lt;&gt;"tracks_scope",E105&lt;&gt;"Scope",F105=""),"",IFERROR(INDEX(SCOPES!$K$5:$K$2000,MATCH(F105,SCOPES!$A$5:$A$2000,0)),"UNMATCHED"))</f>
        <v/>
      </c>
    </row>
    <row r="106" ht="21.75" customHeight="1" s="130">
      <c r="J106" s="107">
        <f>IF(OR(B106&lt;&gt;"WorkPackage",D106&lt;&gt;"tracks_scope",E106&lt;&gt;"Scope",F106=""),"",IFERROR(INDEX(SCOPES!$K$5:$K$2000,MATCH(F106,SCOPES!$A$5:$A$2000,0)),"UNMATCHED"))</f>
        <v/>
      </c>
    </row>
    <row r="107" ht="21.75" customHeight="1" s="130">
      <c r="J107" s="107">
        <f>IF(OR(B107&lt;&gt;"WorkPackage",D107&lt;&gt;"tracks_scope",E107&lt;&gt;"Scope",F107=""),"",IFERROR(INDEX(SCOPES!$K$5:$K$2000,MATCH(F107,SCOPES!$A$5:$A$2000,0)),"UNMATCHED"))</f>
        <v/>
      </c>
    </row>
    <row r="108" ht="21.75" customHeight="1" s="130">
      <c r="J108" s="107">
        <f>IF(OR(B108&lt;&gt;"WorkPackage",D108&lt;&gt;"tracks_scope",E108&lt;&gt;"Scope",F108=""),"",IFERROR(INDEX(SCOPES!$K$5:$K$2000,MATCH(F108,SCOPES!$A$5:$A$2000,0)),"UNMATCHED"))</f>
        <v/>
      </c>
    </row>
    <row r="109" ht="21.75" customHeight="1" s="130">
      <c r="J109" s="107">
        <f>IF(OR(B109&lt;&gt;"WorkPackage",D109&lt;&gt;"tracks_scope",E109&lt;&gt;"Scope",F109=""),"",IFERROR(INDEX(SCOPES!$K$5:$K$2000,MATCH(F109,SCOPES!$A$5:$A$2000,0)),"UNMATCHED"))</f>
        <v/>
      </c>
    </row>
    <row r="110" ht="21.75" customHeight="1" s="130">
      <c r="J110" s="107">
        <f>IF(OR(B110&lt;&gt;"WorkPackage",D110&lt;&gt;"tracks_scope",E110&lt;&gt;"Scope",F110=""),"",IFERROR(INDEX(SCOPES!$K$5:$K$2000,MATCH(F110,SCOPES!$A$5:$A$2000,0)),"UNMATCHED"))</f>
        <v/>
      </c>
    </row>
    <row r="111" ht="21.75" customHeight="1" s="130">
      <c r="J111" s="107">
        <f>IF(OR(B111&lt;&gt;"WorkPackage",D111&lt;&gt;"tracks_scope",E111&lt;&gt;"Scope",F111=""),"",IFERROR(INDEX(SCOPES!$K$5:$K$2000,MATCH(F111,SCOPES!$A$5:$A$2000,0)),"UNMATCHED"))</f>
        <v/>
      </c>
    </row>
    <row r="112" ht="21.75" customHeight="1" s="130">
      <c r="J112" s="107">
        <f>IF(OR(B112&lt;&gt;"WorkPackage",D112&lt;&gt;"tracks_scope",E112&lt;&gt;"Scope",F112=""),"",IFERROR(INDEX(SCOPES!$K$5:$K$2000,MATCH(F112,SCOPES!$A$5:$A$2000,0)),"UNMATCHED"))</f>
        <v/>
      </c>
    </row>
    <row r="113" ht="21.75" customHeight="1" s="130">
      <c r="J113" s="107">
        <f>IF(OR(B113&lt;&gt;"WorkPackage",D113&lt;&gt;"tracks_scope",E113&lt;&gt;"Scope",F113=""),"",IFERROR(INDEX(SCOPES!$K$5:$K$2000,MATCH(F113,SCOPES!$A$5:$A$2000,0)),"UNMATCHED"))</f>
        <v/>
      </c>
    </row>
    <row r="114" ht="21.75" customHeight="1" s="130">
      <c r="J114" s="107">
        <f>IF(OR(B114&lt;&gt;"WorkPackage",D114&lt;&gt;"tracks_scope",E114&lt;&gt;"Scope",F114=""),"",IFERROR(INDEX(SCOPES!$K$5:$K$2000,MATCH(F114,SCOPES!$A$5:$A$2000,0)),"UNMATCHED"))</f>
        <v/>
      </c>
    </row>
    <row r="115" ht="21.75" customHeight="1" s="130">
      <c r="J115" s="107">
        <f>IF(OR(B115&lt;&gt;"WorkPackage",D115&lt;&gt;"tracks_scope",E115&lt;&gt;"Scope",F115=""),"",IFERROR(INDEX(SCOPES!$K$5:$K$2000,MATCH(F115,SCOPES!$A$5:$A$2000,0)),"UNMATCHED"))</f>
        <v/>
      </c>
    </row>
    <row r="116" ht="21.75" customHeight="1" s="130">
      <c r="J116" s="107">
        <f>IF(OR(B116&lt;&gt;"WorkPackage",D116&lt;&gt;"tracks_scope",E116&lt;&gt;"Scope",F116=""),"",IFERROR(INDEX(SCOPES!$K$5:$K$2000,MATCH(F116,SCOPES!$A$5:$A$2000,0)),"UNMATCHED"))</f>
        <v/>
      </c>
    </row>
    <row r="117" ht="21.75" customHeight="1" s="130">
      <c r="J117" s="107">
        <f>IF(OR(B117&lt;&gt;"WorkPackage",D117&lt;&gt;"tracks_scope",E117&lt;&gt;"Scope",F117=""),"",IFERROR(INDEX(SCOPES!$K$5:$K$2000,MATCH(F117,SCOPES!$A$5:$A$2000,0)),"UNMATCHED"))</f>
        <v/>
      </c>
    </row>
    <row r="118" ht="21.75" customHeight="1" s="130">
      <c r="J118" s="107">
        <f>IF(OR(B118&lt;&gt;"WorkPackage",D118&lt;&gt;"tracks_scope",E118&lt;&gt;"Scope",F118=""),"",IFERROR(INDEX(SCOPES!$K$5:$K$2000,MATCH(F118,SCOPES!$A$5:$A$2000,0)),"UNMATCHED"))</f>
        <v/>
      </c>
    </row>
    <row r="119" ht="21.75" customHeight="1" s="130">
      <c r="J119" s="107">
        <f>IF(OR(B119&lt;&gt;"WorkPackage",D119&lt;&gt;"tracks_scope",E119&lt;&gt;"Scope",F119=""),"",IFERROR(INDEX(SCOPES!$K$5:$K$2000,MATCH(F119,SCOPES!$A$5:$A$2000,0)),"UNMATCHED"))</f>
        <v/>
      </c>
    </row>
    <row r="120" ht="21.75" customHeight="1" s="130">
      <c r="J120" s="107">
        <f>IF(OR(B120&lt;&gt;"WorkPackage",D120&lt;&gt;"tracks_scope",E120&lt;&gt;"Scope",F120=""),"",IFERROR(INDEX(SCOPES!$K$5:$K$2000,MATCH(F120,SCOPES!$A$5:$A$2000,0)),"UNMATCHED"))</f>
        <v/>
      </c>
    </row>
    <row r="121" ht="21.75" customHeight="1" s="130">
      <c r="J121" s="107">
        <f>IF(OR(B121&lt;&gt;"WorkPackage",D121&lt;&gt;"tracks_scope",E121&lt;&gt;"Scope",F121=""),"",IFERROR(INDEX(SCOPES!$K$5:$K$2000,MATCH(F121,SCOPES!$A$5:$A$2000,0)),"UNMATCHED"))</f>
        <v/>
      </c>
    </row>
    <row r="122" ht="21.75" customHeight="1" s="130">
      <c r="J122" s="107">
        <f>IF(OR(B122&lt;&gt;"WorkPackage",D122&lt;&gt;"tracks_scope",E122&lt;&gt;"Scope",F122=""),"",IFERROR(INDEX(SCOPES!$K$5:$K$2000,MATCH(F122,SCOPES!$A$5:$A$2000,0)),"UNMATCHED"))</f>
        <v/>
      </c>
    </row>
    <row r="123" ht="21.75" customHeight="1" s="130">
      <c r="J123" s="107">
        <f>IF(OR(B123&lt;&gt;"WorkPackage",D123&lt;&gt;"tracks_scope",E123&lt;&gt;"Scope",F123=""),"",IFERROR(INDEX(SCOPES!$K$5:$K$2000,MATCH(F123,SCOPES!$A$5:$A$2000,0)),"UNMATCHED"))</f>
        <v/>
      </c>
    </row>
    <row r="124" ht="21.75" customHeight="1" s="130">
      <c r="J124" s="107">
        <f>IF(OR(B124&lt;&gt;"WorkPackage",D124&lt;&gt;"tracks_scope",E124&lt;&gt;"Scope",F124=""),"",IFERROR(INDEX(SCOPES!$K$5:$K$2000,MATCH(F124,SCOPES!$A$5:$A$2000,0)),"UNMATCHED"))</f>
        <v/>
      </c>
    </row>
    <row r="125" ht="21.75" customHeight="1" s="130">
      <c r="J125" s="107">
        <f>IF(OR(B125&lt;&gt;"WorkPackage",D125&lt;&gt;"tracks_scope",E125&lt;&gt;"Scope",F125=""),"",IFERROR(INDEX(SCOPES!$K$5:$K$2000,MATCH(F125,SCOPES!$A$5:$A$2000,0)),"UNMATCHED"))</f>
        <v/>
      </c>
    </row>
    <row r="126" ht="21.75" customHeight="1" s="130">
      <c r="J126" s="107">
        <f>IF(OR(B126&lt;&gt;"WorkPackage",D126&lt;&gt;"tracks_scope",E126&lt;&gt;"Scope",F126=""),"",IFERROR(INDEX(SCOPES!$K$5:$K$2000,MATCH(F126,SCOPES!$A$5:$A$2000,0)),"UNMATCHED"))</f>
        <v/>
      </c>
    </row>
    <row r="127" ht="21.75" customHeight="1" s="130">
      <c r="J127" s="107">
        <f>IF(OR(B127&lt;&gt;"WorkPackage",D127&lt;&gt;"tracks_scope",E127&lt;&gt;"Scope",F127=""),"",IFERROR(INDEX(SCOPES!$K$5:$K$2000,MATCH(F127,SCOPES!$A$5:$A$2000,0)),"UNMATCHED"))</f>
        <v/>
      </c>
    </row>
    <row r="128" ht="21.75" customHeight="1" s="130">
      <c r="J128" s="107">
        <f>IF(OR(B128&lt;&gt;"WorkPackage",D128&lt;&gt;"tracks_scope",E128&lt;&gt;"Scope",F128=""),"",IFERROR(INDEX(SCOPES!$K$5:$K$2000,MATCH(F128,SCOPES!$A$5:$A$2000,0)),"UNMATCHED"))</f>
        <v/>
      </c>
    </row>
    <row r="129" ht="21.75" customHeight="1" s="130">
      <c r="J129" s="107">
        <f>IF(OR(B129&lt;&gt;"WorkPackage",D129&lt;&gt;"tracks_scope",E129&lt;&gt;"Scope",F129=""),"",IFERROR(INDEX(SCOPES!$K$5:$K$2000,MATCH(F129,SCOPES!$A$5:$A$2000,0)),"UNMATCHED"))</f>
        <v/>
      </c>
    </row>
    <row r="130" ht="21.75" customHeight="1" s="130">
      <c r="J130" s="107">
        <f>IF(OR(B130&lt;&gt;"WorkPackage",D130&lt;&gt;"tracks_scope",E130&lt;&gt;"Scope",F130=""),"",IFERROR(INDEX(SCOPES!$K$5:$K$2000,MATCH(F130,SCOPES!$A$5:$A$2000,0)),"UNMATCHED"))</f>
        <v/>
      </c>
    </row>
    <row r="131" ht="21.75" customHeight="1" s="130">
      <c r="J131" s="107">
        <f>IF(OR(B131&lt;&gt;"WorkPackage",D131&lt;&gt;"tracks_scope",E131&lt;&gt;"Scope",F131=""),"",IFERROR(INDEX(SCOPES!$K$5:$K$2000,MATCH(F131,SCOPES!$A$5:$A$2000,0)),"UNMATCHED"))</f>
        <v/>
      </c>
    </row>
    <row r="132" ht="21.75" customHeight="1" s="130">
      <c r="J132" s="107">
        <f>IF(OR(B132&lt;&gt;"WorkPackage",D132&lt;&gt;"tracks_scope",E132&lt;&gt;"Scope",F132=""),"",IFERROR(INDEX(SCOPES!$K$5:$K$2000,MATCH(F132,SCOPES!$A$5:$A$2000,0)),"UNMATCHED"))</f>
        <v/>
      </c>
    </row>
    <row r="133" ht="21.75" customHeight="1" s="130">
      <c r="J133" s="107">
        <f>IF(OR(B133&lt;&gt;"WorkPackage",D133&lt;&gt;"tracks_scope",E133&lt;&gt;"Scope",F133=""),"",IFERROR(INDEX(SCOPES!$K$5:$K$2000,MATCH(F133,SCOPES!$A$5:$A$2000,0)),"UNMATCHED"))</f>
        <v/>
      </c>
    </row>
    <row r="134" ht="21.75" customHeight="1" s="130">
      <c r="J134" s="107">
        <f>IF(OR(B134&lt;&gt;"WorkPackage",D134&lt;&gt;"tracks_scope",E134&lt;&gt;"Scope",F134=""),"",IFERROR(INDEX(SCOPES!$K$5:$K$2000,MATCH(F134,SCOPES!$A$5:$A$2000,0)),"UNMATCHED"))</f>
        <v/>
      </c>
    </row>
    <row r="135" ht="21.75" customHeight="1" s="130">
      <c r="J135" s="107">
        <f>IF(OR(B135&lt;&gt;"WorkPackage",D135&lt;&gt;"tracks_scope",E135&lt;&gt;"Scope",F135=""),"",IFERROR(INDEX(SCOPES!$K$5:$K$2000,MATCH(F135,SCOPES!$A$5:$A$2000,0)),"UNMATCHED"))</f>
        <v/>
      </c>
    </row>
    <row r="136" ht="21.75" customHeight="1" s="130">
      <c r="J136" s="107">
        <f>IF(OR(B136&lt;&gt;"WorkPackage",D136&lt;&gt;"tracks_scope",E136&lt;&gt;"Scope",F136=""),"",IFERROR(INDEX(SCOPES!$K$5:$K$2000,MATCH(F136,SCOPES!$A$5:$A$2000,0)),"UNMATCHED"))</f>
        <v/>
      </c>
    </row>
    <row r="137" ht="21.75" customHeight="1" s="130">
      <c r="J137" s="107">
        <f>IF(OR(B137&lt;&gt;"WorkPackage",D137&lt;&gt;"tracks_scope",E137&lt;&gt;"Scope",F137=""),"",IFERROR(INDEX(SCOPES!$K$5:$K$2000,MATCH(F137,SCOPES!$A$5:$A$2000,0)),"UNMATCHED"))</f>
        <v/>
      </c>
    </row>
    <row r="138" ht="21.75" customHeight="1" s="130">
      <c r="J138" s="107">
        <f>IF(OR(B138&lt;&gt;"WorkPackage",D138&lt;&gt;"tracks_scope",E138&lt;&gt;"Scope",F138=""),"",IFERROR(INDEX(SCOPES!$K$5:$K$2000,MATCH(F138,SCOPES!$A$5:$A$2000,0)),"UNMATCHED"))</f>
        <v/>
      </c>
    </row>
    <row r="139" ht="21.75" customHeight="1" s="130">
      <c r="J139" s="107">
        <f>IF(OR(B139&lt;&gt;"WorkPackage",D139&lt;&gt;"tracks_scope",E139&lt;&gt;"Scope",F139=""),"",IFERROR(INDEX(SCOPES!$K$5:$K$2000,MATCH(F139,SCOPES!$A$5:$A$2000,0)),"UNMATCHED"))</f>
        <v/>
      </c>
    </row>
    <row r="140" ht="21.75" customHeight="1" s="130">
      <c r="J140" s="107">
        <f>IF(OR(B140&lt;&gt;"WorkPackage",D140&lt;&gt;"tracks_scope",E140&lt;&gt;"Scope",F140=""),"",IFERROR(INDEX(SCOPES!$K$5:$K$2000,MATCH(F140,SCOPES!$A$5:$A$2000,0)),"UNMATCHED"))</f>
        <v/>
      </c>
    </row>
    <row r="141" ht="21.75" customHeight="1" s="130">
      <c r="J141" s="107">
        <f>IF(OR(B141&lt;&gt;"WorkPackage",D141&lt;&gt;"tracks_scope",E141&lt;&gt;"Scope",F141=""),"",IFERROR(INDEX(SCOPES!$K$5:$K$2000,MATCH(F141,SCOPES!$A$5:$A$2000,0)),"UNMATCHED"))</f>
        <v/>
      </c>
    </row>
    <row r="142" ht="21.75" customHeight="1" s="130">
      <c r="J142" s="107">
        <f>IF(OR(B142&lt;&gt;"WorkPackage",D142&lt;&gt;"tracks_scope",E142&lt;&gt;"Scope",F142=""),"",IFERROR(INDEX(SCOPES!$K$5:$K$2000,MATCH(F142,SCOPES!$A$5:$A$2000,0)),"UNMATCHED"))</f>
        <v/>
      </c>
    </row>
    <row r="143" ht="21.75" customHeight="1" s="130">
      <c r="J143" s="107">
        <f>IF(OR(B143&lt;&gt;"WorkPackage",D143&lt;&gt;"tracks_scope",E143&lt;&gt;"Scope",F143=""),"",IFERROR(INDEX(SCOPES!$K$5:$K$2000,MATCH(F143,SCOPES!$A$5:$A$2000,0)),"UNMATCHED"))</f>
        <v/>
      </c>
    </row>
    <row r="144" ht="21.75" customHeight="1" s="130">
      <c r="J144" s="107">
        <f>IF(OR(B144&lt;&gt;"WorkPackage",D144&lt;&gt;"tracks_scope",E144&lt;&gt;"Scope",F144=""),"",IFERROR(INDEX(SCOPES!$K$5:$K$2000,MATCH(F144,SCOPES!$A$5:$A$2000,0)),"UNMATCHED"))</f>
        <v/>
      </c>
    </row>
    <row r="145" ht="21.75" customHeight="1" s="130">
      <c r="J145" s="107">
        <f>IF(OR(B145&lt;&gt;"WorkPackage",D145&lt;&gt;"tracks_scope",E145&lt;&gt;"Scope",F145=""),"",IFERROR(INDEX(SCOPES!$K$5:$K$2000,MATCH(F145,SCOPES!$A$5:$A$2000,0)),"UNMATCHED"))</f>
        <v/>
      </c>
    </row>
    <row r="146" ht="21.75" customHeight="1" s="130">
      <c r="J146" s="107">
        <f>IF(OR(B146&lt;&gt;"WorkPackage",D146&lt;&gt;"tracks_scope",E146&lt;&gt;"Scope",F146=""),"",IFERROR(INDEX(SCOPES!$K$5:$K$2000,MATCH(F146,SCOPES!$A$5:$A$2000,0)),"UNMATCHED"))</f>
        <v/>
      </c>
    </row>
    <row r="147" ht="21.75" customHeight="1" s="130">
      <c r="J147" s="107">
        <f>IF(OR(B147&lt;&gt;"WorkPackage",D147&lt;&gt;"tracks_scope",E147&lt;&gt;"Scope",F147=""),"",IFERROR(INDEX(SCOPES!$K$5:$K$2000,MATCH(F147,SCOPES!$A$5:$A$2000,0)),"UNMATCHED"))</f>
        <v/>
      </c>
    </row>
    <row r="148" ht="21.75" customHeight="1" s="130">
      <c r="J148" s="107">
        <f>IF(OR(B148&lt;&gt;"WorkPackage",D148&lt;&gt;"tracks_scope",E148&lt;&gt;"Scope",F148=""),"",IFERROR(INDEX(SCOPES!$K$5:$K$2000,MATCH(F148,SCOPES!$A$5:$A$2000,0)),"UNMATCHED"))</f>
        <v/>
      </c>
    </row>
    <row r="149" ht="21.75" customHeight="1" s="130">
      <c r="J149" s="107">
        <f>IF(OR(B149&lt;&gt;"WorkPackage",D149&lt;&gt;"tracks_scope",E149&lt;&gt;"Scope",F149=""),"",IFERROR(INDEX(SCOPES!$K$5:$K$2000,MATCH(F149,SCOPES!$A$5:$A$2000,0)),"UNMATCHED"))</f>
        <v/>
      </c>
    </row>
    <row r="150" ht="21.75" customHeight="1" s="130">
      <c r="J150" s="107">
        <f>IF(OR(B150&lt;&gt;"WorkPackage",D150&lt;&gt;"tracks_scope",E150&lt;&gt;"Scope",F150=""),"",IFERROR(INDEX(SCOPES!$K$5:$K$2000,MATCH(F150,SCOPES!$A$5:$A$2000,0)),"UNMATCHED"))</f>
        <v/>
      </c>
    </row>
    <row r="151" ht="21.75" customHeight="1" s="130">
      <c r="J151" s="107">
        <f>IF(OR(B151&lt;&gt;"WorkPackage",D151&lt;&gt;"tracks_scope",E151&lt;&gt;"Scope",F151=""),"",IFERROR(INDEX(SCOPES!$K$5:$K$2000,MATCH(F151,SCOPES!$A$5:$A$2000,0)),"UNMATCHED"))</f>
        <v/>
      </c>
    </row>
    <row r="152" ht="21.75" customHeight="1" s="130">
      <c r="J152" s="107">
        <f>IF(OR(B152&lt;&gt;"WorkPackage",D152&lt;&gt;"tracks_scope",E152&lt;&gt;"Scope",F152=""),"",IFERROR(INDEX(SCOPES!$K$5:$K$2000,MATCH(F152,SCOPES!$A$5:$A$2000,0)),"UNMATCHED"))</f>
        <v/>
      </c>
    </row>
    <row r="153" ht="21.75" customHeight="1" s="130">
      <c r="J153" s="107">
        <f>IF(OR(B153&lt;&gt;"WorkPackage",D153&lt;&gt;"tracks_scope",E153&lt;&gt;"Scope",F153=""),"",IFERROR(INDEX(SCOPES!$K$5:$K$2000,MATCH(F153,SCOPES!$A$5:$A$2000,0)),"UNMATCHED"))</f>
        <v/>
      </c>
    </row>
    <row r="154" ht="21.75" customHeight="1" s="130">
      <c r="J154" s="107">
        <f>IF(OR(B154&lt;&gt;"WorkPackage",D154&lt;&gt;"tracks_scope",E154&lt;&gt;"Scope",F154=""),"",IFERROR(INDEX(SCOPES!$K$5:$K$2000,MATCH(F154,SCOPES!$A$5:$A$2000,0)),"UNMATCHED"))</f>
        <v/>
      </c>
    </row>
    <row r="155" ht="21.75" customHeight="1" s="130">
      <c r="J155" s="107">
        <f>IF(OR(B155&lt;&gt;"WorkPackage",D155&lt;&gt;"tracks_scope",E155&lt;&gt;"Scope",F155=""),"",IFERROR(INDEX(SCOPES!$K$5:$K$2000,MATCH(F155,SCOPES!$A$5:$A$2000,0)),"UNMATCHED"))</f>
        <v/>
      </c>
    </row>
    <row r="156" ht="21.75" customHeight="1" s="130">
      <c r="J156" s="107">
        <f>IF(OR(B156&lt;&gt;"WorkPackage",D156&lt;&gt;"tracks_scope",E156&lt;&gt;"Scope",F156=""),"",IFERROR(INDEX(SCOPES!$K$5:$K$2000,MATCH(F156,SCOPES!$A$5:$A$2000,0)),"UNMATCHED"))</f>
        <v/>
      </c>
    </row>
    <row r="157" ht="21.75" customHeight="1" s="130">
      <c r="J157" s="107">
        <f>IF(OR(B157&lt;&gt;"WorkPackage",D157&lt;&gt;"tracks_scope",E157&lt;&gt;"Scope",F157=""),"",IFERROR(INDEX(SCOPES!$K$5:$K$2000,MATCH(F157,SCOPES!$A$5:$A$2000,0)),"UNMATCHED"))</f>
        <v/>
      </c>
    </row>
    <row r="158" ht="21.75" customHeight="1" s="130">
      <c r="J158" s="107">
        <f>IF(OR(B158&lt;&gt;"WorkPackage",D158&lt;&gt;"tracks_scope",E158&lt;&gt;"Scope",F158=""),"",IFERROR(INDEX(SCOPES!$K$5:$K$2000,MATCH(F158,SCOPES!$A$5:$A$2000,0)),"UNMATCHED"))</f>
        <v/>
      </c>
    </row>
    <row r="159" ht="21.75" customHeight="1" s="130">
      <c r="J159" s="107">
        <f>IF(OR(B159&lt;&gt;"WorkPackage",D159&lt;&gt;"tracks_scope",E159&lt;&gt;"Scope",F159=""),"",IFERROR(INDEX(SCOPES!$K$5:$K$2000,MATCH(F159,SCOPES!$A$5:$A$2000,0)),"UNMATCHED"))</f>
        <v/>
      </c>
    </row>
    <row r="160" ht="21.75" customHeight="1" s="130">
      <c r="J160" s="107">
        <f>IF(OR(B160&lt;&gt;"WorkPackage",D160&lt;&gt;"tracks_scope",E160&lt;&gt;"Scope",F160=""),"",IFERROR(INDEX(SCOPES!$K$5:$K$2000,MATCH(F160,SCOPES!$A$5:$A$2000,0)),"UNMATCHED"))</f>
        <v/>
      </c>
    </row>
    <row r="161" ht="21.75" customHeight="1" s="130">
      <c r="J161" s="107">
        <f>IF(OR(B161&lt;&gt;"WorkPackage",D161&lt;&gt;"tracks_scope",E161&lt;&gt;"Scope",F161=""),"",IFERROR(INDEX(SCOPES!$K$5:$K$2000,MATCH(F161,SCOPES!$A$5:$A$2000,0)),"UNMATCHED"))</f>
        <v/>
      </c>
    </row>
    <row r="162" ht="21.75" customHeight="1" s="130">
      <c r="J162" s="107">
        <f>IF(OR(B162&lt;&gt;"WorkPackage",D162&lt;&gt;"tracks_scope",E162&lt;&gt;"Scope",F162=""),"",IFERROR(INDEX(SCOPES!$K$5:$K$2000,MATCH(F162,SCOPES!$A$5:$A$2000,0)),"UNMATCHED"))</f>
        <v/>
      </c>
    </row>
    <row r="163" ht="21.75" customHeight="1" s="130">
      <c r="J163" s="107">
        <f>IF(OR(B163&lt;&gt;"WorkPackage",D163&lt;&gt;"tracks_scope",E163&lt;&gt;"Scope",F163=""),"",IFERROR(INDEX(SCOPES!$K$5:$K$2000,MATCH(F163,SCOPES!$A$5:$A$2000,0)),"UNMATCHED"))</f>
        <v/>
      </c>
    </row>
    <row r="164" ht="21.75" customHeight="1" s="130">
      <c r="J164" s="107">
        <f>IF(OR(B164&lt;&gt;"WorkPackage",D164&lt;&gt;"tracks_scope",E164&lt;&gt;"Scope",F164=""),"",IFERROR(INDEX(SCOPES!$K$5:$K$2000,MATCH(F164,SCOPES!$A$5:$A$2000,0)),"UNMATCHED"))</f>
        <v/>
      </c>
    </row>
    <row r="165" ht="21.75" customHeight="1" s="130">
      <c r="J165" s="107">
        <f>IF(OR(B165&lt;&gt;"WorkPackage",D165&lt;&gt;"tracks_scope",E165&lt;&gt;"Scope",F165=""),"",IFERROR(INDEX(SCOPES!$K$5:$K$2000,MATCH(F165,SCOPES!$A$5:$A$2000,0)),"UNMATCHED"))</f>
        <v/>
      </c>
    </row>
    <row r="166" ht="21.75" customHeight="1" s="130">
      <c r="J166" s="107">
        <f>IF(OR(B166&lt;&gt;"WorkPackage",D166&lt;&gt;"tracks_scope",E166&lt;&gt;"Scope",F166=""),"",IFERROR(INDEX(SCOPES!$K$5:$K$2000,MATCH(F166,SCOPES!$A$5:$A$2000,0)),"UNMATCHED"))</f>
        <v/>
      </c>
    </row>
    <row r="167" ht="21.75" customHeight="1" s="130">
      <c r="J167" s="107">
        <f>IF(OR(B167&lt;&gt;"WorkPackage",D167&lt;&gt;"tracks_scope",E167&lt;&gt;"Scope",F167=""),"",IFERROR(INDEX(SCOPES!$K$5:$K$2000,MATCH(F167,SCOPES!$A$5:$A$2000,0)),"UNMATCHED"))</f>
        <v/>
      </c>
    </row>
    <row r="168" ht="21.75" customHeight="1" s="130">
      <c r="J168" s="107">
        <f>IF(OR(B168&lt;&gt;"WorkPackage",D168&lt;&gt;"tracks_scope",E168&lt;&gt;"Scope",F168=""),"",IFERROR(INDEX(SCOPES!$K$5:$K$2000,MATCH(F168,SCOPES!$A$5:$A$2000,0)),"UNMATCHED"))</f>
        <v/>
      </c>
    </row>
    <row r="169" ht="21.75" customHeight="1" s="130">
      <c r="J169" s="107">
        <f>IF(OR(B169&lt;&gt;"WorkPackage",D169&lt;&gt;"tracks_scope",E169&lt;&gt;"Scope",F169=""),"",IFERROR(INDEX(SCOPES!$K$5:$K$2000,MATCH(F169,SCOPES!$A$5:$A$2000,0)),"UNMATCHED"))</f>
        <v/>
      </c>
    </row>
    <row r="170" ht="21.75" customHeight="1" s="130">
      <c r="J170" s="107">
        <f>IF(OR(B170&lt;&gt;"WorkPackage",D170&lt;&gt;"tracks_scope",E170&lt;&gt;"Scope",F170=""),"",IFERROR(INDEX(SCOPES!$K$5:$K$2000,MATCH(F170,SCOPES!$A$5:$A$2000,0)),"UNMATCHED"))</f>
        <v/>
      </c>
    </row>
    <row r="171" ht="21.75" customHeight="1" s="130">
      <c r="J171" s="107">
        <f>IF(OR(B171&lt;&gt;"WorkPackage",D171&lt;&gt;"tracks_scope",E171&lt;&gt;"Scope",F171=""),"",IFERROR(INDEX(SCOPES!$K$5:$K$2000,MATCH(F171,SCOPES!$A$5:$A$2000,0)),"UNMATCHED"))</f>
        <v/>
      </c>
    </row>
    <row r="172" ht="21.75" customHeight="1" s="130">
      <c r="J172" s="107">
        <f>IF(OR(B172&lt;&gt;"WorkPackage",D172&lt;&gt;"tracks_scope",E172&lt;&gt;"Scope",F172=""),"",IFERROR(INDEX(SCOPES!$K$5:$K$2000,MATCH(F172,SCOPES!$A$5:$A$2000,0)),"UNMATCHED"))</f>
        <v/>
      </c>
    </row>
    <row r="173" ht="21.75" customHeight="1" s="130">
      <c r="J173" s="107">
        <f>IF(OR(B173&lt;&gt;"WorkPackage",D173&lt;&gt;"tracks_scope",E173&lt;&gt;"Scope",F173=""),"",IFERROR(INDEX(SCOPES!$K$5:$K$2000,MATCH(F173,SCOPES!$A$5:$A$2000,0)),"UNMATCHED"))</f>
        <v/>
      </c>
    </row>
    <row r="174" ht="21.75" customHeight="1" s="130">
      <c r="J174" s="107">
        <f>IF(OR(B174&lt;&gt;"WorkPackage",D174&lt;&gt;"tracks_scope",E174&lt;&gt;"Scope",F174=""),"",IFERROR(INDEX(SCOPES!$K$5:$K$2000,MATCH(F174,SCOPES!$A$5:$A$2000,0)),"UNMATCHED"))</f>
        <v/>
      </c>
    </row>
    <row r="175" ht="21.75" customHeight="1" s="130">
      <c r="J175" s="107">
        <f>IF(OR(B175&lt;&gt;"WorkPackage",D175&lt;&gt;"tracks_scope",E175&lt;&gt;"Scope",F175=""),"",IFERROR(INDEX(SCOPES!$K$5:$K$2000,MATCH(F175,SCOPES!$A$5:$A$2000,0)),"UNMATCHED"))</f>
        <v/>
      </c>
    </row>
    <row r="176" ht="21.75" customHeight="1" s="130">
      <c r="J176" s="107">
        <f>IF(OR(B176&lt;&gt;"WorkPackage",D176&lt;&gt;"tracks_scope",E176&lt;&gt;"Scope",F176=""),"",IFERROR(INDEX(SCOPES!$K$5:$K$2000,MATCH(F176,SCOPES!$A$5:$A$2000,0)),"UNMATCHED"))</f>
        <v/>
      </c>
    </row>
    <row r="177" ht="21.75" customHeight="1" s="130">
      <c r="J177" s="107">
        <f>IF(OR(B177&lt;&gt;"WorkPackage",D177&lt;&gt;"tracks_scope",E177&lt;&gt;"Scope",F177=""),"",IFERROR(INDEX(SCOPES!$K$5:$K$2000,MATCH(F177,SCOPES!$A$5:$A$2000,0)),"UNMATCHED"))</f>
        <v/>
      </c>
    </row>
    <row r="178" ht="21.75" customHeight="1" s="130">
      <c r="J178" s="107">
        <f>IF(OR(B178&lt;&gt;"WorkPackage",D178&lt;&gt;"tracks_scope",E178&lt;&gt;"Scope",F178=""),"",IFERROR(INDEX(SCOPES!$K$5:$K$2000,MATCH(F178,SCOPES!$A$5:$A$2000,0)),"UNMATCHED"))</f>
        <v/>
      </c>
    </row>
    <row r="179" ht="21.75" customHeight="1" s="130">
      <c r="J179" s="107">
        <f>IF(OR(B179&lt;&gt;"WorkPackage",D179&lt;&gt;"tracks_scope",E179&lt;&gt;"Scope",F179=""),"",IFERROR(INDEX(SCOPES!$K$5:$K$2000,MATCH(F179,SCOPES!$A$5:$A$2000,0)),"UNMATCHED"))</f>
        <v/>
      </c>
    </row>
    <row r="180" ht="21.75" customHeight="1" s="130">
      <c r="J180" s="107">
        <f>IF(OR(B180&lt;&gt;"WorkPackage",D180&lt;&gt;"tracks_scope",E180&lt;&gt;"Scope",F180=""),"",IFERROR(INDEX(SCOPES!$K$5:$K$2000,MATCH(F180,SCOPES!$A$5:$A$2000,0)),"UNMATCHED"))</f>
        <v/>
      </c>
    </row>
    <row r="181" ht="21.75" customHeight="1" s="130">
      <c r="J181" s="107">
        <f>IF(OR(B181&lt;&gt;"WorkPackage",D181&lt;&gt;"tracks_scope",E181&lt;&gt;"Scope",F181=""),"",IFERROR(INDEX(SCOPES!$K$5:$K$2000,MATCH(F181,SCOPES!$A$5:$A$2000,0)),"UNMATCHED"))</f>
        <v/>
      </c>
    </row>
    <row r="182" ht="21.75" customHeight="1" s="130">
      <c r="J182" s="107">
        <f>IF(OR(B182&lt;&gt;"WorkPackage",D182&lt;&gt;"tracks_scope",E182&lt;&gt;"Scope",F182=""),"",IFERROR(INDEX(SCOPES!$K$5:$K$2000,MATCH(F182,SCOPES!$A$5:$A$2000,0)),"UNMATCHED"))</f>
        <v/>
      </c>
    </row>
    <row r="183" ht="21.75" customHeight="1" s="130">
      <c r="J183" s="107">
        <f>IF(OR(B183&lt;&gt;"WorkPackage",D183&lt;&gt;"tracks_scope",E183&lt;&gt;"Scope",F183=""),"",IFERROR(INDEX(SCOPES!$K$5:$K$2000,MATCH(F183,SCOPES!$A$5:$A$2000,0)),"UNMATCHED"))</f>
        <v/>
      </c>
    </row>
    <row r="184" ht="21.75" customHeight="1" s="130">
      <c r="J184" s="107">
        <f>IF(OR(B184&lt;&gt;"WorkPackage",D184&lt;&gt;"tracks_scope",E184&lt;&gt;"Scope",F184=""),"",IFERROR(INDEX(SCOPES!$K$5:$K$2000,MATCH(F184,SCOPES!$A$5:$A$2000,0)),"UNMATCHED"))</f>
        <v/>
      </c>
    </row>
    <row r="185" ht="21.75" customHeight="1" s="130">
      <c r="J185" s="107">
        <f>IF(OR(B185&lt;&gt;"WorkPackage",D185&lt;&gt;"tracks_scope",E185&lt;&gt;"Scope",F185=""),"",IFERROR(INDEX(SCOPES!$K$5:$K$2000,MATCH(F185,SCOPES!$A$5:$A$2000,0)),"UNMATCHED"))</f>
        <v/>
      </c>
    </row>
    <row r="186" ht="21.75" customHeight="1" s="130">
      <c r="J186" s="107">
        <f>IF(OR(B186&lt;&gt;"WorkPackage",D186&lt;&gt;"tracks_scope",E186&lt;&gt;"Scope",F186=""),"",IFERROR(INDEX(SCOPES!$K$5:$K$2000,MATCH(F186,SCOPES!$A$5:$A$2000,0)),"UNMATCHED"))</f>
        <v/>
      </c>
    </row>
    <row r="187" ht="21.75" customHeight="1" s="130">
      <c r="J187" s="107">
        <f>IF(OR(B187&lt;&gt;"WorkPackage",D187&lt;&gt;"tracks_scope",E187&lt;&gt;"Scope",F187=""),"",IFERROR(INDEX(SCOPES!$K$5:$K$2000,MATCH(F187,SCOPES!$A$5:$A$2000,0)),"UNMATCHED"))</f>
        <v/>
      </c>
    </row>
    <row r="188" ht="21.75" customHeight="1" s="130">
      <c r="J188" s="107">
        <f>IF(OR(B188&lt;&gt;"WorkPackage",D188&lt;&gt;"tracks_scope",E188&lt;&gt;"Scope",F188=""),"",IFERROR(INDEX(SCOPES!$K$5:$K$2000,MATCH(F188,SCOPES!$A$5:$A$2000,0)),"UNMATCHED"))</f>
        <v/>
      </c>
    </row>
    <row r="189" ht="21.75" customHeight="1" s="130">
      <c r="J189" s="107">
        <f>IF(OR(B189&lt;&gt;"WorkPackage",D189&lt;&gt;"tracks_scope",E189&lt;&gt;"Scope",F189=""),"",IFERROR(INDEX(SCOPES!$K$5:$K$2000,MATCH(F189,SCOPES!$A$5:$A$2000,0)),"UNMATCHED"))</f>
        <v/>
      </c>
    </row>
    <row r="190" ht="21.75" customHeight="1" s="130">
      <c r="J190" s="107">
        <f>IF(OR(B190&lt;&gt;"WorkPackage",D190&lt;&gt;"tracks_scope",E190&lt;&gt;"Scope",F190=""),"",IFERROR(INDEX(SCOPES!$K$5:$K$2000,MATCH(F190,SCOPES!$A$5:$A$2000,0)),"UNMATCHED"))</f>
        <v/>
      </c>
    </row>
    <row r="191" ht="21.75" customHeight="1" s="130">
      <c r="J191" s="107">
        <f>IF(OR(B191&lt;&gt;"WorkPackage",D191&lt;&gt;"tracks_scope",E191&lt;&gt;"Scope",F191=""),"",IFERROR(INDEX(SCOPES!$K$5:$K$2000,MATCH(F191,SCOPES!$A$5:$A$2000,0)),"UNMATCHED"))</f>
        <v/>
      </c>
    </row>
    <row r="192" ht="21.75" customHeight="1" s="130">
      <c r="J192" s="107">
        <f>IF(OR(B192&lt;&gt;"WorkPackage",D192&lt;&gt;"tracks_scope",E192&lt;&gt;"Scope",F192=""),"",IFERROR(INDEX(SCOPES!$K$5:$K$2000,MATCH(F192,SCOPES!$A$5:$A$2000,0)),"UNMATCHED"))</f>
        <v/>
      </c>
    </row>
    <row r="193" ht="21.75" customHeight="1" s="130">
      <c r="J193" s="107">
        <f>IF(OR(B193&lt;&gt;"WorkPackage",D193&lt;&gt;"tracks_scope",E193&lt;&gt;"Scope",F193=""),"",IFERROR(INDEX(SCOPES!$K$5:$K$2000,MATCH(F193,SCOPES!$A$5:$A$2000,0)),"UNMATCHED"))</f>
        <v/>
      </c>
    </row>
    <row r="194" ht="21.75" customHeight="1" s="130">
      <c r="J194" s="107">
        <f>IF(OR(B194&lt;&gt;"WorkPackage",D194&lt;&gt;"tracks_scope",E194&lt;&gt;"Scope",F194=""),"",IFERROR(INDEX(SCOPES!$K$5:$K$2000,MATCH(F194,SCOPES!$A$5:$A$2000,0)),"UNMATCHED"))</f>
        <v/>
      </c>
    </row>
    <row r="195" ht="21.75" customHeight="1" s="130">
      <c r="J195" s="107">
        <f>IF(OR(B195&lt;&gt;"WorkPackage",D195&lt;&gt;"tracks_scope",E195&lt;&gt;"Scope",F195=""),"",IFERROR(INDEX(SCOPES!$K$5:$K$2000,MATCH(F195,SCOPES!$A$5:$A$2000,0)),"UNMATCHED"))</f>
        <v/>
      </c>
    </row>
    <row r="196" ht="21.75" customHeight="1" s="130">
      <c r="J196" s="107">
        <f>IF(OR(B196&lt;&gt;"WorkPackage",D196&lt;&gt;"tracks_scope",E196&lt;&gt;"Scope",F196=""),"",IFERROR(INDEX(SCOPES!$K$5:$K$2000,MATCH(F196,SCOPES!$A$5:$A$2000,0)),"UNMATCHED"))</f>
        <v/>
      </c>
    </row>
    <row r="197" ht="21.75" customHeight="1" s="130">
      <c r="J197" s="107">
        <f>IF(OR(B197&lt;&gt;"WorkPackage",D197&lt;&gt;"tracks_scope",E197&lt;&gt;"Scope",F197=""),"",IFERROR(INDEX(SCOPES!$K$5:$K$2000,MATCH(F197,SCOPES!$A$5:$A$2000,0)),"UNMATCHED"))</f>
        <v/>
      </c>
    </row>
    <row r="198" ht="21.75" customHeight="1" s="130">
      <c r="J198" s="107">
        <f>IF(OR(B198&lt;&gt;"WorkPackage",D198&lt;&gt;"tracks_scope",E198&lt;&gt;"Scope",F198=""),"",IFERROR(INDEX(SCOPES!$K$5:$K$2000,MATCH(F198,SCOPES!$A$5:$A$2000,0)),"UNMATCHED"))</f>
        <v/>
      </c>
    </row>
    <row r="199" ht="21.75" customHeight="1" s="130">
      <c r="J199" s="107">
        <f>IF(OR(B199&lt;&gt;"WorkPackage",D199&lt;&gt;"tracks_scope",E199&lt;&gt;"Scope",F199=""),"",IFERROR(INDEX(SCOPES!$K$5:$K$2000,MATCH(F199,SCOPES!$A$5:$A$2000,0)),"UNMATCHED"))</f>
        <v/>
      </c>
    </row>
    <row r="200" ht="21.75" customHeight="1" s="130">
      <c r="J200" s="107">
        <f>IF(OR(B200&lt;&gt;"WorkPackage",D200&lt;&gt;"tracks_scope",E200&lt;&gt;"Scope",F200=""),"",IFERROR(INDEX(SCOPES!$K$5:$K$2000,MATCH(F200,SCOPES!$A$5:$A$2000,0)),"UNMATCHED"))</f>
        <v/>
      </c>
    </row>
    <row r="201" ht="21.75" customHeight="1" s="130">
      <c r="J201" s="107">
        <f>IF(OR(B201&lt;&gt;"WorkPackage",D201&lt;&gt;"tracks_scope",E201&lt;&gt;"Scope",F201=""),"",IFERROR(INDEX(SCOPES!$K$5:$K$2000,MATCH(F201,SCOPES!$A$5:$A$2000,0)),"UNMATCHED"))</f>
        <v/>
      </c>
    </row>
    <row r="202" ht="21.75" customHeight="1" s="130">
      <c r="J202" s="107">
        <f>IF(OR(B202&lt;&gt;"WorkPackage",D202&lt;&gt;"tracks_scope",E202&lt;&gt;"Scope",F202=""),"",IFERROR(INDEX(SCOPES!$K$5:$K$2000,MATCH(F202,SCOPES!$A$5:$A$2000,0)),"UNMATCHED"))</f>
        <v/>
      </c>
    </row>
    <row r="203" ht="21.75" customHeight="1" s="130">
      <c r="J203" s="107">
        <f>IF(OR(B203&lt;&gt;"WorkPackage",D203&lt;&gt;"tracks_scope",E203&lt;&gt;"Scope",F203=""),"",IFERROR(INDEX(SCOPES!$K$5:$K$2000,MATCH(F203,SCOPES!$A$5:$A$2000,0)),"UNMATCHED"))</f>
        <v/>
      </c>
    </row>
    <row r="204" ht="21.75" customHeight="1" s="130">
      <c r="J204" s="107">
        <f>IF(OR(B204&lt;&gt;"WorkPackage",D204&lt;&gt;"tracks_scope",E204&lt;&gt;"Scope",F204=""),"",IFERROR(INDEX(SCOPES!$K$5:$K$2000,MATCH(F204,SCOPES!$A$5:$A$2000,0)),"UNMATCHED"))</f>
        <v/>
      </c>
    </row>
    <row r="205" ht="21.75" customHeight="1" s="130">
      <c r="J205" s="107">
        <f>IF(OR(B205&lt;&gt;"WorkPackage",D205&lt;&gt;"tracks_scope",E205&lt;&gt;"Scope",F205=""),"",IFERROR(INDEX(SCOPES!$K$5:$K$2000,MATCH(F205,SCOPES!$A$5:$A$2000,0)),"UNMATCHED"))</f>
        <v/>
      </c>
    </row>
    <row r="206" ht="21.75" customHeight="1" s="130">
      <c r="J206" s="107">
        <f>IF(OR(B206&lt;&gt;"WorkPackage",D206&lt;&gt;"tracks_scope",E206&lt;&gt;"Scope",F206=""),"",IFERROR(INDEX(SCOPES!$K$5:$K$2000,MATCH(F206,SCOPES!$A$5:$A$2000,0)),"UNMATCHED"))</f>
        <v/>
      </c>
    </row>
    <row r="207" ht="21.75" customHeight="1" s="130">
      <c r="J207" s="107">
        <f>IF(OR(B207&lt;&gt;"WorkPackage",D207&lt;&gt;"tracks_scope",E207&lt;&gt;"Scope",F207=""),"",IFERROR(INDEX(SCOPES!$K$5:$K$2000,MATCH(F207,SCOPES!$A$5:$A$2000,0)),"UNMATCHED"))</f>
        <v/>
      </c>
    </row>
    <row r="208" ht="21.75" customHeight="1" s="130">
      <c r="J208" s="107">
        <f>IF(OR(B208&lt;&gt;"WorkPackage",D208&lt;&gt;"tracks_scope",E208&lt;&gt;"Scope",F208=""),"",IFERROR(INDEX(SCOPES!$K$5:$K$2000,MATCH(F208,SCOPES!$A$5:$A$2000,0)),"UNMATCHED"))</f>
        <v/>
      </c>
    </row>
    <row r="209" ht="21.75" customHeight="1" s="130">
      <c r="J209" s="107">
        <f>IF(OR(B209&lt;&gt;"WorkPackage",D209&lt;&gt;"tracks_scope",E209&lt;&gt;"Scope",F209=""),"",IFERROR(INDEX(SCOPES!$K$5:$K$2000,MATCH(F209,SCOPES!$A$5:$A$2000,0)),"UNMATCHED"))</f>
        <v/>
      </c>
    </row>
    <row r="210" ht="21.75" customHeight="1" s="130">
      <c r="J210" s="107">
        <f>IF(OR(B210&lt;&gt;"WorkPackage",D210&lt;&gt;"tracks_scope",E210&lt;&gt;"Scope",F210=""),"",IFERROR(INDEX(SCOPES!$K$5:$K$2000,MATCH(F210,SCOPES!$A$5:$A$2000,0)),"UNMATCHED"))</f>
        <v/>
      </c>
    </row>
    <row r="211" ht="21.75" customHeight="1" s="130">
      <c r="J211" s="107">
        <f>IF(OR(B211&lt;&gt;"WorkPackage",D211&lt;&gt;"tracks_scope",E211&lt;&gt;"Scope",F211=""),"",IFERROR(INDEX(SCOPES!$K$5:$K$2000,MATCH(F211,SCOPES!$A$5:$A$2000,0)),"UNMATCHED"))</f>
        <v/>
      </c>
    </row>
    <row r="212" ht="21.75" customHeight="1" s="130">
      <c r="J212" s="107">
        <f>IF(OR(B212&lt;&gt;"WorkPackage",D212&lt;&gt;"tracks_scope",E212&lt;&gt;"Scope",F212=""),"",IFERROR(INDEX(SCOPES!$K$5:$K$2000,MATCH(F212,SCOPES!$A$5:$A$2000,0)),"UNMATCHED"))</f>
        <v/>
      </c>
    </row>
    <row r="213" ht="21.75" customHeight="1" s="130">
      <c r="J213" s="107">
        <f>IF(OR(B213&lt;&gt;"WorkPackage",D213&lt;&gt;"tracks_scope",E213&lt;&gt;"Scope",F213=""),"",IFERROR(INDEX(SCOPES!$K$5:$K$2000,MATCH(F213,SCOPES!$A$5:$A$2000,0)),"UNMATCHED"))</f>
        <v/>
      </c>
    </row>
    <row r="214" ht="21.75" customHeight="1" s="130">
      <c r="J214" s="107">
        <f>IF(OR(B214&lt;&gt;"WorkPackage",D214&lt;&gt;"tracks_scope",E214&lt;&gt;"Scope",F214=""),"",IFERROR(INDEX(SCOPES!$K$5:$K$2000,MATCH(F214,SCOPES!$A$5:$A$2000,0)),"UNMATCHED"))</f>
        <v/>
      </c>
    </row>
    <row r="215" ht="21.75" customHeight="1" s="130">
      <c r="J215" s="107">
        <f>IF(OR(B215&lt;&gt;"WorkPackage",D215&lt;&gt;"tracks_scope",E215&lt;&gt;"Scope",F215=""),"",IFERROR(INDEX(SCOPES!$K$5:$K$2000,MATCH(F215,SCOPES!$A$5:$A$2000,0)),"UNMATCHED"))</f>
        <v/>
      </c>
    </row>
    <row r="216" ht="21.75" customHeight="1" s="130">
      <c r="J216" s="107">
        <f>IF(OR(B216&lt;&gt;"WorkPackage",D216&lt;&gt;"tracks_scope",E216&lt;&gt;"Scope",F216=""),"",IFERROR(INDEX(SCOPES!$K$5:$K$2000,MATCH(F216,SCOPES!$A$5:$A$2000,0)),"UNMATCHED"))</f>
        <v/>
      </c>
    </row>
    <row r="217" ht="21.75" customHeight="1" s="130">
      <c r="J217" s="107">
        <f>IF(OR(B217&lt;&gt;"WorkPackage",D217&lt;&gt;"tracks_scope",E217&lt;&gt;"Scope",F217=""),"",IFERROR(INDEX(SCOPES!$K$5:$K$2000,MATCH(F217,SCOPES!$A$5:$A$2000,0)),"UNMATCHED"))</f>
        <v/>
      </c>
    </row>
    <row r="218" ht="21.75" customHeight="1" s="130">
      <c r="J218" s="107">
        <f>IF(OR(B218&lt;&gt;"WorkPackage",D218&lt;&gt;"tracks_scope",E218&lt;&gt;"Scope",F218=""),"",IFERROR(INDEX(SCOPES!$K$5:$K$2000,MATCH(F218,SCOPES!$A$5:$A$2000,0)),"UNMATCHED"))</f>
        <v/>
      </c>
    </row>
    <row r="219" ht="21.75" customHeight="1" s="130">
      <c r="J219" s="107">
        <f>IF(OR(B219&lt;&gt;"WorkPackage",D219&lt;&gt;"tracks_scope",E219&lt;&gt;"Scope",F219=""),"",IFERROR(INDEX(SCOPES!$K$5:$K$2000,MATCH(F219,SCOPES!$A$5:$A$2000,0)),"UNMATCHED"))</f>
        <v/>
      </c>
    </row>
    <row r="220" ht="21.75" customHeight="1" s="130">
      <c r="J220" s="107">
        <f>IF(OR(B220&lt;&gt;"WorkPackage",D220&lt;&gt;"tracks_scope",E220&lt;&gt;"Scope",F220=""),"",IFERROR(INDEX(SCOPES!$K$5:$K$2000,MATCH(F220,SCOPES!$A$5:$A$2000,0)),"UNMATCHED"))</f>
        <v/>
      </c>
    </row>
    <row r="221" ht="21.75" customHeight="1" s="130">
      <c r="J221" s="107">
        <f>IF(OR(B221&lt;&gt;"WorkPackage",D221&lt;&gt;"tracks_scope",E221&lt;&gt;"Scope",F221=""),"",IFERROR(INDEX(SCOPES!$K$5:$K$2000,MATCH(F221,SCOPES!$A$5:$A$2000,0)),"UNMATCHED"))</f>
        <v/>
      </c>
    </row>
    <row r="222" ht="21.75" customHeight="1" s="130">
      <c r="J222" s="107">
        <f>IF(OR(B222&lt;&gt;"WorkPackage",D222&lt;&gt;"tracks_scope",E222&lt;&gt;"Scope",F222=""),"",IFERROR(INDEX(SCOPES!$K$5:$K$2000,MATCH(F222,SCOPES!$A$5:$A$2000,0)),"UNMATCHED"))</f>
        <v/>
      </c>
    </row>
    <row r="223" ht="21.75" customHeight="1" s="130">
      <c r="J223" s="107">
        <f>IF(OR(B223&lt;&gt;"WorkPackage",D223&lt;&gt;"tracks_scope",E223&lt;&gt;"Scope",F223=""),"",IFERROR(INDEX(SCOPES!$K$5:$K$2000,MATCH(F223,SCOPES!$A$5:$A$2000,0)),"UNMATCHED"))</f>
        <v/>
      </c>
    </row>
    <row r="224" ht="21.75" customHeight="1" s="130">
      <c r="J224" s="107">
        <f>IF(OR(B224&lt;&gt;"WorkPackage",D224&lt;&gt;"tracks_scope",E224&lt;&gt;"Scope",F224=""),"",IFERROR(INDEX(SCOPES!$K$5:$K$2000,MATCH(F224,SCOPES!$A$5:$A$2000,0)),"UNMATCHED"))</f>
        <v/>
      </c>
    </row>
    <row r="225" ht="21.75" customHeight="1" s="130">
      <c r="J225" s="107">
        <f>IF(OR(B225&lt;&gt;"WorkPackage",D225&lt;&gt;"tracks_scope",E225&lt;&gt;"Scope",F225=""),"",IFERROR(INDEX(SCOPES!$K$5:$K$2000,MATCH(F225,SCOPES!$A$5:$A$2000,0)),"UNMATCHED"))</f>
        <v/>
      </c>
    </row>
    <row r="226" ht="21.75" customHeight="1" s="130">
      <c r="J226" s="107">
        <f>IF(OR(B226&lt;&gt;"WorkPackage",D226&lt;&gt;"tracks_scope",E226&lt;&gt;"Scope",F226=""),"",IFERROR(INDEX(SCOPES!$K$5:$K$2000,MATCH(F226,SCOPES!$A$5:$A$2000,0)),"UNMATCHED"))</f>
        <v/>
      </c>
    </row>
    <row r="227" ht="21.75" customHeight="1" s="130">
      <c r="J227" s="107">
        <f>IF(OR(B227&lt;&gt;"WorkPackage",D227&lt;&gt;"tracks_scope",E227&lt;&gt;"Scope",F227=""),"",IFERROR(INDEX(SCOPES!$K$5:$K$2000,MATCH(F227,SCOPES!$A$5:$A$2000,0)),"UNMATCHED"))</f>
        <v/>
      </c>
    </row>
    <row r="228" ht="21.75" customHeight="1" s="130">
      <c r="J228" s="107">
        <f>IF(OR(B228&lt;&gt;"WorkPackage",D228&lt;&gt;"tracks_scope",E228&lt;&gt;"Scope",F228=""),"",IFERROR(INDEX(SCOPES!$K$5:$K$2000,MATCH(F228,SCOPES!$A$5:$A$2000,0)),"UNMATCHED"))</f>
        <v/>
      </c>
    </row>
    <row r="229" ht="21.75" customHeight="1" s="130">
      <c r="J229" s="107">
        <f>IF(OR(B229&lt;&gt;"WorkPackage",D229&lt;&gt;"tracks_scope",E229&lt;&gt;"Scope",F229=""),"",IFERROR(INDEX(SCOPES!$K$5:$K$2000,MATCH(F229,SCOPES!$A$5:$A$2000,0)),"UNMATCHED"))</f>
        <v/>
      </c>
    </row>
    <row r="230" ht="21.75" customHeight="1" s="130">
      <c r="J230" s="107">
        <f>IF(OR(B230&lt;&gt;"WorkPackage",D230&lt;&gt;"tracks_scope",E230&lt;&gt;"Scope",F230=""),"",IFERROR(INDEX(SCOPES!$K$5:$K$2000,MATCH(F230,SCOPES!$A$5:$A$2000,0)),"UNMATCHED"))</f>
        <v/>
      </c>
    </row>
    <row r="231" ht="21.75" customHeight="1" s="130">
      <c r="J231" s="107">
        <f>IF(OR(B231&lt;&gt;"WorkPackage",D231&lt;&gt;"tracks_scope",E231&lt;&gt;"Scope",F231=""),"",IFERROR(INDEX(SCOPES!$K$5:$K$2000,MATCH(F231,SCOPES!$A$5:$A$2000,0)),"UNMATCHED"))</f>
        <v/>
      </c>
    </row>
    <row r="232" ht="21.75" customHeight="1" s="130">
      <c r="J232" s="107">
        <f>IF(OR(B232&lt;&gt;"WorkPackage",D232&lt;&gt;"tracks_scope",E232&lt;&gt;"Scope",F232=""),"",IFERROR(INDEX(SCOPES!$K$5:$K$2000,MATCH(F232,SCOPES!$A$5:$A$2000,0)),"UNMATCHED"))</f>
        <v/>
      </c>
    </row>
    <row r="233" ht="21.75" customHeight="1" s="130">
      <c r="J233" s="107">
        <f>IF(OR(B233&lt;&gt;"WorkPackage",D233&lt;&gt;"tracks_scope",E233&lt;&gt;"Scope",F233=""),"",IFERROR(INDEX(SCOPES!$K$5:$K$2000,MATCH(F233,SCOPES!$A$5:$A$2000,0)),"UNMATCHED"))</f>
        <v/>
      </c>
    </row>
    <row r="234" ht="21.75" customHeight="1" s="130">
      <c r="J234" s="107">
        <f>IF(OR(B234&lt;&gt;"WorkPackage",D234&lt;&gt;"tracks_scope",E234&lt;&gt;"Scope",F234=""),"",IFERROR(INDEX(SCOPES!$K$5:$K$2000,MATCH(F234,SCOPES!$A$5:$A$2000,0)),"UNMATCHED"))</f>
        <v/>
      </c>
    </row>
    <row r="235" ht="21.75" customHeight="1" s="130">
      <c r="J235" s="107">
        <f>IF(OR(B235&lt;&gt;"WorkPackage",D235&lt;&gt;"tracks_scope",E235&lt;&gt;"Scope",F235=""),"",IFERROR(INDEX(SCOPES!$K$5:$K$2000,MATCH(F235,SCOPES!$A$5:$A$2000,0)),"UNMATCHED"))</f>
        <v/>
      </c>
    </row>
    <row r="236" ht="21.75" customHeight="1" s="130">
      <c r="J236" s="107">
        <f>IF(OR(B236&lt;&gt;"WorkPackage",D236&lt;&gt;"tracks_scope",E236&lt;&gt;"Scope",F236=""),"",IFERROR(INDEX(SCOPES!$K$5:$K$2000,MATCH(F236,SCOPES!$A$5:$A$2000,0)),"UNMATCHED"))</f>
        <v/>
      </c>
    </row>
    <row r="237" ht="21.75" customHeight="1" s="130">
      <c r="J237" s="107">
        <f>IF(OR(B237&lt;&gt;"WorkPackage",D237&lt;&gt;"tracks_scope",E237&lt;&gt;"Scope",F237=""),"",IFERROR(INDEX(SCOPES!$K$5:$K$2000,MATCH(F237,SCOPES!$A$5:$A$2000,0)),"UNMATCHED"))</f>
        <v/>
      </c>
    </row>
    <row r="238" ht="21.75" customHeight="1" s="130">
      <c r="J238" s="107">
        <f>IF(OR(B238&lt;&gt;"WorkPackage",D238&lt;&gt;"tracks_scope",E238&lt;&gt;"Scope",F238=""),"",IFERROR(INDEX(SCOPES!$K$5:$K$2000,MATCH(F238,SCOPES!$A$5:$A$2000,0)),"UNMATCHED"))</f>
        <v/>
      </c>
    </row>
    <row r="239" ht="21.75" customHeight="1" s="130">
      <c r="J239" s="107">
        <f>IF(OR(B239&lt;&gt;"WorkPackage",D239&lt;&gt;"tracks_scope",E239&lt;&gt;"Scope",F239=""),"",IFERROR(INDEX(SCOPES!$K$5:$K$2000,MATCH(F239,SCOPES!$A$5:$A$2000,0)),"UNMATCHED"))</f>
        <v/>
      </c>
    </row>
    <row r="240" ht="21.75" customHeight="1" s="130">
      <c r="J240" s="107">
        <f>IF(OR(B240&lt;&gt;"WorkPackage",D240&lt;&gt;"tracks_scope",E240&lt;&gt;"Scope",F240=""),"",IFERROR(INDEX(SCOPES!$K$5:$K$2000,MATCH(F240,SCOPES!$A$5:$A$2000,0)),"UNMATCHED"))</f>
        <v/>
      </c>
    </row>
    <row r="241" ht="21.75" customHeight="1" s="130">
      <c r="J241" s="107">
        <f>IF(OR(B241&lt;&gt;"WorkPackage",D241&lt;&gt;"tracks_scope",E241&lt;&gt;"Scope",F241=""),"",IFERROR(INDEX(SCOPES!$K$5:$K$2000,MATCH(F241,SCOPES!$A$5:$A$2000,0)),"UNMATCHED"))</f>
        <v/>
      </c>
    </row>
    <row r="242" ht="21.75" customHeight="1" s="130">
      <c r="J242" s="107">
        <f>IF(OR(B242&lt;&gt;"WorkPackage",D242&lt;&gt;"tracks_scope",E242&lt;&gt;"Scope",F242=""),"",IFERROR(INDEX(SCOPES!$K$5:$K$2000,MATCH(F242,SCOPES!$A$5:$A$2000,0)),"UNMATCHED"))</f>
        <v/>
      </c>
    </row>
    <row r="243" ht="21.75" customHeight="1" s="130">
      <c r="J243" s="107">
        <f>IF(OR(B243&lt;&gt;"WorkPackage",D243&lt;&gt;"tracks_scope",E243&lt;&gt;"Scope",F243=""),"",IFERROR(INDEX(SCOPES!$K$5:$K$2000,MATCH(F243,SCOPES!$A$5:$A$2000,0)),"UNMATCHED"))</f>
        <v/>
      </c>
    </row>
    <row r="244" ht="21.75" customHeight="1" s="130">
      <c r="J244" s="107">
        <f>IF(OR(B244&lt;&gt;"WorkPackage",D244&lt;&gt;"tracks_scope",E244&lt;&gt;"Scope",F244=""),"",IFERROR(INDEX(SCOPES!$K$5:$K$2000,MATCH(F244,SCOPES!$A$5:$A$2000,0)),"UNMATCHED"))</f>
        <v/>
      </c>
    </row>
    <row r="245" ht="21.75" customHeight="1" s="130">
      <c r="J245" s="107">
        <f>IF(OR(B245&lt;&gt;"WorkPackage",D245&lt;&gt;"tracks_scope",E245&lt;&gt;"Scope",F245=""),"",IFERROR(INDEX(SCOPES!$K$5:$K$2000,MATCH(F245,SCOPES!$A$5:$A$2000,0)),"UNMATCHED"))</f>
        <v/>
      </c>
    </row>
    <row r="246" ht="21.75" customHeight="1" s="130">
      <c r="J246" s="107">
        <f>IF(OR(B246&lt;&gt;"WorkPackage",D246&lt;&gt;"tracks_scope",E246&lt;&gt;"Scope",F246=""),"",IFERROR(INDEX(SCOPES!$K$5:$K$2000,MATCH(F246,SCOPES!$A$5:$A$2000,0)),"UNMATCHED"))</f>
        <v/>
      </c>
    </row>
    <row r="247" ht="21.75" customHeight="1" s="130">
      <c r="J247" s="107">
        <f>IF(OR(B247&lt;&gt;"WorkPackage",D247&lt;&gt;"tracks_scope",E247&lt;&gt;"Scope",F247=""),"",IFERROR(INDEX(SCOPES!$K$5:$K$2000,MATCH(F247,SCOPES!$A$5:$A$2000,0)),"UNMATCHED"))</f>
        <v/>
      </c>
    </row>
    <row r="248" ht="21.75" customHeight="1" s="130">
      <c r="J248" s="107">
        <f>IF(OR(B248&lt;&gt;"WorkPackage",D248&lt;&gt;"tracks_scope",E248&lt;&gt;"Scope",F248=""),"",IFERROR(INDEX(SCOPES!$K$5:$K$2000,MATCH(F248,SCOPES!$A$5:$A$2000,0)),"UNMATCHED"))</f>
        <v/>
      </c>
    </row>
    <row r="249" ht="21.75" customHeight="1" s="130">
      <c r="J249" s="107">
        <f>IF(OR(B249&lt;&gt;"WorkPackage",D249&lt;&gt;"tracks_scope",E249&lt;&gt;"Scope",F249=""),"",IFERROR(INDEX(SCOPES!$K$5:$K$2000,MATCH(F249,SCOPES!$A$5:$A$2000,0)),"UNMATCHED"))</f>
        <v/>
      </c>
    </row>
    <row r="250" ht="21.75" customHeight="1" s="130">
      <c r="J250" s="107">
        <f>IF(OR(B250&lt;&gt;"WorkPackage",D250&lt;&gt;"tracks_scope",E250&lt;&gt;"Scope",F250=""),"",IFERROR(INDEX(SCOPES!$K$5:$K$2000,MATCH(F250,SCOPES!$A$5:$A$2000,0)),"UNMATCHED"))</f>
        <v/>
      </c>
    </row>
    <row r="251" ht="21.75" customHeight="1" s="130">
      <c r="J251" s="107">
        <f>IF(OR(B251&lt;&gt;"WorkPackage",D251&lt;&gt;"tracks_scope",E251&lt;&gt;"Scope",F251=""),"",IFERROR(INDEX(SCOPES!$K$5:$K$2000,MATCH(F251,SCOPES!$A$5:$A$2000,0)),"UNMATCHED"))</f>
        <v/>
      </c>
    </row>
    <row r="252" ht="21.75" customHeight="1" s="130">
      <c r="J252" s="107">
        <f>IF(OR(B252&lt;&gt;"WorkPackage",D252&lt;&gt;"tracks_scope",E252&lt;&gt;"Scope",F252=""),"",IFERROR(INDEX(SCOPES!$K$5:$K$2000,MATCH(F252,SCOPES!$A$5:$A$2000,0)),"UNMATCHED"))</f>
        <v/>
      </c>
    </row>
    <row r="253" ht="21.75" customHeight="1" s="130">
      <c r="J253" s="107">
        <f>IF(OR(B253&lt;&gt;"WorkPackage",D253&lt;&gt;"tracks_scope",E253&lt;&gt;"Scope",F253=""),"",IFERROR(INDEX(SCOPES!$K$5:$K$2000,MATCH(F253,SCOPES!$A$5:$A$2000,0)),"UNMATCHED"))</f>
        <v/>
      </c>
    </row>
    <row r="254" ht="21.75" customHeight="1" s="130">
      <c r="J254" s="107">
        <f>IF(OR(B254&lt;&gt;"WorkPackage",D254&lt;&gt;"tracks_scope",E254&lt;&gt;"Scope",F254=""),"",IFERROR(INDEX(SCOPES!$K$5:$K$2000,MATCH(F254,SCOPES!$A$5:$A$2000,0)),"UNMATCHED"))</f>
        <v/>
      </c>
    </row>
    <row r="255" ht="21.75" customHeight="1" s="130">
      <c r="J255" s="107">
        <f>IF(OR(B255&lt;&gt;"WorkPackage",D255&lt;&gt;"tracks_scope",E255&lt;&gt;"Scope",F255=""),"",IFERROR(INDEX(SCOPES!$K$5:$K$2000,MATCH(F255,SCOPES!$A$5:$A$2000,0)),"UNMATCHED"))</f>
        <v/>
      </c>
    </row>
    <row r="256" ht="21.75" customHeight="1" s="130">
      <c r="J256" s="107">
        <f>IF(OR(B256&lt;&gt;"WorkPackage",D256&lt;&gt;"tracks_scope",E256&lt;&gt;"Scope",F256=""),"",IFERROR(INDEX(SCOPES!$K$5:$K$2000,MATCH(F256,SCOPES!$A$5:$A$2000,0)),"UNMATCHED"))</f>
        <v/>
      </c>
    </row>
    <row r="257" ht="21.75" customHeight="1" s="130">
      <c r="J257" s="107">
        <f>IF(OR(B257&lt;&gt;"WorkPackage",D257&lt;&gt;"tracks_scope",E257&lt;&gt;"Scope",F257=""),"",IFERROR(INDEX(SCOPES!$K$5:$K$2000,MATCH(F257,SCOPES!$A$5:$A$2000,0)),"UNMATCHED"))</f>
        <v/>
      </c>
    </row>
    <row r="258" ht="21.75" customHeight="1" s="130">
      <c r="J258" s="107">
        <f>IF(OR(B258&lt;&gt;"WorkPackage",D258&lt;&gt;"tracks_scope",E258&lt;&gt;"Scope",F258=""),"",IFERROR(INDEX(SCOPES!$K$5:$K$2000,MATCH(F258,SCOPES!$A$5:$A$2000,0)),"UNMATCHED"))</f>
        <v/>
      </c>
    </row>
    <row r="259" ht="21.75" customHeight="1" s="130">
      <c r="J259" s="107">
        <f>IF(OR(B259&lt;&gt;"WorkPackage",D259&lt;&gt;"tracks_scope",E259&lt;&gt;"Scope",F259=""),"",IFERROR(INDEX(SCOPES!$K$5:$K$2000,MATCH(F259,SCOPES!$A$5:$A$2000,0)),"UNMATCHED"))</f>
        <v/>
      </c>
    </row>
    <row r="260" ht="21.75" customHeight="1" s="130">
      <c r="J260" s="107">
        <f>IF(OR(B260&lt;&gt;"WorkPackage",D260&lt;&gt;"tracks_scope",E260&lt;&gt;"Scope",F260=""),"",IFERROR(INDEX(SCOPES!$K$5:$K$2000,MATCH(F260,SCOPES!$A$5:$A$2000,0)),"UNMATCHED"))</f>
        <v/>
      </c>
    </row>
    <row r="261" ht="21.75" customHeight="1" s="130">
      <c r="J261" s="107">
        <f>IF(OR(B261&lt;&gt;"WorkPackage",D261&lt;&gt;"tracks_scope",E261&lt;&gt;"Scope",F261=""),"",IFERROR(INDEX(SCOPES!$K$5:$K$2000,MATCH(F261,SCOPES!$A$5:$A$2000,0)),"UNMATCHED"))</f>
        <v/>
      </c>
    </row>
    <row r="262" ht="21.75" customHeight="1" s="130">
      <c r="J262" s="107">
        <f>IF(OR(B262&lt;&gt;"WorkPackage",D262&lt;&gt;"tracks_scope",E262&lt;&gt;"Scope",F262=""),"",IFERROR(INDEX(SCOPES!$K$5:$K$2000,MATCH(F262,SCOPES!$A$5:$A$2000,0)),"UNMATCHED"))</f>
        <v/>
      </c>
    </row>
    <row r="263" ht="21.75" customHeight="1" s="130">
      <c r="J263" s="107">
        <f>IF(OR(B263&lt;&gt;"WorkPackage",D263&lt;&gt;"tracks_scope",E263&lt;&gt;"Scope",F263=""),"",IFERROR(INDEX(SCOPES!$K$5:$K$2000,MATCH(F263,SCOPES!$A$5:$A$2000,0)),"UNMATCHED"))</f>
        <v/>
      </c>
    </row>
    <row r="264" ht="21.75" customHeight="1" s="130">
      <c r="J264" s="107">
        <f>IF(OR(B264&lt;&gt;"WorkPackage",D264&lt;&gt;"tracks_scope",E264&lt;&gt;"Scope",F264=""),"",IFERROR(INDEX(SCOPES!$K$5:$K$2000,MATCH(F264,SCOPES!$A$5:$A$2000,0)),"UNMATCHED"))</f>
        <v/>
      </c>
    </row>
    <row r="265" ht="21.75" customHeight="1" s="130">
      <c r="J265" s="107">
        <f>IF(OR(B265&lt;&gt;"WorkPackage",D265&lt;&gt;"tracks_scope",E265&lt;&gt;"Scope",F265=""),"",IFERROR(INDEX(SCOPES!$K$5:$K$2000,MATCH(F265,SCOPES!$A$5:$A$2000,0)),"UNMATCHED"))</f>
        <v/>
      </c>
    </row>
    <row r="266" ht="21.75" customHeight="1" s="130">
      <c r="J266" s="107">
        <f>IF(OR(B266&lt;&gt;"WorkPackage",D266&lt;&gt;"tracks_scope",E266&lt;&gt;"Scope",F266=""),"",IFERROR(INDEX(SCOPES!$K$5:$K$2000,MATCH(F266,SCOPES!$A$5:$A$2000,0)),"UNMATCHED"))</f>
        <v/>
      </c>
    </row>
    <row r="267" ht="21.75" customHeight="1" s="130">
      <c r="J267" s="107">
        <f>IF(OR(B267&lt;&gt;"WorkPackage",D267&lt;&gt;"tracks_scope",E267&lt;&gt;"Scope",F267=""),"",IFERROR(INDEX(SCOPES!$K$5:$K$2000,MATCH(F267,SCOPES!$A$5:$A$2000,0)),"UNMATCHED"))</f>
        <v/>
      </c>
    </row>
    <row r="268" ht="21.75" customHeight="1" s="130">
      <c r="J268" s="107">
        <f>IF(OR(B268&lt;&gt;"WorkPackage",D268&lt;&gt;"tracks_scope",E268&lt;&gt;"Scope",F268=""),"",IFERROR(INDEX(SCOPES!$K$5:$K$2000,MATCH(F268,SCOPES!$A$5:$A$2000,0)),"UNMATCHED"))</f>
        <v/>
      </c>
    </row>
    <row r="269" ht="21.75" customHeight="1" s="130">
      <c r="J269" s="107">
        <f>IF(OR(B269&lt;&gt;"WorkPackage",D269&lt;&gt;"tracks_scope",E269&lt;&gt;"Scope",F269=""),"",IFERROR(INDEX(SCOPES!$K$5:$K$2000,MATCH(F269,SCOPES!$A$5:$A$2000,0)),"UNMATCHED"))</f>
        <v/>
      </c>
    </row>
    <row r="270" ht="21.75" customHeight="1" s="130">
      <c r="J270" s="107">
        <f>IF(OR(B270&lt;&gt;"WorkPackage",D270&lt;&gt;"tracks_scope",E270&lt;&gt;"Scope",F270=""),"",IFERROR(INDEX(SCOPES!$K$5:$K$2000,MATCH(F270,SCOPES!$A$5:$A$2000,0)),"UNMATCHED"))</f>
        <v/>
      </c>
    </row>
    <row r="271" ht="21.75" customHeight="1" s="130">
      <c r="J271" s="107">
        <f>IF(OR(B271&lt;&gt;"WorkPackage",D271&lt;&gt;"tracks_scope",E271&lt;&gt;"Scope",F271=""),"",IFERROR(INDEX(SCOPES!$K$5:$K$2000,MATCH(F271,SCOPES!$A$5:$A$2000,0)),"UNMATCHED"))</f>
        <v/>
      </c>
    </row>
    <row r="272" ht="21.75" customHeight="1" s="130">
      <c r="J272" s="107">
        <f>IF(OR(B272&lt;&gt;"WorkPackage",D272&lt;&gt;"tracks_scope",E272&lt;&gt;"Scope",F272=""),"",IFERROR(INDEX(SCOPES!$K$5:$K$2000,MATCH(F272,SCOPES!$A$5:$A$2000,0)),"UNMATCHED"))</f>
        <v/>
      </c>
    </row>
    <row r="273" ht="21.75" customHeight="1" s="130">
      <c r="J273" s="107">
        <f>IF(OR(B273&lt;&gt;"WorkPackage",D273&lt;&gt;"tracks_scope",E273&lt;&gt;"Scope",F273=""),"",IFERROR(INDEX(SCOPES!$K$5:$K$2000,MATCH(F273,SCOPES!$A$5:$A$2000,0)),"UNMATCHED"))</f>
        <v/>
      </c>
    </row>
    <row r="274" ht="21.75" customHeight="1" s="130">
      <c r="J274" s="107">
        <f>IF(OR(B274&lt;&gt;"WorkPackage",D274&lt;&gt;"tracks_scope",E274&lt;&gt;"Scope",F274=""),"",IFERROR(INDEX(SCOPES!$K$5:$K$2000,MATCH(F274,SCOPES!$A$5:$A$2000,0)),"UNMATCHED"))</f>
        <v/>
      </c>
    </row>
    <row r="275" ht="21.75" customHeight="1" s="130">
      <c r="J275" s="107">
        <f>IF(OR(B275&lt;&gt;"WorkPackage",D275&lt;&gt;"tracks_scope",E275&lt;&gt;"Scope",F275=""),"",IFERROR(INDEX(SCOPES!$K$5:$K$2000,MATCH(F275,SCOPES!$A$5:$A$2000,0)),"UNMATCHED"))</f>
        <v/>
      </c>
    </row>
    <row r="276" ht="21.75" customHeight="1" s="130">
      <c r="J276" s="107">
        <f>IF(OR(B276&lt;&gt;"WorkPackage",D276&lt;&gt;"tracks_scope",E276&lt;&gt;"Scope",F276=""),"",IFERROR(INDEX(SCOPES!$K$5:$K$2000,MATCH(F276,SCOPES!$A$5:$A$2000,0)),"UNMATCHED"))</f>
        <v/>
      </c>
    </row>
    <row r="277" ht="21.75" customHeight="1" s="130">
      <c r="J277" s="107">
        <f>IF(OR(B277&lt;&gt;"WorkPackage",D277&lt;&gt;"tracks_scope",E277&lt;&gt;"Scope",F277=""),"",IFERROR(INDEX(SCOPES!$K$5:$K$2000,MATCH(F277,SCOPES!$A$5:$A$2000,0)),"UNMATCHED"))</f>
        <v/>
      </c>
    </row>
    <row r="278" ht="21.75" customHeight="1" s="130">
      <c r="J278" s="107">
        <f>IF(OR(B278&lt;&gt;"WorkPackage",D278&lt;&gt;"tracks_scope",E278&lt;&gt;"Scope",F278=""),"",IFERROR(INDEX(SCOPES!$K$5:$K$2000,MATCH(F278,SCOPES!$A$5:$A$2000,0)),"UNMATCHED"))</f>
        <v/>
      </c>
    </row>
    <row r="279" ht="21.75" customHeight="1" s="130">
      <c r="J279" s="107">
        <f>IF(OR(B279&lt;&gt;"WorkPackage",D279&lt;&gt;"tracks_scope",E279&lt;&gt;"Scope",F279=""),"",IFERROR(INDEX(SCOPES!$K$5:$K$2000,MATCH(F279,SCOPES!$A$5:$A$2000,0)),"UNMATCHED"))</f>
        <v/>
      </c>
    </row>
    <row r="280" ht="21.75" customHeight="1" s="130">
      <c r="J280" s="107">
        <f>IF(OR(B280&lt;&gt;"WorkPackage",D280&lt;&gt;"tracks_scope",E280&lt;&gt;"Scope",F280=""),"",IFERROR(INDEX(SCOPES!$K$5:$K$2000,MATCH(F280,SCOPES!$A$5:$A$2000,0)),"UNMATCHED"))</f>
        <v/>
      </c>
    </row>
    <row r="281" ht="21.75" customHeight="1" s="130">
      <c r="J281" s="107">
        <f>IF(OR(B281&lt;&gt;"WorkPackage",D281&lt;&gt;"tracks_scope",E281&lt;&gt;"Scope",F281=""),"",IFERROR(INDEX(SCOPES!$K$5:$K$2000,MATCH(F281,SCOPES!$A$5:$A$2000,0)),"UNMATCHED"))</f>
        <v/>
      </c>
    </row>
    <row r="282" ht="21.75" customHeight="1" s="130">
      <c r="J282" s="107">
        <f>IF(OR(B282&lt;&gt;"WorkPackage",D282&lt;&gt;"tracks_scope",E282&lt;&gt;"Scope",F282=""),"",IFERROR(INDEX(SCOPES!$K$5:$K$2000,MATCH(F282,SCOPES!$A$5:$A$2000,0)),"UNMATCHED"))</f>
        <v/>
      </c>
    </row>
    <row r="283" ht="21.75" customHeight="1" s="130">
      <c r="J283" s="107">
        <f>IF(OR(B283&lt;&gt;"WorkPackage",D283&lt;&gt;"tracks_scope",E283&lt;&gt;"Scope",F283=""),"",IFERROR(INDEX(SCOPES!$K$5:$K$2000,MATCH(F283,SCOPES!$A$5:$A$2000,0)),"UNMATCHED"))</f>
        <v/>
      </c>
    </row>
    <row r="284" ht="21.75" customHeight="1" s="130">
      <c r="J284" s="107">
        <f>IF(OR(B284&lt;&gt;"WorkPackage",D284&lt;&gt;"tracks_scope",E284&lt;&gt;"Scope",F284=""),"",IFERROR(INDEX(SCOPES!$K$5:$K$2000,MATCH(F284,SCOPES!$A$5:$A$2000,0)),"UNMATCHED"))</f>
        <v/>
      </c>
    </row>
    <row r="285" ht="21.75" customHeight="1" s="130">
      <c r="J285" s="107">
        <f>IF(OR(B285&lt;&gt;"WorkPackage",D285&lt;&gt;"tracks_scope",E285&lt;&gt;"Scope",F285=""),"",IFERROR(INDEX(SCOPES!$K$5:$K$2000,MATCH(F285,SCOPES!$A$5:$A$2000,0)),"UNMATCHED"))</f>
        <v/>
      </c>
    </row>
    <row r="286" ht="21.75" customHeight="1" s="130">
      <c r="J286" s="107">
        <f>IF(OR(B286&lt;&gt;"WorkPackage",D286&lt;&gt;"tracks_scope",E286&lt;&gt;"Scope",F286=""),"",IFERROR(INDEX(SCOPES!$K$5:$K$2000,MATCH(F286,SCOPES!$A$5:$A$2000,0)),"UNMATCHED"))</f>
        <v/>
      </c>
    </row>
    <row r="287" ht="21.75" customHeight="1" s="130">
      <c r="J287" s="107">
        <f>IF(OR(B287&lt;&gt;"WorkPackage",D287&lt;&gt;"tracks_scope",E287&lt;&gt;"Scope",F287=""),"",IFERROR(INDEX(SCOPES!$K$5:$K$2000,MATCH(F287,SCOPES!$A$5:$A$2000,0)),"UNMATCHED"))</f>
        <v/>
      </c>
    </row>
    <row r="288" ht="21.75" customHeight="1" s="130">
      <c r="J288" s="107">
        <f>IF(OR(B288&lt;&gt;"WorkPackage",D288&lt;&gt;"tracks_scope",E288&lt;&gt;"Scope",F288=""),"",IFERROR(INDEX(SCOPES!$K$5:$K$2000,MATCH(F288,SCOPES!$A$5:$A$2000,0)),"UNMATCHED"))</f>
        <v/>
      </c>
    </row>
    <row r="289" ht="21.75" customHeight="1" s="130">
      <c r="J289" s="107">
        <f>IF(OR(B289&lt;&gt;"WorkPackage",D289&lt;&gt;"tracks_scope",E289&lt;&gt;"Scope",F289=""),"",IFERROR(INDEX(SCOPES!$K$5:$K$2000,MATCH(F289,SCOPES!$A$5:$A$2000,0)),"UNMATCHED"))</f>
        <v/>
      </c>
    </row>
    <row r="290" ht="21.75" customHeight="1" s="130">
      <c r="J290" s="107">
        <f>IF(OR(B290&lt;&gt;"WorkPackage",D290&lt;&gt;"tracks_scope",E290&lt;&gt;"Scope",F290=""),"",IFERROR(INDEX(SCOPES!$K$5:$K$2000,MATCH(F290,SCOPES!$A$5:$A$2000,0)),"UNMATCHED"))</f>
        <v/>
      </c>
    </row>
    <row r="291" ht="21.75" customHeight="1" s="130">
      <c r="J291" s="107">
        <f>IF(OR(B291&lt;&gt;"WorkPackage",D291&lt;&gt;"tracks_scope",E291&lt;&gt;"Scope",F291=""),"",IFERROR(INDEX(SCOPES!$K$5:$K$2000,MATCH(F291,SCOPES!$A$5:$A$2000,0)),"UNMATCHED"))</f>
        <v/>
      </c>
    </row>
    <row r="292" ht="21.75" customHeight="1" s="130">
      <c r="J292" s="107">
        <f>IF(OR(B292&lt;&gt;"WorkPackage",D292&lt;&gt;"tracks_scope",E292&lt;&gt;"Scope",F292=""),"",IFERROR(INDEX(SCOPES!$K$5:$K$2000,MATCH(F292,SCOPES!$A$5:$A$2000,0)),"UNMATCHED"))</f>
        <v/>
      </c>
    </row>
    <row r="293" ht="21.75" customHeight="1" s="130">
      <c r="J293" s="107">
        <f>IF(OR(B293&lt;&gt;"WorkPackage",D293&lt;&gt;"tracks_scope",E293&lt;&gt;"Scope",F293=""),"",IFERROR(INDEX(SCOPES!$K$5:$K$2000,MATCH(F293,SCOPES!$A$5:$A$2000,0)),"UNMATCHED"))</f>
        <v/>
      </c>
    </row>
    <row r="294" ht="21.75" customHeight="1" s="130">
      <c r="J294" s="107">
        <f>IF(OR(B294&lt;&gt;"WorkPackage",D294&lt;&gt;"tracks_scope",E294&lt;&gt;"Scope",F294=""),"",IFERROR(INDEX(SCOPES!$K$5:$K$2000,MATCH(F294,SCOPES!$A$5:$A$2000,0)),"UNMATCHED"))</f>
        <v/>
      </c>
    </row>
    <row r="295" ht="21.75" customHeight="1" s="130">
      <c r="J295" s="107">
        <f>IF(OR(B295&lt;&gt;"WorkPackage",D295&lt;&gt;"tracks_scope",E295&lt;&gt;"Scope",F295=""),"",IFERROR(INDEX(SCOPES!$K$5:$K$2000,MATCH(F295,SCOPES!$A$5:$A$2000,0)),"UNMATCHED"))</f>
        <v/>
      </c>
    </row>
    <row r="296" ht="21.75" customHeight="1" s="130">
      <c r="J296" s="107">
        <f>IF(OR(B296&lt;&gt;"WorkPackage",D296&lt;&gt;"tracks_scope",E296&lt;&gt;"Scope",F296=""),"",IFERROR(INDEX(SCOPES!$K$5:$K$2000,MATCH(F296,SCOPES!$A$5:$A$2000,0)),"UNMATCHED"))</f>
        <v/>
      </c>
    </row>
    <row r="297" ht="21.75" customHeight="1" s="130">
      <c r="J297" s="107">
        <f>IF(OR(B297&lt;&gt;"WorkPackage",D297&lt;&gt;"tracks_scope",E297&lt;&gt;"Scope",F297=""),"",IFERROR(INDEX(SCOPES!$K$5:$K$2000,MATCH(F297,SCOPES!$A$5:$A$2000,0)),"UNMATCHED"))</f>
        <v/>
      </c>
    </row>
    <row r="298" ht="21.75" customHeight="1" s="130">
      <c r="J298" s="107">
        <f>IF(OR(B298&lt;&gt;"WorkPackage",D298&lt;&gt;"tracks_scope",E298&lt;&gt;"Scope",F298=""),"",IFERROR(INDEX(SCOPES!$K$5:$K$2000,MATCH(F298,SCOPES!$A$5:$A$2000,0)),"UNMATCHED"))</f>
        <v/>
      </c>
    </row>
    <row r="299" ht="21.75" customHeight="1" s="130">
      <c r="J299" s="107">
        <f>IF(OR(B299&lt;&gt;"WorkPackage",D299&lt;&gt;"tracks_scope",E299&lt;&gt;"Scope",F299=""),"",IFERROR(INDEX(SCOPES!$K$5:$K$2000,MATCH(F299,SCOPES!$A$5:$A$2000,0)),"UNMATCHED"))</f>
        <v/>
      </c>
    </row>
    <row r="300" ht="21.75" customHeight="1" s="130">
      <c r="J300" s="107">
        <f>IF(OR(B300&lt;&gt;"WorkPackage",D300&lt;&gt;"tracks_scope",E300&lt;&gt;"Scope",F300=""),"",IFERROR(INDEX(SCOPES!$K$5:$K$2000,MATCH(F300,SCOPES!$A$5:$A$2000,0)),"UNMATCHED"))</f>
        <v/>
      </c>
    </row>
    <row r="301" ht="21.75" customHeight="1" s="130">
      <c r="J301" s="107">
        <f>IF(OR(B301&lt;&gt;"WorkPackage",D301&lt;&gt;"tracks_scope",E301&lt;&gt;"Scope",F301=""),"",IFERROR(INDEX(SCOPES!$K$5:$K$2000,MATCH(F301,SCOPES!$A$5:$A$2000,0)),"UNMATCHED"))</f>
        <v/>
      </c>
    </row>
    <row r="302" ht="21.75" customHeight="1" s="130">
      <c r="J302" s="107">
        <f>IF(OR(B302&lt;&gt;"WorkPackage",D302&lt;&gt;"tracks_scope",E302&lt;&gt;"Scope",F302=""),"",IFERROR(INDEX(SCOPES!$K$5:$K$2000,MATCH(F302,SCOPES!$A$5:$A$2000,0)),"UNMATCHED"))</f>
        <v/>
      </c>
    </row>
    <row r="303" ht="21.75" customHeight="1" s="130">
      <c r="J303" s="107">
        <f>IF(OR(B303&lt;&gt;"WorkPackage",D303&lt;&gt;"tracks_scope",E303&lt;&gt;"Scope",F303=""),"",IFERROR(INDEX(SCOPES!$K$5:$K$2000,MATCH(F303,SCOPES!$A$5:$A$2000,0)),"UNMATCHED"))</f>
        <v/>
      </c>
    </row>
    <row r="304" ht="21.75" customHeight="1" s="130">
      <c r="J304" s="107">
        <f>IF(OR(B304&lt;&gt;"WorkPackage",D304&lt;&gt;"tracks_scope",E304&lt;&gt;"Scope",F304=""),"",IFERROR(INDEX(SCOPES!$K$5:$K$2000,MATCH(F304,SCOPES!$A$5:$A$2000,0)),"UNMATCHED"))</f>
        <v/>
      </c>
    </row>
    <row r="305" ht="21.75" customHeight="1" s="130">
      <c r="J305" s="107">
        <f>IF(OR(B305&lt;&gt;"WorkPackage",D305&lt;&gt;"tracks_scope",E305&lt;&gt;"Scope",F305=""),"",IFERROR(INDEX(SCOPES!$K$5:$K$2000,MATCH(F305,SCOPES!$A$5:$A$2000,0)),"UNMATCHED"))</f>
        <v/>
      </c>
    </row>
    <row r="306" ht="21.75" customHeight="1" s="130">
      <c r="J306" s="107">
        <f>IF(OR(B306&lt;&gt;"WorkPackage",D306&lt;&gt;"tracks_scope",E306&lt;&gt;"Scope",F306=""),"",IFERROR(INDEX(SCOPES!$K$5:$K$2000,MATCH(F306,SCOPES!$A$5:$A$2000,0)),"UNMATCHED"))</f>
        <v/>
      </c>
    </row>
    <row r="307" ht="21.75" customHeight="1" s="130">
      <c r="J307" s="107">
        <f>IF(OR(B307&lt;&gt;"WorkPackage",D307&lt;&gt;"tracks_scope",E307&lt;&gt;"Scope",F307=""),"",IFERROR(INDEX(SCOPES!$K$5:$K$2000,MATCH(F307,SCOPES!$A$5:$A$2000,0)),"UNMATCHED"))</f>
        <v/>
      </c>
    </row>
    <row r="308" ht="21.75" customHeight="1" s="130">
      <c r="J308" s="107">
        <f>IF(OR(B308&lt;&gt;"WorkPackage",D308&lt;&gt;"tracks_scope",E308&lt;&gt;"Scope",F308=""),"",IFERROR(INDEX(SCOPES!$K$5:$K$2000,MATCH(F308,SCOPES!$A$5:$A$2000,0)),"UNMATCHED"))</f>
        <v/>
      </c>
    </row>
    <row r="309" ht="21.75" customHeight="1" s="130">
      <c r="J309" s="107">
        <f>IF(OR(B309&lt;&gt;"WorkPackage",D309&lt;&gt;"tracks_scope",E309&lt;&gt;"Scope",F309=""),"",IFERROR(INDEX(SCOPES!$K$5:$K$2000,MATCH(F309,SCOPES!$A$5:$A$2000,0)),"UNMATCHED"))</f>
        <v/>
      </c>
    </row>
    <row r="310" ht="21.75" customHeight="1" s="130">
      <c r="J310" s="107">
        <f>IF(OR(B310&lt;&gt;"WorkPackage",D310&lt;&gt;"tracks_scope",E310&lt;&gt;"Scope",F310=""),"",IFERROR(INDEX(SCOPES!$K$5:$K$2000,MATCH(F310,SCOPES!$A$5:$A$2000,0)),"UNMATCHED"))</f>
        <v/>
      </c>
    </row>
    <row r="311" ht="21.75" customHeight="1" s="130">
      <c r="J311" s="107">
        <f>IF(OR(B311&lt;&gt;"WorkPackage",D311&lt;&gt;"tracks_scope",E311&lt;&gt;"Scope",F311=""),"",IFERROR(INDEX(SCOPES!$K$5:$K$2000,MATCH(F311,SCOPES!$A$5:$A$2000,0)),"UNMATCHED"))</f>
        <v/>
      </c>
    </row>
    <row r="312" ht="21.75" customHeight="1" s="130">
      <c r="J312" s="107">
        <f>IF(OR(B312&lt;&gt;"WorkPackage",D312&lt;&gt;"tracks_scope",E312&lt;&gt;"Scope",F312=""),"",IFERROR(INDEX(SCOPES!$K$5:$K$2000,MATCH(F312,SCOPES!$A$5:$A$2000,0)),"UNMATCHED"))</f>
        <v/>
      </c>
    </row>
    <row r="313" ht="21.75" customHeight="1" s="130">
      <c r="J313" s="107">
        <f>IF(OR(B313&lt;&gt;"WorkPackage",D313&lt;&gt;"tracks_scope",E313&lt;&gt;"Scope",F313=""),"",IFERROR(INDEX(SCOPES!$K$5:$K$2000,MATCH(F313,SCOPES!$A$5:$A$2000,0)),"UNMATCHED"))</f>
        <v/>
      </c>
    </row>
    <row r="314" ht="21.75" customHeight="1" s="130">
      <c r="J314" s="107">
        <f>IF(OR(B314&lt;&gt;"WorkPackage",D314&lt;&gt;"tracks_scope",E314&lt;&gt;"Scope",F314=""),"",IFERROR(INDEX(SCOPES!$K$5:$K$2000,MATCH(F314,SCOPES!$A$5:$A$2000,0)),"UNMATCHED"))</f>
        <v/>
      </c>
    </row>
    <row r="315" ht="21.75" customHeight="1" s="130">
      <c r="J315" s="107">
        <f>IF(OR(B315&lt;&gt;"WorkPackage",D315&lt;&gt;"tracks_scope",E315&lt;&gt;"Scope",F315=""),"",IFERROR(INDEX(SCOPES!$K$5:$K$2000,MATCH(F315,SCOPES!$A$5:$A$2000,0)),"UNMATCHED"))</f>
        <v/>
      </c>
    </row>
    <row r="316" ht="21.75" customHeight="1" s="130">
      <c r="J316" s="107">
        <f>IF(OR(B316&lt;&gt;"WorkPackage",D316&lt;&gt;"tracks_scope",E316&lt;&gt;"Scope",F316=""),"",IFERROR(INDEX(SCOPES!$K$5:$K$2000,MATCH(F316,SCOPES!$A$5:$A$2000,0)),"UNMATCHED"))</f>
        <v/>
      </c>
    </row>
    <row r="317" ht="21.75" customHeight="1" s="130">
      <c r="J317" s="107">
        <f>IF(OR(B317&lt;&gt;"WorkPackage",D317&lt;&gt;"tracks_scope",E317&lt;&gt;"Scope",F317=""),"",IFERROR(INDEX(SCOPES!$K$5:$K$2000,MATCH(F317,SCOPES!$A$5:$A$2000,0)),"UNMATCHED"))</f>
        <v/>
      </c>
    </row>
    <row r="318" ht="21.75" customHeight="1" s="130">
      <c r="J318" s="107">
        <f>IF(OR(B318&lt;&gt;"WorkPackage",D318&lt;&gt;"tracks_scope",E318&lt;&gt;"Scope",F318=""),"",IFERROR(INDEX(SCOPES!$K$5:$K$2000,MATCH(F318,SCOPES!$A$5:$A$2000,0)),"UNMATCHED"))</f>
        <v/>
      </c>
    </row>
    <row r="319" ht="21.75" customHeight="1" s="130">
      <c r="J319" s="107">
        <f>IF(OR(B319&lt;&gt;"WorkPackage",D319&lt;&gt;"tracks_scope",E319&lt;&gt;"Scope",F319=""),"",IFERROR(INDEX(SCOPES!$K$5:$K$2000,MATCH(F319,SCOPES!$A$5:$A$2000,0)),"UNMATCHED"))</f>
        <v/>
      </c>
    </row>
    <row r="320" ht="21.75" customHeight="1" s="130">
      <c r="J320" s="107">
        <f>IF(OR(B320&lt;&gt;"WorkPackage",D320&lt;&gt;"tracks_scope",E320&lt;&gt;"Scope",F320=""),"",IFERROR(INDEX(SCOPES!$K$5:$K$2000,MATCH(F320,SCOPES!$A$5:$A$2000,0)),"UNMATCHED"))</f>
        <v/>
      </c>
    </row>
    <row r="321" ht="21.75" customHeight="1" s="130">
      <c r="J321" s="107">
        <f>IF(OR(B321&lt;&gt;"WorkPackage",D321&lt;&gt;"tracks_scope",E321&lt;&gt;"Scope",F321=""),"",IFERROR(INDEX(SCOPES!$K$5:$K$2000,MATCH(F321,SCOPES!$A$5:$A$2000,0)),"UNMATCHED"))</f>
        <v/>
      </c>
    </row>
    <row r="322" ht="21.75" customHeight="1" s="130">
      <c r="J322" s="107">
        <f>IF(OR(B322&lt;&gt;"WorkPackage",D322&lt;&gt;"tracks_scope",E322&lt;&gt;"Scope",F322=""),"",IFERROR(INDEX(SCOPES!$K$5:$K$2000,MATCH(F322,SCOPES!$A$5:$A$2000,0)),"UNMATCHED"))</f>
        <v/>
      </c>
    </row>
    <row r="323" ht="21.75" customHeight="1" s="130">
      <c r="J323" s="107">
        <f>IF(OR(B323&lt;&gt;"WorkPackage",D323&lt;&gt;"tracks_scope",E323&lt;&gt;"Scope",F323=""),"",IFERROR(INDEX(SCOPES!$K$5:$K$2000,MATCH(F323,SCOPES!$A$5:$A$2000,0)),"UNMATCHED"))</f>
        <v/>
      </c>
    </row>
    <row r="324" ht="21.75" customHeight="1" s="130">
      <c r="J324" s="107">
        <f>IF(OR(B324&lt;&gt;"WorkPackage",D324&lt;&gt;"tracks_scope",E324&lt;&gt;"Scope",F324=""),"",IFERROR(INDEX(SCOPES!$K$5:$K$2000,MATCH(F324,SCOPES!$A$5:$A$2000,0)),"UNMATCHED"))</f>
        <v/>
      </c>
    </row>
    <row r="325" ht="21.75" customHeight="1" s="130">
      <c r="J325" s="107">
        <f>IF(OR(B325&lt;&gt;"WorkPackage",D325&lt;&gt;"tracks_scope",E325&lt;&gt;"Scope",F325=""),"",IFERROR(INDEX(SCOPES!$K$5:$K$2000,MATCH(F325,SCOPES!$A$5:$A$2000,0)),"UNMATCHED"))</f>
        <v/>
      </c>
    </row>
    <row r="326" ht="21.75" customHeight="1" s="130">
      <c r="J326" s="107">
        <f>IF(OR(B326&lt;&gt;"WorkPackage",D326&lt;&gt;"tracks_scope",E326&lt;&gt;"Scope",F326=""),"",IFERROR(INDEX(SCOPES!$K$5:$K$2000,MATCH(F326,SCOPES!$A$5:$A$2000,0)),"UNMATCHED"))</f>
        <v/>
      </c>
    </row>
    <row r="327" ht="21.75" customHeight="1" s="130">
      <c r="J327" s="107">
        <f>IF(OR(B327&lt;&gt;"WorkPackage",D327&lt;&gt;"tracks_scope",E327&lt;&gt;"Scope",F327=""),"",IFERROR(INDEX(SCOPES!$K$5:$K$2000,MATCH(F327,SCOPES!$A$5:$A$2000,0)),"UNMATCHED"))</f>
        <v/>
      </c>
    </row>
    <row r="328" ht="21.75" customHeight="1" s="130">
      <c r="J328" s="107">
        <f>IF(OR(B328&lt;&gt;"WorkPackage",D328&lt;&gt;"tracks_scope",E328&lt;&gt;"Scope",F328=""),"",IFERROR(INDEX(SCOPES!$K$5:$K$2000,MATCH(F328,SCOPES!$A$5:$A$2000,0)),"UNMATCHED"))</f>
        <v/>
      </c>
    </row>
    <row r="329" ht="21.75" customHeight="1" s="130">
      <c r="J329" s="107">
        <f>IF(OR(B329&lt;&gt;"WorkPackage",D329&lt;&gt;"tracks_scope",E329&lt;&gt;"Scope",F329=""),"",IFERROR(INDEX(SCOPES!$K$5:$K$2000,MATCH(F329,SCOPES!$A$5:$A$2000,0)),"UNMATCHED"))</f>
        <v/>
      </c>
    </row>
    <row r="330" ht="21.75" customHeight="1" s="130">
      <c r="J330" s="107">
        <f>IF(OR(B330&lt;&gt;"WorkPackage",D330&lt;&gt;"tracks_scope",E330&lt;&gt;"Scope",F330=""),"",IFERROR(INDEX(SCOPES!$K$5:$K$2000,MATCH(F330,SCOPES!$A$5:$A$2000,0)),"UNMATCHED"))</f>
        <v/>
      </c>
    </row>
    <row r="331" ht="21.75" customHeight="1" s="130">
      <c r="J331" s="107">
        <f>IF(OR(B331&lt;&gt;"WorkPackage",D331&lt;&gt;"tracks_scope",E331&lt;&gt;"Scope",F331=""),"",IFERROR(INDEX(SCOPES!$K$5:$K$2000,MATCH(F331,SCOPES!$A$5:$A$2000,0)),"UNMATCHED"))</f>
        <v/>
      </c>
    </row>
    <row r="332" ht="21.75" customHeight="1" s="130">
      <c r="J332" s="107">
        <f>IF(OR(B332&lt;&gt;"WorkPackage",D332&lt;&gt;"tracks_scope",E332&lt;&gt;"Scope",F332=""),"",IFERROR(INDEX(SCOPES!$K$5:$K$2000,MATCH(F332,SCOPES!$A$5:$A$2000,0)),"UNMATCHED"))</f>
        <v/>
      </c>
    </row>
    <row r="333" ht="21.75" customHeight="1" s="130">
      <c r="J333" s="107">
        <f>IF(OR(B333&lt;&gt;"WorkPackage",D333&lt;&gt;"tracks_scope",E333&lt;&gt;"Scope",F333=""),"",IFERROR(INDEX(SCOPES!$K$5:$K$2000,MATCH(F333,SCOPES!$A$5:$A$2000,0)),"UNMATCHED"))</f>
        <v/>
      </c>
    </row>
    <row r="334" ht="21.75" customHeight="1" s="130">
      <c r="J334" s="107">
        <f>IF(OR(B334&lt;&gt;"WorkPackage",D334&lt;&gt;"tracks_scope",E334&lt;&gt;"Scope",F334=""),"",IFERROR(INDEX(SCOPES!$K$5:$K$2000,MATCH(F334,SCOPES!$A$5:$A$2000,0)),"UNMATCHED"))</f>
        <v/>
      </c>
    </row>
    <row r="335" ht="21.75" customHeight="1" s="130">
      <c r="J335" s="107">
        <f>IF(OR(B335&lt;&gt;"WorkPackage",D335&lt;&gt;"tracks_scope",E335&lt;&gt;"Scope",F335=""),"",IFERROR(INDEX(SCOPES!$K$5:$K$2000,MATCH(F335,SCOPES!$A$5:$A$2000,0)),"UNMATCHED"))</f>
        <v/>
      </c>
    </row>
    <row r="336" ht="21.75" customHeight="1" s="130">
      <c r="J336" s="107">
        <f>IF(OR(B336&lt;&gt;"WorkPackage",D336&lt;&gt;"tracks_scope",E336&lt;&gt;"Scope",F336=""),"",IFERROR(INDEX(SCOPES!$K$5:$K$2000,MATCH(F336,SCOPES!$A$5:$A$2000,0)),"UNMATCHED"))</f>
        <v/>
      </c>
    </row>
    <row r="337" ht="21.75" customHeight="1" s="130">
      <c r="J337" s="107">
        <f>IF(OR(B337&lt;&gt;"WorkPackage",D337&lt;&gt;"tracks_scope",E337&lt;&gt;"Scope",F337=""),"",IFERROR(INDEX(SCOPES!$K$5:$K$2000,MATCH(F337,SCOPES!$A$5:$A$2000,0)),"UNMATCHED"))</f>
        <v/>
      </c>
    </row>
    <row r="338" ht="21.75" customHeight="1" s="130">
      <c r="J338" s="107">
        <f>IF(OR(B338&lt;&gt;"WorkPackage",D338&lt;&gt;"tracks_scope",E338&lt;&gt;"Scope",F338=""),"",IFERROR(INDEX(SCOPES!$K$5:$K$2000,MATCH(F338,SCOPES!$A$5:$A$2000,0)),"UNMATCHED"))</f>
        <v/>
      </c>
    </row>
    <row r="339" ht="21.75" customHeight="1" s="130">
      <c r="J339" s="107">
        <f>IF(OR(B339&lt;&gt;"WorkPackage",D339&lt;&gt;"tracks_scope",E339&lt;&gt;"Scope",F339=""),"",IFERROR(INDEX(SCOPES!$K$5:$K$2000,MATCH(F339,SCOPES!$A$5:$A$2000,0)),"UNMATCHED"))</f>
        <v/>
      </c>
    </row>
    <row r="340" ht="21.75" customHeight="1" s="130">
      <c r="J340" s="107">
        <f>IF(OR(B340&lt;&gt;"WorkPackage",D340&lt;&gt;"tracks_scope",E340&lt;&gt;"Scope",F340=""),"",IFERROR(INDEX(SCOPES!$K$5:$K$2000,MATCH(F340,SCOPES!$A$5:$A$2000,0)),"UNMATCHED"))</f>
        <v/>
      </c>
    </row>
    <row r="341" ht="21.75" customHeight="1" s="130">
      <c r="J341" s="107">
        <f>IF(OR(B341&lt;&gt;"WorkPackage",D341&lt;&gt;"tracks_scope",E341&lt;&gt;"Scope",F341=""),"",IFERROR(INDEX(SCOPES!$K$5:$K$2000,MATCH(F341,SCOPES!$A$5:$A$2000,0)),"UNMATCHED"))</f>
        <v/>
      </c>
    </row>
    <row r="342" ht="21.75" customHeight="1" s="130">
      <c r="J342" s="107">
        <f>IF(OR(B342&lt;&gt;"WorkPackage",D342&lt;&gt;"tracks_scope",E342&lt;&gt;"Scope",F342=""),"",IFERROR(INDEX(SCOPES!$K$5:$K$2000,MATCH(F342,SCOPES!$A$5:$A$2000,0)),"UNMATCHED"))</f>
        <v/>
      </c>
    </row>
    <row r="343" ht="21.75" customHeight="1" s="130">
      <c r="J343" s="107">
        <f>IF(OR(B343&lt;&gt;"WorkPackage",D343&lt;&gt;"tracks_scope",E343&lt;&gt;"Scope",F343=""),"",IFERROR(INDEX(SCOPES!$K$5:$K$2000,MATCH(F343,SCOPES!$A$5:$A$2000,0)),"UNMATCHED"))</f>
        <v/>
      </c>
    </row>
    <row r="344" ht="21.75" customHeight="1" s="130">
      <c r="J344" s="107">
        <f>IF(OR(B344&lt;&gt;"WorkPackage",D344&lt;&gt;"tracks_scope",E344&lt;&gt;"Scope",F344=""),"",IFERROR(INDEX(SCOPES!$K$5:$K$2000,MATCH(F344,SCOPES!$A$5:$A$2000,0)),"UNMATCHED"))</f>
        <v/>
      </c>
    </row>
    <row r="345" ht="21.75" customHeight="1" s="130">
      <c r="J345" s="107">
        <f>IF(OR(B345&lt;&gt;"WorkPackage",D345&lt;&gt;"tracks_scope",E345&lt;&gt;"Scope",F345=""),"",IFERROR(INDEX(SCOPES!$K$5:$K$2000,MATCH(F345,SCOPES!$A$5:$A$2000,0)),"UNMATCHED"))</f>
        <v/>
      </c>
    </row>
    <row r="346" ht="21.75" customHeight="1" s="130">
      <c r="J346" s="107">
        <f>IF(OR(B346&lt;&gt;"WorkPackage",D346&lt;&gt;"tracks_scope",E346&lt;&gt;"Scope",F346=""),"",IFERROR(INDEX(SCOPES!$K$5:$K$2000,MATCH(F346,SCOPES!$A$5:$A$2000,0)),"UNMATCHED"))</f>
        <v/>
      </c>
    </row>
    <row r="347" ht="21.75" customHeight="1" s="130">
      <c r="J347" s="107">
        <f>IF(OR(B347&lt;&gt;"WorkPackage",D347&lt;&gt;"tracks_scope",E347&lt;&gt;"Scope",F347=""),"",IFERROR(INDEX(SCOPES!$K$5:$K$2000,MATCH(F347,SCOPES!$A$5:$A$2000,0)),"UNMATCHED"))</f>
        <v/>
      </c>
    </row>
    <row r="348" ht="21.75" customHeight="1" s="130">
      <c r="J348" s="107">
        <f>IF(OR(B348&lt;&gt;"WorkPackage",D348&lt;&gt;"tracks_scope",E348&lt;&gt;"Scope",F348=""),"",IFERROR(INDEX(SCOPES!$K$5:$K$2000,MATCH(F348,SCOPES!$A$5:$A$2000,0)),"UNMATCHED"))</f>
        <v/>
      </c>
    </row>
    <row r="349" ht="21.75" customHeight="1" s="130">
      <c r="J349" s="107">
        <f>IF(OR(B349&lt;&gt;"WorkPackage",D349&lt;&gt;"tracks_scope",E349&lt;&gt;"Scope",F349=""),"",IFERROR(INDEX(SCOPES!$K$5:$K$2000,MATCH(F349,SCOPES!$A$5:$A$2000,0)),"UNMATCHED"))</f>
        <v/>
      </c>
    </row>
    <row r="350" ht="21.75" customHeight="1" s="130">
      <c r="J350" s="107">
        <f>IF(OR(B350&lt;&gt;"WorkPackage",D350&lt;&gt;"tracks_scope",E350&lt;&gt;"Scope",F350=""),"",IFERROR(INDEX(SCOPES!$K$5:$K$2000,MATCH(F350,SCOPES!$A$5:$A$2000,0)),"UNMATCHED"))</f>
        <v/>
      </c>
    </row>
    <row r="351" ht="21.75" customHeight="1" s="130">
      <c r="J351" s="107">
        <f>IF(OR(B351&lt;&gt;"WorkPackage",D351&lt;&gt;"tracks_scope",E351&lt;&gt;"Scope",F351=""),"",IFERROR(INDEX(SCOPES!$K$5:$K$2000,MATCH(F351,SCOPES!$A$5:$A$2000,0)),"UNMATCHED"))</f>
        <v/>
      </c>
    </row>
    <row r="352" ht="21.75" customHeight="1" s="130">
      <c r="J352" s="107">
        <f>IF(OR(B352&lt;&gt;"WorkPackage",D352&lt;&gt;"tracks_scope",E352&lt;&gt;"Scope",F352=""),"",IFERROR(INDEX(SCOPES!$K$5:$K$2000,MATCH(F352,SCOPES!$A$5:$A$2000,0)),"UNMATCHED"))</f>
        <v/>
      </c>
    </row>
    <row r="353" ht="21.75" customHeight="1" s="130">
      <c r="J353" s="107">
        <f>IF(OR(B353&lt;&gt;"WorkPackage",D353&lt;&gt;"tracks_scope",E353&lt;&gt;"Scope",F353=""),"",IFERROR(INDEX(SCOPES!$K$5:$K$2000,MATCH(F353,SCOPES!$A$5:$A$2000,0)),"UNMATCHED"))</f>
        <v/>
      </c>
    </row>
    <row r="354" ht="21.75" customHeight="1" s="130">
      <c r="J354" s="107">
        <f>IF(OR(B354&lt;&gt;"WorkPackage",D354&lt;&gt;"tracks_scope",E354&lt;&gt;"Scope",F354=""),"",IFERROR(INDEX(SCOPES!$K$5:$K$2000,MATCH(F354,SCOPES!$A$5:$A$2000,0)),"UNMATCHED"))</f>
        <v/>
      </c>
    </row>
    <row r="355" ht="21.75" customHeight="1" s="130">
      <c r="J355" s="107">
        <f>IF(OR(B355&lt;&gt;"WorkPackage",D355&lt;&gt;"tracks_scope",E355&lt;&gt;"Scope",F355=""),"",IFERROR(INDEX(SCOPES!$K$5:$K$2000,MATCH(F355,SCOPES!$A$5:$A$2000,0)),"UNMATCHED"))</f>
        <v/>
      </c>
    </row>
    <row r="356" ht="21.75" customHeight="1" s="130">
      <c r="J356" s="107">
        <f>IF(OR(B356&lt;&gt;"WorkPackage",D356&lt;&gt;"tracks_scope",E356&lt;&gt;"Scope",F356=""),"",IFERROR(INDEX(SCOPES!$K$5:$K$2000,MATCH(F356,SCOPES!$A$5:$A$2000,0)),"UNMATCHED"))</f>
        <v/>
      </c>
    </row>
    <row r="357" ht="21.75" customHeight="1" s="130">
      <c r="J357" s="107">
        <f>IF(OR(B357&lt;&gt;"WorkPackage",D357&lt;&gt;"tracks_scope",E357&lt;&gt;"Scope",F357=""),"",IFERROR(INDEX(SCOPES!$K$5:$K$2000,MATCH(F357,SCOPES!$A$5:$A$2000,0)),"UNMATCHED"))</f>
        <v/>
      </c>
    </row>
    <row r="358" ht="21.75" customHeight="1" s="130">
      <c r="J358" s="107">
        <f>IF(OR(B358&lt;&gt;"WorkPackage",D358&lt;&gt;"tracks_scope",E358&lt;&gt;"Scope",F358=""),"",IFERROR(INDEX(SCOPES!$K$5:$K$2000,MATCH(F358,SCOPES!$A$5:$A$2000,0)),"UNMATCHED"))</f>
        <v/>
      </c>
    </row>
    <row r="359" ht="21.75" customHeight="1" s="130">
      <c r="J359" s="107">
        <f>IF(OR(B359&lt;&gt;"WorkPackage",D359&lt;&gt;"tracks_scope",E359&lt;&gt;"Scope",F359=""),"",IFERROR(INDEX(SCOPES!$K$5:$K$2000,MATCH(F359,SCOPES!$A$5:$A$2000,0)),"UNMATCHED"))</f>
        <v/>
      </c>
    </row>
    <row r="360" ht="21.75" customHeight="1" s="130">
      <c r="J360" s="107">
        <f>IF(OR(B360&lt;&gt;"WorkPackage",D360&lt;&gt;"tracks_scope",E360&lt;&gt;"Scope",F360=""),"",IFERROR(INDEX(SCOPES!$K$5:$K$2000,MATCH(F360,SCOPES!$A$5:$A$2000,0)),"UNMATCHED"))</f>
        <v/>
      </c>
    </row>
    <row r="361" ht="21.75" customHeight="1" s="130">
      <c r="J361" s="107">
        <f>IF(OR(B361&lt;&gt;"WorkPackage",D361&lt;&gt;"tracks_scope",E361&lt;&gt;"Scope",F361=""),"",IFERROR(INDEX(SCOPES!$K$5:$K$2000,MATCH(F361,SCOPES!$A$5:$A$2000,0)),"UNMATCHED"))</f>
        <v/>
      </c>
    </row>
    <row r="362" ht="21.75" customHeight="1" s="130">
      <c r="J362" s="107">
        <f>IF(OR(B362&lt;&gt;"WorkPackage",D362&lt;&gt;"tracks_scope",E362&lt;&gt;"Scope",F362=""),"",IFERROR(INDEX(SCOPES!$K$5:$K$2000,MATCH(F362,SCOPES!$A$5:$A$2000,0)),"UNMATCHED"))</f>
        <v/>
      </c>
    </row>
    <row r="363" ht="21.75" customHeight="1" s="130">
      <c r="J363" s="107">
        <f>IF(OR(B363&lt;&gt;"WorkPackage",D363&lt;&gt;"tracks_scope",E363&lt;&gt;"Scope",F363=""),"",IFERROR(INDEX(SCOPES!$K$5:$K$2000,MATCH(F363,SCOPES!$A$5:$A$2000,0)),"UNMATCHED"))</f>
        <v/>
      </c>
    </row>
    <row r="364" ht="21.75" customHeight="1" s="130">
      <c r="J364" s="107">
        <f>IF(OR(B364&lt;&gt;"WorkPackage",D364&lt;&gt;"tracks_scope",E364&lt;&gt;"Scope",F364=""),"",IFERROR(INDEX(SCOPES!$K$5:$K$2000,MATCH(F364,SCOPES!$A$5:$A$2000,0)),"UNMATCHED"))</f>
        <v/>
      </c>
    </row>
    <row r="365" ht="21.75" customHeight="1" s="130">
      <c r="J365" s="107">
        <f>IF(OR(B365&lt;&gt;"WorkPackage",D365&lt;&gt;"tracks_scope",E365&lt;&gt;"Scope",F365=""),"",IFERROR(INDEX(SCOPES!$K$5:$K$2000,MATCH(F365,SCOPES!$A$5:$A$2000,0)),"UNMATCHED"))</f>
        <v/>
      </c>
    </row>
    <row r="366" ht="21.75" customHeight="1" s="130">
      <c r="J366" s="107">
        <f>IF(OR(B366&lt;&gt;"WorkPackage",D366&lt;&gt;"tracks_scope",E366&lt;&gt;"Scope",F366=""),"",IFERROR(INDEX(SCOPES!$K$5:$K$2000,MATCH(F366,SCOPES!$A$5:$A$2000,0)),"UNMATCHED"))</f>
        <v/>
      </c>
    </row>
    <row r="367" ht="21.75" customHeight="1" s="130">
      <c r="J367" s="107">
        <f>IF(OR(B367&lt;&gt;"WorkPackage",D367&lt;&gt;"tracks_scope",E367&lt;&gt;"Scope",F367=""),"",IFERROR(INDEX(SCOPES!$K$5:$K$2000,MATCH(F367,SCOPES!$A$5:$A$2000,0)),"UNMATCHED"))</f>
        <v/>
      </c>
    </row>
    <row r="368" ht="21.75" customHeight="1" s="130">
      <c r="J368" s="107">
        <f>IF(OR(B368&lt;&gt;"WorkPackage",D368&lt;&gt;"tracks_scope",E368&lt;&gt;"Scope",F368=""),"",IFERROR(INDEX(SCOPES!$K$5:$K$2000,MATCH(F368,SCOPES!$A$5:$A$2000,0)),"UNMATCHED"))</f>
        <v/>
      </c>
    </row>
    <row r="369" ht="21.75" customHeight="1" s="130">
      <c r="J369" s="107">
        <f>IF(OR(B369&lt;&gt;"WorkPackage",D369&lt;&gt;"tracks_scope",E369&lt;&gt;"Scope",F369=""),"",IFERROR(INDEX(SCOPES!$K$5:$K$2000,MATCH(F369,SCOPES!$A$5:$A$2000,0)),"UNMATCHED"))</f>
        <v/>
      </c>
    </row>
    <row r="370" ht="21.75" customHeight="1" s="130">
      <c r="J370" s="107">
        <f>IF(OR(B370&lt;&gt;"WorkPackage",D370&lt;&gt;"tracks_scope",E370&lt;&gt;"Scope",F370=""),"",IFERROR(INDEX(SCOPES!$K$5:$K$2000,MATCH(F370,SCOPES!$A$5:$A$2000,0)),"UNMATCHED"))</f>
        <v/>
      </c>
    </row>
    <row r="371" ht="21.75" customHeight="1" s="130">
      <c r="J371" s="107">
        <f>IF(OR(B371&lt;&gt;"WorkPackage",D371&lt;&gt;"tracks_scope",E371&lt;&gt;"Scope",F371=""),"",IFERROR(INDEX(SCOPES!$K$5:$K$2000,MATCH(F371,SCOPES!$A$5:$A$2000,0)),"UNMATCHED"))</f>
        <v/>
      </c>
    </row>
    <row r="372" ht="21.75" customHeight="1" s="130">
      <c r="J372" s="107">
        <f>IF(OR(B372&lt;&gt;"WorkPackage",D372&lt;&gt;"tracks_scope",E372&lt;&gt;"Scope",F372=""),"",IFERROR(INDEX(SCOPES!$K$5:$K$2000,MATCH(F372,SCOPES!$A$5:$A$2000,0)),"UNMATCHED"))</f>
        <v/>
      </c>
    </row>
    <row r="373" ht="21.75" customHeight="1" s="130">
      <c r="J373" s="107">
        <f>IF(OR(B373&lt;&gt;"WorkPackage",D373&lt;&gt;"tracks_scope",E373&lt;&gt;"Scope",F373=""),"",IFERROR(INDEX(SCOPES!$K$5:$K$2000,MATCH(F373,SCOPES!$A$5:$A$2000,0)),"UNMATCHED"))</f>
        <v/>
      </c>
    </row>
    <row r="374" ht="21.75" customHeight="1" s="130">
      <c r="J374" s="107">
        <f>IF(OR(B374&lt;&gt;"WorkPackage",D374&lt;&gt;"tracks_scope",E374&lt;&gt;"Scope",F374=""),"",IFERROR(INDEX(SCOPES!$K$5:$K$2000,MATCH(F374,SCOPES!$A$5:$A$2000,0)),"UNMATCHED"))</f>
        <v/>
      </c>
    </row>
    <row r="375" ht="21.75" customHeight="1" s="130">
      <c r="J375" s="107">
        <f>IF(OR(B375&lt;&gt;"WorkPackage",D375&lt;&gt;"tracks_scope",E375&lt;&gt;"Scope",F375=""),"",IFERROR(INDEX(SCOPES!$K$5:$K$2000,MATCH(F375,SCOPES!$A$5:$A$2000,0)),"UNMATCHED"))</f>
        <v/>
      </c>
    </row>
    <row r="376" ht="21.75" customHeight="1" s="130">
      <c r="J376" s="107">
        <f>IF(OR(B376&lt;&gt;"WorkPackage",D376&lt;&gt;"tracks_scope",E376&lt;&gt;"Scope",F376=""),"",IFERROR(INDEX(SCOPES!$K$5:$K$2000,MATCH(F376,SCOPES!$A$5:$A$2000,0)),"UNMATCHED"))</f>
        <v/>
      </c>
    </row>
    <row r="377" ht="21.75" customHeight="1" s="130">
      <c r="J377" s="107">
        <f>IF(OR(B377&lt;&gt;"WorkPackage",D377&lt;&gt;"tracks_scope",E377&lt;&gt;"Scope",F377=""),"",IFERROR(INDEX(SCOPES!$K$5:$K$2000,MATCH(F377,SCOPES!$A$5:$A$2000,0)),"UNMATCHED"))</f>
        <v/>
      </c>
    </row>
    <row r="378" ht="21.75" customHeight="1" s="130">
      <c r="J378" s="107">
        <f>IF(OR(B378&lt;&gt;"WorkPackage",D378&lt;&gt;"tracks_scope",E378&lt;&gt;"Scope",F378=""),"",IFERROR(INDEX(SCOPES!$K$5:$K$2000,MATCH(F378,SCOPES!$A$5:$A$2000,0)),"UNMATCHED"))</f>
        <v/>
      </c>
    </row>
    <row r="379" ht="21.75" customHeight="1" s="130">
      <c r="J379" s="107">
        <f>IF(OR(B379&lt;&gt;"WorkPackage",D379&lt;&gt;"tracks_scope",E379&lt;&gt;"Scope",F379=""),"",IFERROR(INDEX(SCOPES!$K$5:$K$2000,MATCH(F379,SCOPES!$A$5:$A$2000,0)),"UNMATCHED"))</f>
        <v/>
      </c>
    </row>
    <row r="380" ht="21.75" customHeight="1" s="130">
      <c r="J380" s="107">
        <f>IF(OR(B380&lt;&gt;"WorkPackage",D380&lt;&gt;"tracks_scope",E380&lt;&gt;"Scope",F380=""),"",IFERROR(INDEX(SCOPES!$K$5:$K$2000,MATCH(F380,SCOPES!$A$5:$A$2000,0)),"UNMATCHED"))</f>
        <v/>
      </c>
    </row>
    <row r="381" ht="21.75" customHeight="1" s="130">
      <c r="J381" s="107">
        <f>IF(OR(B381&lt;&gt;"WorkPackage",D381&lt;&gt;"tracks_scope",E381&lt;&gt;"Scope",F381=""),"",IFERROR(INDEX(SCOPES!$K$5:$K$2000,MATCH(F381,SCOPES!$A$5:$A$2000,0)),"UNMATCHED"))</f>
        <v/>
      </c>
    </row>
    <row r="382" ht="21.75" customHeight="1" s="130">
      <c r="J382" s="107">
        <f>IF(OR(B382&lt;&gt;"WorkPackage",D382&lt;&gt;"tracks_scope",E382&lt;&gt;"Scope",F382=""),"",IFERROR(INDEX(SCOPES!$K$5:$K$2000,MATCH(F382,SCOPES!$A$5:$A$2000,0)),"UNMATCHED"))</f>
        <v/>
      </c>
    </row>
    <row r="383" ht="21.75" customHeight="1" s="130">
      <c r="J383" s="107">
        <f>IF(OR(B383&lt;&gt;"WorkPackage",D383&lt;&gt;"tracks_scope",E383&lt;&gt;"Scope",F383=""),"",IFERROR(INDEX(SCOPES!$K$5:$K$2000,MATCH(F383,SCOPES!$A$5:$A$2000,0)),"UNMATCHED"))</f>
        <v/>
      </c>
    </row>
    <row r="384" ht="21.75" customHeight="1" s="130">
      <c r="J384" s="107">
        <f>IF(OR(B384&lt;&gt;"WorkPackage",D384&lt;&gt;"tracks_scope",E384&lt;&gt;"Scope",F384=""),"",IFERROR(INDEX(SCOPES!$K$5:$K$2000,MATCH(F384,SCOPES!$A$5:$A$2000,0)),"UNMATCHED"))</f>
        <v/>
      </c>
    </row>
    <row r="385" ht="21.75" customHeight="1" s="130">
      <c r="J385" s="107">
        <f>IF(OR(B385&lt;&gt;"WorkPackage",D385&lt;&gt;"tracks_scope",E385&lt;&gt;"Scope",F385=""),"",IFERROR(INDEX(SCOPES!$K$5:$K$2000,MATCH(F385,SCOPES!$A$5:$A$2000,0)),"UNMATCHED"))</f>
        <v/>
      </c>
    </row>
    <row r="386" ht="21.75" customHeight="1" s="130">
      <c r="J386" s="107">
        <f>IF(OR(B386&lt;&gt;"WorkPackage",D386&lt;&gt;"tracks_scope",E386&lt;&gt;"Scope",F386=""),"",IFERROR(INDEX(SCOPES!$K$5:$K$2000,MATCH(F386,SCOPES!$A$5:$A$2000,0)),"UNMATCHED"))</f>
        <v/>
      </c>
    </row>
    <row r="387" ht="21.75" customHeight="1" s="130">
      <c r="J387" s="107">
        <f>IF(OR(B387&lt;&gt;"WorkPackage",D387&lt;&gt;"tracks_scope",E387&lt;&gt;"Scope",F387=""),"",IFERROR(INDEX(SCOPES!$K$5:$K$2000,MATCH(F387,SCOPES!$A$5:$A$2000,0)),"UNMATCHED"))</f>
        <v/>
      </c>
    </row>
    <row r="388" ht="21.75" customHeight="1" s="130">
      <c r="J388" s="107">
        <f>IF(OR(B388&lt;&gt;"WorkPackage",D388&lt;&gt;"tracks_scope",E388&lt;&gt;"Scope",F388=""),"",IFERROR(INDEX(SCOPES!$K$5:$K$2000,MATCH(F388,SCOPES!$A$5:$A$2000,0)),"UNMATCHED"))</f>
        <v/>
      </c>
    </row>
    <row r="389" ht="21.75" customHeight="1" s="130">
      <c r="J389" s="107">
        <f>IF(OR(B389&lt;&gt;"WorkPackage",D389&lt;&gt;"tracks_scope",E389&lt;&gt;"Scope",F389=""),"",IFERROR(INDEX(SCOPES!$K$5:$K$2000,MATCH(F389,SCOPES!$A$5:$A$2000,0)),"UNMATCHED"))</f>
        <v/>
      </c>
    </row>
    <row r="390" ht="21.75" customHeight="1" s="130">
      <c r="J390" s="107">
        <f>IF(OR(B390&lt;&gt;"WorkPackage",D390&lt;&gt;"tracks_scope",E390&lt;&gt;"Scope",F390=""),"",IFERROR(INDEX(SCOPES!$K$5:$K$2000,MATCH(F390,SCOPES!$A$5:$A$2000,0)),"UNMATCHED"))</f>
        <v/>
      </c>
    </row>
    <row r="391" ht="21.75" customHeight="1" s="130">
      <c r="J391" s="107">
        <f>IF(OR(B391&lt;&gt;"WorkPackage",D391&lt;&gt;"tracks_scope",E391&lt;&gt;"Scope",F391=""),"",IFERROR(INDEX(SCOPES!$K$5:$K$2000,MATCH(F391,SCOPES!$A$5:$A$2000,0)),"UNMATCHED"))</f>
        <v/>
      </c>
    </row>
    <row r="392" ht="21.75" customHeight="1" s="130">
      <c r="J392" s="107">
        <f>IF(OR(B392&lt;&gt;"WorkPackage",D392&lt;&gt;"tracks_scope",E392&lt;&gt;"Scope",F392=""),"",IFERROR(INDEX(SCOPES!$K$5:$K$2000,MATCH(F392,SCOPES!$A$5:$A$2000,0)),"UNMATCHED"))</f>
        <v/>
      </c>
    </row>
    <row r="393" ht="21.75" customHeight="1" s="130">
      <c r="J393" s="107">
        <f>IF(OR(B393&lt;&gt;"WorkPackage",D393&lt;&gt;"tracks_scope",E393&lt;&gt;"Scope",F393=""),"",IFERROR(INDEX(SCOPES!$K$5:$K$2000,MATCH(F393,SCOPES!$A$5:$A$2000,0)),"UNMATCHED"))</f>
        <v/>
      </c>
    </row>
    <row r="394" ht="21.75" customHeight="1" s="130">
      <c r="J394" s="107">
        <f>IF(OR(B394&lt;&gt;"WorkPackage",D394&lt;&gt;"tracks_scope",E394&lt;&gt;"Scope",F394=""),"",IFERROR(INDEX(SCOPES!$K$5:$K$2000,MATCH(F394,SCOPES!$A$5:$A$2000,0)),"UNMATCHED"))</f>
        <v/>
      </c>
    </row>
    <row r="395" ht="21.75" customHeight="1" s="130">
      <c r="J395" s="107">
        <f>IF(OR(B395&lt;&gt;"WorkPackage",D395&lt;&gt;"tracks_scope",E395&lt;&gt;"Scope",F395=""),"",IFERROR(INDEX(SCOPES!$K$5:$K$2000,MATCH(F395,SCOPES!$A$5:$A$2000,0)),"UNMATCHED"))</f>
        <v/>
      </c>
    </row>
    <row r="396" ht="21.75" customHeight="1" s="130">
      <c r="J396" s="107">
        <f>IF(OR(B396&lt;&gt;"WorkPackage",D396&lt;&gt;"tracks_scope",E396&lt;&gt;"Scope",F396=""),"",IFERROR(INDEX(SCOPES!$K$5:$K$2000,MATCH(F396,SCOPES!$A$5:$A$2000,0)),"UNMATCHED"))</f>
        <v/>
      </c>
    </row>
    <row r="397" ht="21.75" customHeight="1" s="130">
      <c r="J397" s="107">
        <f>IF(OR(B397&lt;&gt;"WorkPackage",D397&lt;&gt;"tracks_scope",E397&lt;&gt;"Scope",F397=""),"",IFERROR(INDEX(SCOPES!$K$5:$K$2000,MATCH(F397,SCOPES!$A$5:$A$2000,0)),"UNMATCHED"))</f>
        <v/>
      </c>
    </row>
    <row r="398" ht="21.75" customHeight="1" s="130">
      <c r="J398" s="107">
        <f>IF(OR(B398&lt;&gt;"WorkPackage",D398&lt;&gt;"tracks_scope",E398&lt;&gt;"Scope",F398=""),"",IFERROR(INDEX(SCOPES!$K$5:$K$2000,MATCH(F398,SCOPES!$A$5:$A$2000,0)),"UNMATCHED"))</f>
        <v/>
      </c>
    </row>
    <row r="399" ht="21.75" customHeight="1" s="130">
      <c r="J399" s="107">
        <f>IF(OR(B399&lt;&gt;"WorkPackage",D399&lt;&gt;"tracks_scope",E399&lt;&gt;"Scope",F399=""),"",IFERROR(INDEX(SCOPES!$K$5:$K$2000,MATCH(F399,SCOPES!$A$5:$A$2000,0)),"UNMATCHED"))</f>
        <v/>
      </c>
    </row>
    <row r="400" ht="21.75" customHeight="1" s="130">
      <c r="J400" s="107">
        <f>IF(OR(B400&lt;&gt;"WorkPackage",D400&lt;&gt;"tracks_scope",E400&lt;&gt;"Scope",F400=""),"",IFERROR(INDEX(SCOPES!$K$5:$K$2000,MATCH(F400,SCOPES!$A$5:$A$2000,0)),"UNMATCHED"))</f>
        <v/>
      </c>
    </row>
    <row r="401" ht="21.75" customHeight="1" s="130">
      <c r="J401" s="107">
        <f>IF(OR(B401&lt;&gt;"WorkPackage",D401&lt;&gt;"tracks_scope",E401&lt;&gt;"Scope",F401=""),"",IFERROR(INDEX(SCOPES!$K$5:$K$2000,MATCH(F401,SCOPES!$A$5:$A$2000,0)),"UNMATCHED"))</f>
        <v/>
      </c>
    </row>
    <row r="402" ht="21.75" customHeight="1" s="130">
      <c r="J402" s="107">
        <f>IF(OR(B402&lt;&gt;"WorkPackage",D402&lt;&gt;"tracks_scope",E402&lt;&gt;"Scope",F402=""),"",IFERROR(INDEX(SCOPES!$K$5:$K$2000,MATCH(F402,SCOPES!$A$5:$A$2000,0)),"UNMATCHED"))</f>
        <v/>
      </c>
    </row>
    <row r="403" ht="21.75" customHeight="1" s="130">
      <c r="J403" s="107">
        <f>IF(OR(B403&lt;&gt;"WorkPackage",D403&lt;&gt;"tracks_scope",E403&lt;&gt;"Scope",F403=""),"",IFERROR(INDEX(SCOPES!$K$5:$K$2000,MATCH(F403,SCOPES!$A$5:$A$2000,0)),"UNMATCHED"))</f>
        <v/>
      </c>
    </row>
    <row r="404" ht="21.75" customHeight="1" s="130">
      <c r="J404" s="107">
        <f>IF(OR(B404&lt;&gt;"WorkPackage",D404&lt;&gt;"tracks_scope",E404&lt;&gt;"Scope",F404=""),"",IFERROR(INDEX(SCOPES!$K$5:$K$2000,MATCH(F404,SCOPES!$A$5:$A$2000,0)),"UNMATCHED"))</f>
        <v/>
      </c>
    </row>
    <row r="405" ht="21.75" customHeight="1" s="130">
      <c r="J405" s="107">
        <f>IF(OR(B405&lt;&gt;"WorkPackage",D405&lt;&gt;"tracks_scope",E405&lt;&gt;"Scope",F405=""),"",IFERROR(INDEX(SCOPES!$K$5:$K$2000,MATCH(F405,SCOPES!$A$5:$A$2000,0)),"UNMATCHED"))</f>
        <v/>
      </c>
    </row>
    <row r="406" ht="21.75" customHeight="1" s="130">
      <c r="J406" s="107">
        <f>IF(OR(B406&lt;&gt;"WorkPackage",D406&lt;&gt;"tracks_scope",E406&lt;&gt;"Scope",F406=""),"",IFERROR(INDEX(SCOPES!$K$5:$K$2000,MATCH(F406,SCOPES!$A$5:$A$2000,0)),"UNMATCHED"))</f>
        <v/>
      </c>
    </row>
    <row r="407" ht="21.75" customHeight="1" s="130">
      <c r="J407" s="107">
        <f>IF(OR(B407&lt;&gt;"WorkPackage",D407&lt;&gt;"tracks_scope",E407&lt;&gt;"Scope",F407=""),"",IFERROR(INDEX(SCOPES!$K$5:$K$2000,MATCH(F407,SCOPES!$A$5:$A$2000,0)),"UNMATCHED"))</f>
        <v/>
      </c>
    </row>
    <row r="408" ht="21.75" customHeight="1" s="130">
      <c r="J408" s="107">
        <f>IF(OR(B408&lt;&gt;"WorkPackage",D408&lt;&gt;"tracks_scope",E408&lt;&gt;"Scope",F408=""),"",IFERROR(INDEX(SCOPES!$K$5:$K$2000,MATCH(F408,SCOPES!$A$5:$A$2000,0)),"UNMATCHED"))</f>
        <v/>
      </c>
    </row>
    <row r="409" ht="21.75" customHeight="1" s="130">
      <c r="J409" s="107">
        <f>IF(OR(B409&lt;&gt;"WorkPackage",D409&lt;&gt;"tracks_scope",E409&lt;&gt;"Scope",F409=""),"",IFERROR(INDEX(SCOPES!$K$5:$K$2000,MATCH(F409,SCOPES!$A$5:$A$2000,0)),"UNMATCHED"))</f>
        <v/>
      </c>
    </row>
    <row r="410" ht="21.75" customHeight="1" s="130">
      <c r="J410" s="107">
        <f>IF(OR(B410&lt;&gt;"WorkPackage",D410&lt;&gt;"tracks_scope",E410&lt;&gt;"Scope",F410=""),"",IFERROR(INDEX(SCOPES!$K$5:$K$2000,MATCH(F410,SCOPES!$A$5:$A$2000,0)),"UNMATCHED"))</f>
        <v/>
      </c>
    </row>
    <row r="411" ht="21.75" customHeight="1" s="130">
      <c r="J411" s="107">
        <f>IF(OR(B411&lt;&gt;"WorkPackage",D411&lt;&gt;"tracks_scope",E411&lt;&gt;"Scope",F411=""),"",IFERROR(INDEX(SCOPES!$K$5:$K$2000,MATCH(F411,SCOPES!$A$5:$A$2000,0)),"UNMATCHED"))</f>
        <v/>
      </c>
    </row>
    <row r="412" ht="21.75" customHeight="1" s="130">
      <c r="J412" s="107">
        <f>IF(OR(B412&lt;&gt;"WorkPackage",D412&lt;&gt;"tracks_scope",E412&lt;&gt;"Scope",F412=""),"",IFERROR(INDEX(SCOPES!$K$5:$K$2000,MATCH(F412,SCOPES!$A$5:$A$2000,0)),"UNMATCHED"))</f>
        <v/>
      </c>
    </row>
    <row r="413" ht="21.75" customHeight="1" s="130">
      <c r="J413" s="107">
        <f>IF(OR(B413&lt;&gt;"WorkPackage",D413&lt;&gt;"tracks_scope",E413&lt;&gt;"Scope",F413=""),"",IFERROR(INDEX(SCOPES!$K$5:$K$2000,MATCH(F413,SCOPES!$A$5:$A$2000,0)),"UNMATCHED"))</f>
        <v/>
      </c>
    </row>
    <row r="414" ht="21.75" customHeight="1" s="130">
      <c r="J414" s="107">
        <f>IF(OR(B414&lt;&gt;"WorkPackage",D414&lt;&gt;"tracks_scope",E414&lt;&gt;"Scope",F414=""),"",IFERROR(INDEX(SCOPES!$K$5:$K$2000,MATCH(F414,SCOPES!$A$5:$A$2000,0)),"UNMATCHED"))</f>
        <v/>
      </c>
    </row>
    <row r="415" ht="21.75" customHeight="1" s="130">
      <c r="J415" s="107">
        <f>IF(OR(B415&lt;&gt;"WorkPackage",D415&lt;&gt;"tracks_scope",E415&lt;&gt;"Scope",F415=""),"",IFERROR(INDEX(SCOPES!$K$5:$K$2000,MATCH(F415,SCOPES!$A$5:$A$2000,0)),"UNMATCHED"))</f>
        <v/>
      </c>
    </row>
    <row r="416" ht="21.75" customHeight="1" s="130">
      <c r="J416" s="107">
        <f>IF(OR(B416&lt;&gt;"WorkPackage",D416&lt;&gt;"tracks_scope",E416&lt;&gt;"Scope",F416=""),"",IFERROR(INDEX(SCOPES!$K$5:$K$2000,MATCH(F416,SCOPES!$A$5:$A$2000,0)),"UNMATCHED"))</f>
        <v/>
      </c>
    </row>
    <row r="417" ht="21.75" customHeight="1" s="130">
      <c r="J417" s="107">
        <f>IF(OR(B417&lt;&gt;"WorkPackage",D417&lt;&gt;"tracks_scope",E417&lt;&gt;"Scope",F417=""),"",IFERROR(INDEX(SCOPES!$K$5:$K$2000,MATCH(F417,SCOPES!$A$5:$A$2000,0)),"UNMATCHED"))</f>
        <v/>
      </c>
    </row>
    <row r="418" ht="21.75" customHeight="1" s="130">
      <c r="J418" s="107">
        <f>IF(OR(B418&lt;&gt;"WorkPackage",D418&lt;&gt;"tracks_scope",E418&lt;&gt;"Scope",F418=""),"",IFERROR(INDEX(SCOPES!$K$5:$K$2000,MATCH(F418,SCOPES!$A$5:$A$2000,0)),"UNMATCHED"))</f>
        <v/>
      </c>
    </row>
    <row r="419" ht="21.75" customHeight="1" s="130">
      <c r="J419" s="107">
        <f>IF(OR(B419&lt;&gt;"WorkPackage",D419&lt;&gt;"tracks_scope",E419&lt;&gt;"Scope",F419=""),"",IFERROR(INDEX(SCOPES!$K$5:$K$2000,MATCH(F419,SCOPES!$A$5:$A$2000,0)),"UNMATCHED"))</f>
        <v/>
      </c>
    </row>
    <row r="420" ht="21.75" customHeight="1" s="130">
      <c r="J420" s="107">
        <f>IF(OR(B420&lt;&gt;"WorkPackage",D420&lt;&gt;"tracks_scope",E420&lt;&gt;"Scope",F420=""),"",IFERROR(INDEX(SCOPES!$K$5:$K$2000,MATCH(F420,SCOPES!$A$5:$A$2000,0)),"UNMATCHED"))</f>
        <v/>
      </c>
    </row>
    <row r="421" ht="21.75" customHeight="1" s="130">
      <c r="J421" s="107">
        <f>IF(OR(B421&lt;&gt;"WorkPackage",D421&lt;&gt;"tracks_scope",E421&lt;&gt;"Scope",F421=""),"",IFERROR(INDEX(SCOPES!$K$5:$K$2000,MATCH(F421,SCOPES!$A$5:$A$2000,0)),"UNMATCHED"))</f>
        <v/>
      </c>
    </row>
    <row r="422" ht="21.75" customHeight="1" s="130">
      <c r="J422" s="107">
        <f>IF(OR(B422&lt;&gt;"WorkPackage",D422&lt;&gt;"tracks_scope",E422&lt;&gt;"Scope",F422=""),"",IFERROR(INDEX(SCOPES!$K$5:$K$2000,MATCH(F422,SCOPES!$A$5:$A$2000,0)),"UNMATCHED"))</f>
        <v/>
      </c>
    </row>
    <row r="423" ht="21.75" customHeight="1" s="130">
      <c r="J423" s="107">
        <f>IF(OR(B423&lt;&gt;"WorkPackage",D423&lt;&gt;"tracks_scope",E423&lt;&gt;"Scope",F423=""),"",IFERROR(INDEX(SCOPES!$K$5:$K$2000,MATCH(F423,SCOPES!$A$5:$A$2000,0)),"UNMATCHED"))</f>
        <v/>
      </c>
    </row>
    <row r="424" ht="21.75" customHeight="1" s="130">
      <c r="J424" s="107">
        <f>IF(OR(B424&lt;&gt;"WorkPackage",D424&lt;&gt;"tracks_scope",E424&lt;&gt;"Scope",F424=""),"",IFERROR(INDEX(SCOPES!$K$5:$K$2000,MATCH(F424,SCOPES!$A$5:$A$2000,0)),"UNMATCHED"))</f>
        <v/>
      </c>
    </row>
    <row r="425" ht="21.75" customHeight="1" s="130">
      <c r="J425" s="107">
        <f>IF(OR(B425&lt;&gt;"WorkPackage",D425&lt;&gt;"tracks_scope",E425&lt;&gt;"Scope",F425=""),"",IFERROR(INDEX(SCOPES!$K$5:$K$2000,MATCH(F425,SCOPES!$A$5:$A$2000,0)),"UNMATCHED"))</f>
        <v/>
      </c>
    </row>
    <row r="426" ht="21.75" customHeight="1" s="130">
      <c r="J426" s="107">
        <f>IF(OR(B426&lt;&gt;"WorkPackage",D426&lt;&gt;"tracks_scope",E426&lt;&gt;"Scope",F426=""),"",IFERROR(INDEX(SCOPES!$K$5:$K$2000,MATCH(F426,SCOPES!$A$5:$A$2000,0)),"UNMATCHED"))</f>
        <v/>
      </c>
    </row>
    <row r="427" ht="21.75" customHeight="1" s="130">
      <c r="J427" s="107">
        <f>IF(OR(B427&lt;&gt;"WorkPackage",D427&lt;&gt;"tracks_scope",E427&lt;&gt;"Scope",F427=""),"",IFERROR(INDEX(SCOPES!$K$5:$K$2000,MATCH(F427,SCOPES!$A$5:$A$2000,0)),"UNMATCHED"))</f>
        <v/>
      </c>
    </row>
    <row r="428" ht="21.75" customHeight="1" s="130">
      <c r="J428" s="107">
        <f>IF(OR(B428&lt;&gt;"WorkPackage",D428&lt;&gt;"tracks_scope",E428&lt;&gt;"Scope",F428=""),"",IFERROR(INDEX(SCOPES!$K$5:$K$2000,MATCH(F428,SCOPES!$A$5:$A$2000,0)),"UNMATCHED"))</f>
        <v/>
      </c>
    </row>
    <row r="429" ht="21.75" customHeight="1" s="130">
      <c r="J429" s="107">
        <f>IF(OR(B429&lt;&gt;"WorkPackage",D429&lt;&gt;"tracks_scope",E429&lt;&gt;"Scope",F429=""),"",IFERROR(INDEX(SCOPES!$K$5:$K$2000,MATCH(F429,SCOPES!$A$5:$A$2000,0)),"UNMATCHED"))</f>
        <v/>
      </c>
    </row>
    <row r="430" ht="21.75" customHeight="1" s="130">
      <c r="J430" s="107">
        <f>IF(OR(B430&lt;&gt;"WorkPackage",D430&lt;&gt;"tracks_scope",E430&lt;&gt;"Scope",F430=""),"",IFERROR(INDEX(SCOPES!$K$5:$K$2000,MATCH(F430,SCOPES!$A$5:$A$2000,0)),"UNMATCHED"))</f>
        <v/>
      </c>
    </row>
    <row r="431" ht="21.75" customHeight="1" s="130">
      <c r="J431" s="107">
        <f>IF(OR(B431&lt;&gt;"WorkPackage",D431&lt;&gt;"tracks_scope",E431&lt;&gt;"Scope",F431=""),"",IFERROR(INDEX(SCOPES!$K$5:$K$2000,MATCH(F431,SCOPES!$A$5:$A$2000,0)),"UNMATCHED"))</f>
        <v/>
      </c>
    </row>
    <row r="432" ht="21.75" customHeight="1" s="130">
      <c r="J432" s="107">
        <f>IF(OR(B432&lt;&gt;"WorkPackage",D432&lt;&gt;"tracks_scope",E432&lt;&gt;"Scope",F432=""),"",IFERROR(INDEX(SCOPES!$K$5:$K$2000,MATCH(F432,SCOPES!$A$5:$A$2000,0)),"UNMATCHED"))</f>
        <v/>
      </c>
    </row>
    <row r="433" ht="21.75" customHeight="1" s="130">
      <c r="J433" s="107">
        <f>IF(OR(B433&lt;&gt;"WorkPackage",D433&lt;&gt;"tracks_scope",E433&lt;&gt;"Scope",F433=""),"",IFERROR(INDEX(SCOPES!$K$5:$K$2000,MATCH(F433,SCOPES!$A$5:$A$2000,0)),"UNMATCHED"))</f>
        <v/>
      </c>
    </row>
    <row r="434" ht="21.75" customHeight="1" s="130">
      <c r="J434" s="107">
        <f>IF(OR(B434&lt;&gt;"WorkPackage",D434&lt;&gt;"tracks_scope",E434&lt;&gt;"Scope",F434=""),"",IFERROR(INDEX(SCOPES!$K$5:$K$2000,MATCH(F434,SCOPES!$A$5:$A$2000,0)),"UNMATCHED"))</f>
        <v/>
      </c>
    </row>
    <row r="435" ht="21.75" customHeight="1" s="130">
      <c r="J435" s="107">
        <f>IF(OR(B435&lt;&gt;"WorkPackage",D435&lt;&gt;"tracks_scope",E435&lt;&gt;"Scope",F435=""),"",IFERROR(INDEX(SCOPES!$K$5:$K$2000,MATCH(F435,SCOPES!$A$5:$A$2000,0)),"UNMATCHED"))</f>
        <v/>
      </c>
    </row>
    <row r="436" ht="21.75" customHeight="1" s="130">
      <c r="J436" s="107">
        <f>IF(OR(B436&lt;&gt;"WorkPackage",D436&lt;&gt;"tracks_scope",E436&lt;&gt;"Scope",F436=""),"",IFERROR(INDEX(SCOPES!$K$5:$K$2000,MATCH(F436,SCOPES!$A$5:$A$2000,0)),"UNMATCHED"))</f>
        <v/>
      </c>
    </row>
    <row r="437" ht="21.75" customHeight="1" s="130">
      <c r="J437" s="107">
        <f>IF(OR(B437&lt;&gt;"WorkPackage",D437&lt;&gt;"tracks_scope",E437&lt;&gt;"Scope",F437=""),"",IFERROR(INDEX(SCOPES!$K$5:$K$2000,MATCH(F437,SCOPES!$A$5:$A$2000,0)),"UNMATCHED"))</f>
        <v/>
      </c>
    </row>
    <row r="438" ht="21.75" customHeight="1" s="130">
      <c r="J438" s="107">
        <f>IF(OR(B438&lt;&gt;"WorkPackage",D438&lt;&gt;"tracks_scope",E438&lt;&gt;"Scope",F438=""),"",IFERROR(INDEX(SCOPES!$K$5:$K$2000,MATCH(F438,SCOPES!$A$5:$A$2000,0)),"UNMATCHED"))</f>
        <v/>
      </c>
    </row>
    <row r="439" ht="21.75" customHeight="1" s="130">
      <c r="J439" s="107">
        <f>IF(OR(B439&lt;&gt;"WorkPackage",D439&lt;&gt;"tracks_scope",E439&lt;&gt;"Scope",F439=""),"",IFERROR(INDEX(SCOPES!$K$5:$K$2000,MATCH(F439,SCOPES!$A$5:$A$2000,0)),"UNMATCHED"))</f>
        <v/>
      </c>
    </row>
    <row r="440" ht="21.75" customHeight="1" s="130">
      <c r="J440" s="107">
        <f>IF(OR(B440&lt;&gt;"WorkPackage",D440&lt;&gt;"tracks_scope",E440&lt;&gt;"Scope",F440=""),"",IFERROR(INDEX(SCOPES!$K$5:$K$2000,MATCH(F440,SCOPES!$A$5:$A$2000,0)),"UNMATCHED"))</f>
        <v/>
      </c>
    </row>
    <row r="441" ht="21.75" customHeight="1" s="130">
      <c r="J441" s="107">
        <f>IF(OR(B441&lt;&gt;"WorkPackage",D441&lt;&gt;"tracks_scope",E441&lt;&gt;"Scope",F441=""),"",IFERROR(INDEX(SCOPES!$K$5:$K$2000,MATCH(F441,SCOPES!$A$5:$A$2000,0)),"UNMATCHED"))</f>
        <v/>
      </c>
    </row>
    <row r="442" ht="21.75" customHeight="1" s="130">
      <c r="J442" s="107">
        <f>IF(OR(B442&lt;&gt;"WorkPackage",D442&lt;&gt;"tracks_scope",E442&lt;&gt;"Scope",F442=""),"",IFERROR(INDEX(SCOPES!$K$5:$K$2000,MATCH(F442,SCOPES!$A$5:$A$2000,0)),"UNMATCHED"))</f>
        <v/>
      </c>
    </row>
    <row r="443" ht="21.75" customHeight="1" s="130">
      <c r="J443" s="107">
        <f>IF(OR(B443&lt;&gt;"WorkPackage",D443&lt;&gt;"tracks_scope",E443&lt;&gt;"Scope",F443=""),"",IFERROR(INDEX(SCOPES!$K$5:$K$2000,MATCH(F443,SCOPES!$A$5:$A$2000,0)),"UNMATCHED"))</f>
        <v/>
      </c>
    </row>
    <row r="444" ht="21.75" customHeight="1" s="130">
      <c r="J444" s="107">
        <f>IF(OR(B444&lt;&gt;"WorkPackage",D444&lt;&gt;"tracks_scope",E444&lt;&gt;"Scope",F444=""),"",IFERROR(INDEX(SCOPES!$K$5:$K$2000,MATCH(F444,SCOPES!$A$5:$A$2000,0)),"UNMATCHED"))</f>
        <v/>
      </c>
    </row>
    <row r="445" ht="21.75" customHeight="1" s="130">
      <c r="J445" s="107">
        <f>IF(OR(B445&lt;&gt;"WorkPackage",D445&lt;&gt;"tracks_scope",E445&lt;&gt;"Scope",F445=""),"",IFERROR(INDEX(SCOPES!$K$5:$K$2000,MATCH(F445,SCOPES!$A$5:$A$2000,0)),"UNMATCHED"))</f>
        <v/>
      </c>
    </row>
    <row r="446" ht="21.75" customHeight="1" s="130">
      <c r="J446" s="107">
        <f>IF(OR(B446&lt;&gt;"WorkPackage",D446&lt;&gt;"tracks_scope",E446&lt;&gt;"Scope",F446=""),"",IFERROR(INDEX(SCOPES!$K$5:$K$2000,MATCH(F446,SCOPES!$A$5:$A$2000,0)),"UNMATCHED"))</f>
        <v/>
      </c>
    </row>
    <row r="447" ht="21.75" customHeight="1" s="130">
      <c r="J447" s="107">
        <f>IF(OR(B447&lt;&gt;"WorkPackage",D447&lt;&gt;"tracks_scope",E447&lt;&gt;"Scope",F447=""),"",IFERROR(INDEX(SCOPES!$K$5:$K$2000,MATCH(F447,SCOPES!$A$5:$A$2000,0)),"UNMATCHED"))</f>
        <v/>
      </c>
    </row>
    <row r="448" ht="21.75" customHeight="1" s="130">
      <c r="J448" s="107">
        <f>IF(OR(B448&lt;&gt;"WorkPackage",D448&lt;&gt;"tracks_scope",E448&lt;&gt;"Scope",F448=""),"",IFERROR(INDEX(SCOPES!$K$5:$K$2000,MATCH(F448,SCOPES!$A$5:$A$2000,0)),"UNMATCHED"))</f>
        <v/>
      </c>
    </row>
    <row r="449" ht="21.75" customHeight="1" s="130">
      <c r="J449" s="107">
        <f>IF(OR(B449&lt;&gt;"WorkPackage",D449&lt;&gt;"tracks_scope",E449&lt;&gt;"Scope",F449=""),"",IFERROR(INDEX(SCOPES!$K$5:$K$2000,MATCH(F449,SCOPES!$A$5:$A$2000,0)),"UNMATCHED"))</f>
        <v/>
      </c>
    </row>
    <row r="450" ht="21.75" customHeight="1" s="130">
      <c r="J450" s="107">
        <f>IF(OR(B450&lt;&gt;"WorkPackage",D450&lt;&gt;"tracks_scope",E450&lt;&gt;"Scope",F450=""),"",IFERROR(INDEX(SCOPES!$K$5:$K$2000,MATCH(F450,SCOPES!$A$5:$A$2000,0)),"UNMATCHED"))</f>
        <v/>
      </c>
    </row>
    <row r="451" ht="21.75" customHeight="1" s="130">
      <c r="J451" s="107">
        <f>IF(OR(B451&lt;&gt;"WorkPackage",D451&lt;&gt;"tracks_scope",E451&lt;&gt;"Scope",F451=""),"",IFERROR(INDEX(SCOPES!$K$5:$K$2000,MATCH(F451,SCOPES!$A$5:$A$2000,0)),"UNMATCHED"))</f>
        <v/>
      </c>
    </row>
    <row r="452" ht="21.75" customHeight="1" s="130">
      <c r="J452" s="107">
        <f>IF(OR(B452&lt;&gt;"WorkPackage",D452&lt;&gt;"tracks_scope",E452&lt;&gt;"Scope",F452=""),"",IFERROR(INDEX(SCOPES!$K$5:$K$2000,MATCH(F452,SCOPES!$A$5:$A$2000,0)),"UNMATCHED"))</f>
        <v/>
      </c>
    </row>
    <row r="453" ht="21.75" customHeight="1" s="130">
      <c r="J453" s="107">
        <f>IF(OR(B453&lt;&gt;"WorkPackage",D453&lt;&gt;"tracks_scope",E453&lt;&gt;"Scope",F453=""),"",IFERROR(INDEX(SCOPES!$K$5:$K$2000,MATCH(F453,SCOPES!$A$5:$A$2000,0)),"UNMATCHED"))</f>
        <v/>
      </c>
    </row>
    <row r="454" ht="21.75" customHeight="1" s="130">
      <c r="J454" s="107">
        <f>IF(OR(B454&lt;&gt;"WorkPackage",D454&lt;&gt;"tracks_scope",E454&lt;&gt;"Scope",F454=""),"",IFERROR(INDEX(SCOPES!$K$5:$K$2000,MATCH(F454,SCOPES!$A$5:$A$2000,0)),"UNMATCHED"))</f>
        <v/>
      </c>
    </row>
    <row r="455" ht="21.75" customHeight="1" s="130">
      <c r="J455" s="107">
        <f>IF(OR(B455&lt;&gt;"WorkPackage",D455&lt;&gt;"tracks_scope",E455&lt;&gt;"Scope",F455=""),"",IFERROR(INDEX(SCOPES!$K$5:$K$2000,MATCH(F455,SCOPES!$A$5:$A$2000,0)),"UNMATCHED"))</f>
        <v/>
      </c>
    </row>
    <row r="456" ht="21.75" customHeight="1" s="130">
      <c r="J456" s="107">
        <f>IF(OR(B456&lt;&gt;"WorkPackage",D456&lt;&gt;"tracks_scope",E456&lt;&gt;"Scope",F456=""),"",IFERROR(INDEX(SCOPES!$K$5:$K$2000,MATCH(F456,SCOPES!$A$5:$A$2000,0)),"UNMATCHED"))</f>
        <v/>
      </c>
    </row>
    <row r="457" ht="21.75" customHeight="1" s="130">
      <c r="J457" s="107">
        <f>IF(OR(B457&lt;&gt;"WorkPackage",D457&lt;&gt;"tracks_scope",E457&lt;&gt;"Scope",F457=""),"",IFERROR(INDEX(SCOPES!$K$5:$K$2000,MATCH(F457,SCOPES!$A$5:$A$2000,0)),"UNMATCHED"))</f>
        <v/>
      </c>
    </row>
    <row r="458" ht="21.75" customHeight="1" s="130">
      <c r="J458" s="107">
        <f>IF(OR(B458&lt;&gt;"WorkPackage",D458&lt;&gt;"tracks_scope",E458&lt;&gt;"Scope",F458=""),"",IFERROR(INDEX(SCOPES!$K$5:$K$2000,MATCH(F458,SCOPES!$A$5:$A$2000,0)),"UNMATCHED"))</f>
        <v/>
      </c>
    </row>
    <row r="459" ht="21.75" customHeight="1" s="130">
      <c r="J459" s="107">
        <f>IF(OR(B459&lt;&gt;"WorkPackage",D459&lt;&gt;"tracks_scope",E459&lt;&gt;"Scope",F459=""),"",IFERROR(INDEX(SCOPES!$K$5:$K$2000,MATCH(F459,SCOPES!$A$5:$A$2000,0)),"UNMATCHED"))</f>
        <v/>
      </c>
    </row>
    <row r="460" ht="21.75" customHeight="1" s="130">
      <c r="J460" s="107">
        <f>IF(OR(B460&lt;&gt;"WorkPackage",D460&lt;&gt;"tracks_scope",E460&lt;&gt;"Scope",F460=""),"",IFERROR(INDEX(SCOPES!$K$5:$K$2000,MATCH(F460,SCOPES!$A$5:$A$2000,0)),"UNMATCHED"))</f>
        <v/>
      </c>
    </row>
    <row r="461" ht="21.75" customHeight="1" s="130">
      <c r="J461" s="107">
        <f>IF(OR(B461&lt;&gt;"WorkPackage",D461&lt;&gt;"tracks_scope",E461&lt;&gt;"Scope",F461=""),"",IFERROR(INDEX(SCOPES!$K$5:$K$2000,MATCH(F461,SCOPES!$A$5:$A$2000,0)),"UNMATCHED"))</f>
        <v/>
      </c>
    </row>
    <row r="462" ht="21.75" customHeight="1" s="130">
      <c r="J462" s="107">
        <f>IF(OR(B462&lt;&gt;"WorkPackage",D462&lt;&gt;"tracks_scope",E462&lt;&gt;"Scope",F462=""),"",IFERROR(INDEX(SCOPES!$K$5:$K$2000,MATCH(F462,SCOPES!$A$5:$A$2000,0)),"UNMATCHED"))</f>
        <v/>
      </c>
    </row>
    <row r="463" ht="21.75" customHeight="1" s="130">
      <c r="J463" s="107">
        <f>IF(OR(B463&lt;&gt;"WorkPackage",D463&lt;&gt;"tracks_scope",E463&lt;&gt;"Scope",F463=""),"",IFERROR(INDEX(SCOPES!$K$5:$K$2000,MATCH(F463,SCOPES!$A$5:$A$2000,0)),"UNMATCHED"))</f>
        <v/>
      </c>
    </row>
    <row r="464" ht="21.75" customHeight="1" s="130">
      <c r="J464" s="107">
        <f>IF(OR(B464&lt;&gt;"WorkPackage",D464&lt;&gt;"tracks_scope",E464&lt;&gt;"Scope",F464=""),"",IFERROR(INDEX(SCOPES!$K$5:$K$2000,MATCH(F464,SCOPES!$A$5:$A$2000,0)),"UNMATCHED"))</f>
        <v/>
      </c>
    </row>
    <row r="465" ht="21.75" customHeight="1" s="130">
      <c r="J465" s="107">
        <f>IF(OR(B465&lt;&gt;"WorkPackage",D465&lt;&gt;"tracks_scope",E465&lt;&gt;"Scope",F465=""),"",IFERROR(INDEX(SCOPES!$K$5:$K$2000,MATCH(F465,SCOPES!$A$5:$A$2000,0)),"UNMATCHED"))</f>
        <v/>
      </c>
    </row>
    <row r="466" ht="21.75" customHeight="1" s="130">
      <c r="J466" s="107">
        <f>IF(OR(B466&lt;&gt;"WorkPackage",D466&lt;&gt;"tracks_scope",E466&lt;&gt;"Scope",F466=""),"",IFERROR(INDEX(SCOPES!$K$5:$K$2000,MATCH(F466,SCOPES!$A$5:$A$2000,0)),"UNMATCHED"))</f>
        <v/>
      </c>
    </row>
    <row r="467" ht="21.75" customHeight="1" s="130">
      <c r="J467" s="107">
        <f>IF(OR(B467&lt;&gt;"WorkPackage",D467&lt;&gt;"tracks_scope",E467&lt;&gt;"Scope",F467=""),"",IFERROR(INDEX(SCOPES!$K$5:$K$2000,MATCH(F467,SCOPES!$A$5:$A$2000,0)),"UNMATCHED"))</f>
        <v/>
      </c>
    </row>
    <row r="468" ht="21.75" customHeight="1" s="130">
      <c r="J468" s="107">
        <f>IF(OR(B468&lt;&gt;"WorkPackage",D468&lt;&gt;"tracks_scope",E468&lt;&gt;"Scope",F468=""),"",IFERROR(INDEX(SCOPES!$K$5:$K$2000,MATCH(F468,SCOPES!$A$5:$A$2000,0)),"UNMATCHED"))</f>
        <v/>
      </c>
    </row>
    <row r="469" ht="21.75" customHeight="1" s="130">
      <c r="J469" s="107">
        <f>IF(OR(B469&lt;&gt;"WorkPackage",D469&lt;&gt;"tracks_scope",E469&lt;&gt;"Scope",F469=""),"",IFERROR(INDEX(SCOPES!$K$5:$K$2000,MATCH(F469,SCOPES!$A$5:$A$2000,0)),"UNMATCHED"))</f>
        <v/>
      </c>
    </row>
    <row r="470" ht="21.75" customHeight="1" s="130">
      <c r="J470" s="107">
        <f>IF(OR(B470&lt;&gt;"WorkPackage",D470&lt;&gt;"tracks_scope",E470&lt;&gt;"Scope",F470=""),"",IFERROR(INDEX(SCOPES!$K$5:$K$2000,MATCH(F470,SCOPES!$A$5:$A$2000,0)),"UNMATCHED"))</f>
        <v/>
      </c>
    </row>
    <row r="471" ht="21.75" customHeight="1" s="130">
      <c r="J471" s="107">
        <f>IF(OR(B471&lt;&gt;"WorkPackage",D471&lt;&gt;"tracks_scope",E471&lt;&gt;"Scope",F471=""),"",IFERROR(INDEX(SCOPES!$K$5:$K$2000,MATCH(F471,SCOPES!$A$5:$A$2000,0)),"UNMATCHED"))</f>
        <v/>
      </c>
    </row>
    <row r="472" ht="21.75" customHeight="1" s="130">
      <c r="J472" s="107">
        <f>IF(OR(B472&lt;&gt;"WorkPackage",D472&lt;&gt;"tracks_scope",E472&lt;&gt;"Scope",F472=""),"",IFERROR(INDEX(SCOPES!$K$5:$K$2000,MATCH(F472,SCOPES!$A$5:$A$2000,0)),"UNMATCHED"))</f>
        <v/>
      </c>
    </row>
    <row r="473" ht="21.75" customHeight="1" s="130">
      <c r="J473" s="107">
        <f>IF(OR(B473&lt;&gt;"WorkPackage",D473&lt;&gt;"tracks_scope",E473&lt;&gt;"Scope",F473=""),"",IFERROR(INDEX(SCOPES!$K$5:$K$2000,MATCH(F473,SCOPES!$A$5:$A$2000,0)),"UNMATCHED"))</f>
        <v/>
      </c>
    </row>
    <row r="474" ht="21.75" customHeight="1" s="130">
      <c r="J474" s="107">
        <f>IF(OR(B474&lt;&gt;"WorkPackage",D474&lt;&gt;"tracks_scope",E474&lt;&gt;"Scope",F474=""),"",IFERROR(INDEX(SCOPES!$K$5:$K$2000,MATCH(F474,SCOPES!$A$5:$A$2000,0)),"UNMATCHED"))</f>
        <v/>
      </c>
    </row>
    <row r="475" ht="21.75" customHeight="1" s="130">
      <c r="J475" s="107">
        <f>IF(OR(B475&lt;&gt;"WorkPackage",D475&lt;&gt;"tracks_scope",E475&lt;&gt;"Scope",F475=""),"",IFERROR(INDEX(SCOPES!$K$5:$K$2000,MATCH(F475,SCOPES!$A$5:$A$2000,0)),"UNMATCHED"))</f>
        <v/>
      </c>
    </row>
    <row r="476" ht="21.75" customHeight="1" s="130">
      <c r="J476" s="107">
        <f>IF(OR(B476&lt;&gt;"WorkPackage",D476&lt;&gt;"tracks_scope",E476&lt;&gt;"Scope",F476=""),"",IFERROR(INDEX(SCOPES!$K$5:$K$2000,MATCH(F476,SCOPES!$A$5:$A$2000,0)),"UNMATCHED"))</f>
        <v/>
      </c>
    </row>
    <row r="477" ht="21.75" customHeight="1" s="130">
      <c r="J477" s="107">
        <f>IF(OR(B477&lt;&gt;"WorkPackage",D477&lt;&gt;"tracks_scope",E477&lt;&gt;"Scope",F477=""),"",IFERROR(INDEX(SCOPES!$K$5:$K$2000,MATCH(F477,SCOPES!$A$5:$A$2000,0)),"UNMATCHED"))</f>
        <v/>
      </c>
    </row>
    <row r="478" ht="21.75" customHeight="1" s="130">
      <c r="J478" s="107">
        <f>IF(OR(B478&lt;&gt;"WorkPackage",D478&lt;&gt;"tracks_scope",E478&lt;&gt;"Scope",F478=""),"",IFERROR(INDEX(SCOPES!$K$5:$K$2000,MATCH(F478,SCOPES!$A$5:$A$2000,0)),"UNMATCHED"))</f>
        <v/>
      </c>
    </row>
    <row r="479" ht="21.75" customHeight="1" s="130">
      <c r="J479" s="107">
        <f>IF(OR(B479&lt;&gt;"WorkPackage",D479&lt;&gt;"tracks_scope",E479&lt;&gt;"Scope",F479=""),"",IFERROR(INDEX(SCOPES!$K$5:$K$2000,MATCH(F479,SCOPES!$A$5:$A$2000,0)),"UNMATCHED"))</f>
        <v/>
      </c>
    </row>
    <row r="480" ht="21.75" customHeight="1" s="130">
      <c r="J480" s="107">
        <f>IF(OR(B480&lt;&gt;"WorkPackage",D480&lt;&gt;"tracks_scope",E480&lt;&gt;"Scope",F480=""),"",IFERROR(INDEX(SCOPES!$K$5:$K$2000,MATCH(F480,SCOPES!$A$5:$A$2000,0)),"UNMATCHED"))</f>
        <v/>
      </c>
    </row>
    <row r="481" ht="21.75" customHeight="1" s="130">
      <c r="J481" s="107">
        <f>IF(OR(B481&lt;&gt;"WorkPackage",D481&lt;&gt;"tracks_scope",E481&lt;&gt;"Scope",F481=""),"",IFERROR(INDEX(SCOPES!$K$5:$K$2000,MATCH(F481,SCOPES!$A$5:$A$2000,0)),"UNMATCHED"))</f>
        <v/>
      </c>
    </row>
    <row r="482" ht="21.75" customHeight="1" s="130">
      <c r="J482" s="107">
        <f>IF(OR(B482&lt;&gt;"WorkPackage",D482&lt;&gt;"tracks_scope",E482&lt;&gt;"Scope",F482=""),"",IFERROR(INDEX(SCOPES!$K$5:$K$2000,MATCH(F482,SCOPES!$A$5:$A$2000,0)),"UNMATCHED"))</f>
        <v/>
      </c>
    </row>
    <row r="483" ht="21.75" customHeight="1" s="130">
      <c r="J483" s="107">
        <f>IF(OR(B483&lt;&gt;"WorkPackage",D483&lt;&gt;"tracks_scope",E483&lt;&gt;"Scope",F483=""),"",IFERROR(INDEX(SCOPES!$K$5:$K$2000,MATCH(F483,SCOPES!$A$5:$A$2000,0)),"UNMATCHED"))</f>
        <v/>
      </c>
    </row>
    <row r="484" ht="21.75" customHeight="1" s="130">
      <c r="J484" s="107">
        <f>IF(OR(B484&lt;&gt;"WorkPackage",D484&lt;&gt;"tracks_scope",E484&lt;&gt;"Scope",F484=""),"",IFERROR(INDEX(SCOPES!$K$5:$K$2000,MATCH(F484,SCOPES!$A$5:$A$2000,0)),"UNMATCHED"))</f>
        <v/>
      </c>
    </row>
    <row r="485" ht="21.75" customHeight="1" s="130">
      <c r="J485" s="107">
        <f>IF(OR(B485&lt;&gt;"WorkPackage",D485&lt;&gt;"tracks_scope",E485&lt;&gt;"Scope",F485=""),"",IFERROR(INDEX(SCOPES!$K$5:$K$2000,MATCH(F485,SCOPES!$A$5:$A$2000,0)),"UNMATCHED"))</f>
        <v/>
      </c>
    </row>
    <row r="486" ht="21.75" customHeight="1" s="130">
      <c r="J486" s="107">
        <f>IF(OR(B486&lt;&gt;"WorkPackage",D486&lt;&gt;"tracks_scope",E486&lt;&gt;"Scope",F486=""),"",IFERROR(INDEX(SCOPES!$K$5:$K$2000,MATCH(F486,SCOPES!$A$5:$A$2000,0)),"UNMATCHED"))</f>
        <v/>
      </c>
    </row>
    <row r="487" ht="21.75" customHeight="1" s="130">
      <c r="J487" s="107">
        <f>IF(OR(B487&lt;&gt;"WorkPackage",D487&lt;&gt;"tracks_scope",E487&lt;&gt;"Scope",F487=""),"",IFERROR(INDEX(SCOPES!$K$5:$K$2000,MATCH(F487,SCOPES!$A$5:$A$2000,0)),"UNMATCHED"))</f>
        <v/>
      </c>
    </row>
    <row r="488" ht="21.75" customHeight="1" s="130">
      <c r="J488" s="107">
        <f>IF(OR(B488&lt;&gt;"WorkPackage",D488&lt;&gt;"tracks_scope",E488&lt;&gt;"Scope",F488=""),"",IFERROR(INDEX(SCOPES!$K$5:$K$2000,MATCH(F488,SCOPES!$A$5:$A$2000,0)),"UNMATCHED"))</f>
        <v/>
      </c>
    </row>
    <row r="489" ht="21.75" customHeight="1" s="130">
      <c r="J489" s="107">
        <f>IF(OR(B489&lt;&gt;"WorkPackage",D489&lt;&gt;"tracks_scope",E489&lt;&gt;"Scope",F489=""),"",IFERROR(INDEX(SCOPES!$K$5:$K$2000,MATCH(F489,SCOPES!$A$5:$A$2000,0)),"UNMATCHED"))</f>
        <v/>
      </c>
    </row>
    <row r="490" ht="21.75" customHeight="1" s="130">
      <c r="J490" s="107">
        <f>IF(OR(B490&lt;&gt;"WorkPackage",D490&lt;&gt;"tracks_scope",E490&lt;&gt;"Scope",F490=""),"",IFERROR(INDEX(SCOPES!$K$5:$K$2000,MATCH(F490,SCOPES!$A$5:$A$2000,0)),"UNMATCHED"))</f>
        <v/>
      </c>
    </row>
    <row r="491" ht="21.75" customHeight="1" s="130">
      <c r="J491" s="107">
        <f>IF(OR(B491&lt;&gt;"WorkPackage",D491&lt;&gt;"tracks_scope",E491&lt;&gt;"Scope",F491=""),"",IFERROR(INDEX(SCOPES!$K$5:$K$2000,MATCH(F491,SCOPES!$A$5:$A$2000,0)),"UNMATCHED"))</f>
        <v/>
      </c>
    </row>
    <row r="492" ht="21.75" customHeight="1" s="130">
      <c r="J492" s="107">
        <f>IF(OR(B492&lt;&gt;"WorkPackage",D492&lt;&gt;"tracks_scope",E492&lt;&gt;"Scope",F492=""),"",IFERROR(INDEX(SCOPES!$K$5:$K$2000,MATCH(F492,SCOPES!$A$5:$A$2000,0)),"UNMATCHED"))</f>
        <v/>
      </c>
    </row>
    <row r="493" ht="21.75" customHeight="1" s="130">
      <c r="J493" s="107">
        <f>IF(OR(B493&lt;&gt;"WorkPackage",D493&lt;&gt;"tracks_scope",E493&lt;&gt;"Scope",F493=""),"",IFERROR(INDEX(SCOPES!$K$5:$K$2000,MATCH(F493,SCOPES!$A$5:$A$2000,0)),"UNMATCHED"))</f>
        <v/>
      </c>
    </row>
    <row r="494" ht="21.75" customHeight="1" s="130">
      <c r="J494" s="107">
        <f>IF(OR(B494&lt;&gt;"WorkPackage",D494&lt;&gt;"tracks_scope",E494&lt;&gt;"Scope",F494=""),"",IFERROR(INDEX(SCOPES!$K$5:$K$2000,MATCH(F494,SCOPES!$A$5:$A$2000,0)),"UNMATCHED"))</f>
        <v/>
      </c>
    </row>
    <row r="495" ht="21.75" customHeight="1" s="130">
      <c r="J495" s="107">
        <f>IF(OR(B495&lt;&gt;"WorkPackage",D495&lt;&gt;"tracks_scope",E495&lt;&gt;"Scope",F495=""),"",IFERROR(INDEX(SCOPES!$K$5:$K$2000,MATCH(F495,SCOPES!$A$5:$A$2000,0)),"UNMATCHED"))</f>
        <v/>
      </c>
    </row>
    <row r="496" ht="21.75" customHeight="1" s="130">
      <c r="J496" s="107">
        <f>IF(OR(B496&lt;&gt;"WorkPackage",D496&lt;&gt;"tracks_scope",E496&lt;&gt;"Scope",F496=""),"",IFERROR(INDEX(SCOPES!$K$5:$K$2000,MATCH(F496,SCOPES!$A$5:$A$2000,0)),"UNMATCHED"))</f>
        <v/>
      </c>
    </row>
    <row r="497" ht="21.75" customHeight="1" s="130">
      <c r="J497" s="107">
        <f>IF(OR(B497&lt;&gt;"WorkPackage",D497&lt;&gt;"tracks_scope",E497&lt;&gt;"Scope",F497=""),"",IFERROR(INDEX(SCOPES!$K$5:$K$2000,MATCH(F497,SCOPES!$A$5:$A$2000,0)),"UNMATCHED"))</f>
        <v/>
      </c>
    </row>
    <row r="498" ht="21.75" customHeight="1" s="130">
      <c r="J498" s="107">
        <f>IF(OR(B498&lt;&gt;"WorkPackage",D498&lt;&gt;"tracks_scope",E498&lt;&gt;"Scope",F498=""),"",IFERROR(INDEX(SCOPES!$K$5:$K$2000,MATCH(F498,SCOPES!$A$5:$A$2000,0)),"UNMATCHED"))</f>
        <v/>
      </c>
    </row>
    <row r="499" ht="21.75" customHeight="1" s="130">
      <c r="J499" s="107">
        <f>IF(OR(B499&lt;&gt;"WorkPackage",D499&lt;&gt;"tracks_scope",E499&lt;&gt;"Scope",F499=""),"",IFERROR(INDEX(SCOPES!$K$5:$K$2000,MATCH(F499,SCOPES!$A$5:$A$2000,0)),"UNMATCHED"))</f>
        <v/>
      </c>
    </row>
    <row r="500" ht="21.75" customHeight="1" s="130">
      <c r="J500" s="107">
        <f>IF(OR(B500&lt;&gt;"WorkPackage",D500&lt;&gt;"tracks_scope",E500&lt;&gt;"Scope",F500=""),"",IFERROR(INDEX(SCOPES!$K$5:$K$2000,MATCH(F500,SCOPES!$A$5:$A$2000,0)),"UNMATCHED"))</f>
        <v/>
      </c>
    </row>
    <row r="501" ht="21.75" customHeight="1" s="130">
      <c r="J501" s="107">
        <f>IF(OR(B501&lt;&gt;"WorkPackage",D501&lt;&gt;"tracks_scope",E501&lt;&gt;"Scope",F501=""),"",IFERROR(INDEX(SCOPES!$K$5:$K$2000,MATCH(F501,SCOPES!$A$5:$A$2000,0)),"UNMATCHED"))</f>
        <v/>
      </c>
    </row>
    <row r="502" ht="21.75" customHeight="1" s="130">
      <c r="J502" s="107">
        <f>IF(OR(B502&lt;&gt;"WorkPackage",D502&lt;&gt;"tracks_scope",E502&lt;&gt;"Scope",F502=""),"",IFERROR(INDEX(SCOPES!$K$5:$K$2000,MATCH(F502,SCOPES!$A$5:$A$2000,0)),"UNMATCHED"))</f>
        <v/>
      </c>
    </row>
    <row r="503" ht="21.75" customHeight="1" s="130">
      <c r="J503" s="107">
        <f>IF(OR(B503&lt;&gt;"WorkPackage",D503&lt;&gt;"tracks_scope",E503&lt;&gt;"Scope",F503=""),"",IFERROR(INDEX(SCOPES!$K$5:$K$2000,MATCH(F503,SCOPES!$A$5:$A$2000,0)),"UNMATCHED"))</f>
        <v/>
      </c>
    </row>
    <row r="504" ht="21.75" customHeight="1" s="130">
      <c r="J504" s="107">
        <f>IF(OR(B504&lt;&gt;"WorkPackage",D504&lt;&gt;"tracks_scope",E504&lt;&gt;"Scope",F504=""),"",IFERROR(INDEX(SCOPES!$K$5:$K$2000,MATCH(F504,SCOPES!$A$5:$A$2000,0)),"UNMATCHED"))</f>
        <v/>
      </c>
    </row>
    <row r="505" ht="21.75" customHeight="1" s="130">
      <c r="J505" s="107">
        <f>IF(OR(B505&lt;&gt;"WorkPackage",D505&lt;&gt;"tracks_scope",E505&lt;&gt;"Scope",F505=""),"",IFERROR(INDEX(SCOPES!$K$5:$K$2000,MATCH(F505,SCOPES!$A$5:$A$2000,0)),"UNMATCHED"))</f>
        <v/>
      </c>
    </row>
    <row r="506" ht="21.75" customHeight="1" s="130">
      <c r="J506" s="107">
        <f>IF(OR(B506&lt;&gt;"WorkPackage",D506&lt;&gt;"tracks_scope",E506&lt;&gt;"Scope",F506=""),"",IFERROR(INDEX(SCOPES!$K$5:$K$2000,MATCH(F506,SCOPES!$A$5:$A$2000,0)),"UNMATCHED"))</f>
        <v/>
      </c>
    </row>
    <row r="507" ht="21.75" customHeight="1" s="130">
      <c r="J507" s="107">
        <f>IF(OR(B507&lt;&gt;"WorkPackage",D507&lt;&gt;"tracks_scope",E507&lt;&gt;"Scope",F507=""),"",IFERROR(INDEX(SCOPES!$K$5:$K$2000,MATCH(F507,SCOPES!$A$5:$A$2000,0)),"UNMATCHED"))</f>
        <v/>
      </c>
    </row>
    <row r="508" ht="21.75" customHeight="1" s="130">
      <c r="J508" s="107">
        <f>IF(OR(B508&lt;&gt;"WorkPackage",D508&lt;&gt;"tracks_scope",E508&lt;&gt;"Scope",F508=""),"",IFERROR(INDEX(SCOPES!$K$5:$K$2000,MATCH(F508,SCOPES!$A$5:$A$2000,0)),"UNMATCHED"))</f>
        <v/>
      </c>
    </row>
    <row r="509" ht="21.75" customHeight="1" s="130">
      <c r="J509" s="107">
        <f>IF(OR(B509&lt;&gt;"WorkPackage",D509&lt;&gt;"tracks_scope",E509&lt;&gt;"Scope",F509=""),"",IFERROR(INDEX(SCOPES!$K$5:$K$2000,MATCH(F509,SCOPES!$A$5:$A$2000,0)),"UNMATCHED"))</f>
        <v/>
      </c>
    </row>
    <row r="510" ht="21.75" customHeight="1" s="130">
      <c r="J510" s="107">
        <f>IF(OR(B510&lt;&gt;"WorkPackage",D510&lt;&gt;"tracks_scope",E510&lt;&gt;"Scope",F510=""),"",IFERROR(INDEX(SCOPES!$K$5:$K$2000,MATCH(F510,SCOPES!$A$5:$A$2000,0)),"UNMATCHED"))</f>
        <v/>
      </c>
    </row>
    <row r="511" ht="21.75" customHeight="1" s="130">
      <c r="J511" s="107">
        <f>IF(OR(B511&lt;&gt;"WorkPackage",D511&lt;&gt;"tracks_scope",E511&lt;&gt;"Scope",F511=""),"",IFERROR(INDEX(SCOPES!$K$5:$K$2000,MATCH(F511,SCOPES!$A$5:$A$2000,0)),"UNMATCHED"))</f>
        <v/>
      </c>
    </row>
    <row r="512" ht="21.75" customHeight="1" s="130">
      <c r="J512" s="107">
        <f>IF(OR(B512&lt;&gt;"WorkPackage",D512&lt;&gt;"tracks_scope",E512&lt;&gt;"Scope",F512=""),"",IFERROR(INDEX(SCOPES!$K$5:$K$2000,MATCH(F512,SCOPES!$A$5:$A$2000,0)),"UNMATCHED"))</f>
        <v/>
      </c>
    </row>
    <row r="513" ht="21.75" customHeight="1" s="130">
      <c r="J513" s="107">
        <f>IF(OR(B513&lt;&gt;"WorkPackage",D513&lt;&gt;"tracks_scope",E513&lt;&gt;"Scope",F513=""),"",IFERROR(INDEX(SCOPES!$K$5:$K$2000,MATCH(F513,SCOPES!$A$5:$A$2000,0)),"UNMATCHED"))</f>
        <v/>
      </c>
    </row>
    <row r="514" ht="21.75" customHeight="1" s="130">
      <c r="J514" s="107">
        <f>IF(OR(B514&lt;&gt;"WorkPackage",D514&lt;&gt;"tracks_scope",E514&lt;&gt;"Scope",F514=""),"",IFERROR(INDEX(SCOPES!$K$5:$K$2000,MATCH(F514,SCOPES!$A$5:$A$2000,0)),"UNMATCHED"))</f>
        <v/>
      </c>
    </row>
    <row r="515" ht="21.75" customHeight="1" s="130">
      <c r="J515" s="107">
        <f>IF(OR(B515&lt;&gt;"WorkPackage",D515&lt;&gt;"tracks_scope",E515&lt;&gt;"Scope",F515=""),"",IFERROR(INDEX(SCOPES!$K$5:$K$2000,MATCH(F515,SCOPES!$A$5:$A$2000,0)),"UNMATCHED"))</f>
        <v/>
      </c>
    </row>
    <row r="516" ht="21.75" customHeight="1" s="130">
      <c r="J516" s="107">
        <f>IF(OR(B516&lt;&gt;"WorkPackage",D516&lt;&gt;"tracks_scope",E516&lt;&gt;"Scope",F516=""),"",IFERROR(INDEX(SCOPES!$K$5:$K$2000,MATCH(F516,SCOPES!$A$5:$A$2000,0)),"UNMATCHED"))</f>
        <v/>
      </c>
    </row>
    <row r="517" ht="21.75" customHeight="1" s="130">
      <c r="J517" s="107">
        <f>IF(OR(B517&lt;&gt;"WorkPackage",D517&lt;&gt;"tracks_scope",E517&lt;&gt;"Scope",F517=""),"",IFERROR(INDEX(SCOPES!$K$5:$K$2000,MATCH(F517,SCOPES!$A$5:$A$2000,0)),"UNMATCHED"))</f>
        <v/>
      </c>
    </row>
    <row r="518" ht="21.75" customHeight="1" s="130">
      <c r="J518" s="107">
        <f>IF(OR(B518&lt;&gt;"WorkPackage",D518&lt;&gt;"tracks_scope",E518&lt;&gt;"Scope",F518=""),"",IFERROR(INDEX(SCOPES!$K$5:$K$2000,MATCH(F518,SCOPES!$A$5:$A$2000,0)),"UNMATCHED"))</f>
        <v/>
      </c>
    </row>
    <row r="519" ht="21.75" customHeight="1" s="130">
      <c r="J519" s="107">
        <f>IF(OR(B519&lt;&gt;"WorkPackage",D519&lt;&gt;"tracks_scope",E519&lt;&gt;"Scope",F519=""),"",IFERROR(INDEX(SCOPES!$K$5:$K$2000,MATCH(F519,SCOPES!$A$5:$A$2000,0)),"UNMATCHED"))</f>
        <v/>
      </c>
    </row>
    <row r="520" ht="21.75" customHeight="1" s="130">
      <c r="J520" s="107">
        <f>IF(OR(B520&lt;&gt;"WorkPackage",D520&lt;&gt;"tracks_scope",E520&lt;&gt;"Scope",F520=""),"",IFERROR(INDEX(SCOPES!$K$5:$K$2000,MATCH(F520,SCOPES!$A$5:$A$2000,0)),"UNMATCHED"))</f>
        <v/>
      </c>
    </row>
    <row r="521" ht="21.75" customHeight="1" s="130">
      <c r="J521" s="107">
        <f>IF(OR(B521&lt;&gt;"WorkPackage",D521&lt;&gt;"tracks_scope",E521&lt;&gt;"Scope",F521=""),"",IFERROR(INDEX(SCOPES!$K$5:$K$2000,MATCH(F521,SCOPES!$A$5:$A$2000,0)),"UNMATCHED"))</f>
        <v/>
      </c>
    </row>
    <row r="522" ht="21.75" customHeight="1" s="130">
      <c r="J522" s="107">
        <f>IF(OR(B522&lt;&gt;"WorkPackage",D522&lt;&gt;"tracks_scope",E522&lt;&gt;"Scope",F522=""),"",IFERROR(INDEX(SCOPES!$K$5:$K$2000,MATCH(F522,SCOPES!$A$5:$A$2000,0)),"UNMATCHED"))</f>
        <v/>
      </c>
    </row>
    <row r="523" ht="21.75" customHeight="1" s="130">
      <c r="J523" s="107">
        <f>IF(OR(B523&lt;&gt;"WorkPackage",D523&lt;&gt;"tracks_scope",E523&lt;&gt;"Scope",F523=""),"",IFERROR(INDEX(SCOPES!$K$5:$K$2000,MATCH(F523,SCOPES!$A$5:$A$2000,0)),"UNMATCHED"))</f>
        <v/>
      </c>
    </row>
    <row r="524" ht="21.75" customHeight="1" s="130">
      <c r="J524" s="107">
        <f>IF(OR(B524&lt;&gt;"WorkPackage",D524&lt;&gt;"tracks_scope",E524&lt;&gt;"Scope",F524=""),"",IFERROR(INDEX(SCOPES!$K$5:$K$2000,MATCH(F524,SCOPES!$A$5:$A$2000,0)),"UNMATCHED"))</f>
        <v/>
      </c>
    </row>
    <row r="525" ht="21.75" customHeight="1" s="130">
      <c r="J525" s="107">
        <f>IF(OR(B525&lt;&gt;"WorkPackage",D525&lt;&gt;"tracks_scope",E525&lt;&gt;"Scope",F525=""),"",IFERROR(INDEX(SCOPES!$K$5:$K$2000,MATCH(F525,SCOPES!$A$5:$A$2000,0)),"UNMATCHED"))</f>
        <v/>
      </c>
    </row>
    <row r="526" ht="21.75" customHeight="1" s="130">
      <c r="J526" s="107">
        <f>IF(OR(B526&lt;&gt;"WorkPackage",D526&lt;&gt;"tracks_scope",E526&lt;&gt;"Scope",F526=""),"",IFERROR(INDEX(SCOPES!$K$5:$K$2000,MATCH(F526,SCOPES!$A$5:$A$2000,0)),"UNMATCHED"))</f>
        <v/>
      </c>
    </row>
    <row r="527" ht="21.75" customHeight="1" s="130">
      <c r="J527" s="107">
        <f>IF(OR(B527&lt;&gt;"WorkPackage",D527&lt;&gt;"tracks_scope",E527&lt;&gt;"Scope",F527=""),"",IFERROR(INDEX(SCOPES!$K$5:$K$2000,MATCH(F527,SCOPES!$A$5:$A$2000,0)),"UNMATCHED"))</f>
        <v/>
      </c>
    </row>
    <row r="528" ht="21.75" customHeight="1" s="130">
      <c r="J528" s="107">
        <f>IF(OR(B528&lt;&gt;"WorkPackage",D528&lt;&gt;"tracks_scope",E528&lt;&gt;"Scope",F528=""),"",IFERROR(INDEX(SCOPES!$K$5:$K$2000,MATCH(F528,SCOPES!$A$5:$A$2000,0)),"UNMATCHED"))</f>
        <v/>
      </c>
    </row>
    <row r="529" ht="21.75" customHeight="1" s="130">
      <c r="J529" s="107">
        <f>IF(OR(B529&lt;&gt;"WorkPackage",D529&lt;&gt;"tracks_scope",E529&lt;&gt;"Scope",F529=""),"",IFERROR(INDEX(SCOPES!$K$5:$K$2000,MATCH(F529,SCOPES!$A$5:$A$2000,0)),"UNMATCHED"))</f>
        <v/>
      </c>
    </row>
    <row r="530" ht="21.75" customHeight="1" s="130">
      <c r="J530" s="107">
        <f>IF(OR(B530&lt;&gt;"WorkPackage",D530&lt;&gt;"tracks_scope",E530&lt;&gt;"Scope",F530=""),"",IFERROR(INDEX(SCOPES!$K$5:$K$2000,MATCH(F530,SCOPES!$A$5:$A$2000,0)),"UNMATCHED"))</f>
        <v/>
      </c>
    </row>
    <row r="531" ht="21.75" customHeight="1" s="130">
      <c r="J531" s="107">
        <f>IF(OR(B531&lt;&gt;"WorkPackage",D531&lt;&gt;"tracks_scope",E531&lt;&gt;"Scope",F531=""),"",IFERROR(INDEX(SCOPES!$K$5:$K$2000,MATCH(F531,SCOPES!$A$5:$A$2000,0)),"UNMATCHED"))</f>
        <v/>
      </c>
    </row>
    <row r="532" ht="21.75" customHeight="1" s="130">
      <c r="J532" s="107">
        <f>IF(OR(B532&lt;&gt;"WorkPackage",D532&lt;&gt;"tracks_scope",E532&lt;&gt;"Scope",F532=""),"",IFERROR(INDEX(SCOPES!$K$5:$K$2000,MATCH(F532,SCOPES!$A$5:$A$2000,0)),"UNMATCHED"))</f>
        <v/>
      </c>
    </row>
    <row r="533" ht="21.75" customHeight="1" s="130">
      <c r="J533" s="107">
        <f>IF(OR(B533&lt;&gt;"WorkPackage",D533&lt;&gt;"tracks_scope",E533&lt;&gt;"Scope",F533=""),"",IFERROR(INDEX(SCOPES!$K$5:$K$2000,MATCH(F533,SCOPES!$A$5:$A$2000,0)),"UNMATCHED"))</f>
        <v/>
      </c>
    </row>
    <row r="534" ht="21.75" customHeight="1" s="130">
      <c r="J534" s="107">
        <f>IF(OR(B534&lt;&gt;"WorkPackage",D534&lt;&gt;"tracks_scope",E534&lt;&gt;"Scope",F534=""),"",IFERROR(INDEX(SCOPES!$K$5:$K$2000,MATCH(F534,SCOPES!$A$5:$A$2000,0)),"UNMATCHED"))</f>
        <v/>
      </c>
    </row>
    <row r="535" ht="21.75" customHeight="1" s="130">
      <c r="J535" s="107">
        <f>IF(OR(B535&lt;&gt;"WorkPackage",D535&lt;&gt;"tracks_scope",E535&lt;&gt;"Scope",F535=""),"",IFERROR(INDEX(SCOPES!$K$5:$K$2000,MATCH(F535,SCOPES!$A$5:$A$2000,0)),"UNMATCHED"))</f>
        <v/>
      </c>
    </row>
    <row r="536" ht="21.75" customHeight="1" s="130">
      <c r="J536" s="107">
        <f>IF(OR(B536&lt;&gt;"WorkPackage",D536&lt;&gt;"tracks_scope",E536&lt;&gt;"Scope",F536=""),"",IFERROR(INDEX(SCOPES!$K$5:$K$2000,MATCH(F536,SCOPES!$A$5:$A$2000,0)),"UNMATCHED"))</f>
        <v/>
      </c>
    </row>
    <row r="537" ht="21.75" customHeight="1" s="130">
      <c r="J537" s="107">
        <f>IF(OR(B537&lt;&gt;"WorkPackage",D537&lt;&gt;"tracks_scope",E537&lt;&gt;"Scope",F537=""),"",IFERROR(INDEX(SCOPES!$K$5:$K$2000,MATCH(F537,SCOPES!$A$5:$A$2000,0)),"UNMATCHED"))</f>
        <v/>
      </c>
    </row>
    <row r="538" ht="21.75" customHeight="1" s="130">
      <c r="J538" s="107">
        <f>IF(OR(B538&lt;&gt;"WorkPackage",D538&lt;&gt;"tracks_scope",E538&lt;&gt;"Scope",F538=""),"",IFERROR(INDEX(SCOPES!$K$5:$K$2000,MATCH(F538,SCOPES!$A$5:$A$2000,0)),"UNMATCHED"))</f>
        <v/>
      </c>
    </row>
    <row r="539" ht="21.75" customHeight="1" s="130">
      <c r="J539" s="107">
        <f>IF(OR(B539&lt;&gt;"WorkPackage",D539&lt;&gt;"tracks_scope",E539&lt;&gt;"Scope",F539=""),"",IFERROR(INDEX(SCOPES!$K$5:$K$2000,MATCH(F539,SCOPES!$A$5:$A$2000,0)),"UNMATCHED"))</f>
        <v/>
      </c>
    </row>
    <row r="540" ht="21.75" customHeight="1" s="130">
      <c r="J540" s="107">
        <f>IF(OR(B540&lt;&gt;"WorkPackage",D540&lt;&gt;"tracks_scope",E540&lt;&gt;"Scope",F540=""),"",IFERROR(INDEX(SCOPES!$K$5:$K$2000,MATCH(F540,SCOPES!$A$5:$A$2000,0)),"UNMATCHED"))</f>
        <v/>
      </c>
    </row>
    <row r="541" ht="21.75" customHeight="1" s="130">
      <c r="J541" s="107">
        <f>IF(OR(B541&lt;&gt;"WorkPackage",D541&lt;&gt;"tracks_scope",E541&lt;&gt;"Scope",F541=""),"",IFERROR(INDEX(SCOPES!$K$5:$K$2000,MATCH(F541,SCOPES!$A$5:$A$2000,0)),"UNMATCHED"))</f>
        <v/>
      </c>
    </row>
    <row r="542" ht="21.75" customHeight="1" s="130">
      <c r="J542" s="107">
        <f>IF(OR(B542&lt;&gt;"WorkPackage",D542&lt;&gt;"tracks_scope",E542&lt;&gt;"Scope",F542=""),"",IFERROR(INDEX(SCOPES!$K$5:$K$2000,MATCH(F542,SCOPES!$A$5:$A$2000,0)),"UNMATCHED"))</f>
        <v/>
      </c>
    </row>
    <row r="543" ht="21.75" customHeight="1" s="130">
      <c r="J543" s="107">
        <f>IF(OR(B543&lt;&gt;"WorkPackage",D543&lt;&gt;"tracks_scope",E543&lt;&gt;"Scope",F543=""),"",IFERROR(INDEX(SCOPES!$K$5:$K$2000,MATCH(F543,SCOPES!$A$5:$A$2000,0)),"UNMATCHED"))</f>
        <v/>
      </c>
    </row>
    <row r="544" ht="21.75" customHeight="1" s="130">
      <c r="J544" s="107">
        <f>IF(OR(B544&lt;&gt;"WorkPackage",D544&lt;&gt;"tracks_scope",E544&lt;&gt;"Scope",F544=""),"",IFERROR(INDEX(SCOPES!$K$5:$K$2000,MATCH(F544,SCOPES!$A$5:$A$2000,0)),"UNMATCHED"))</f>
        <v/>
      </c>
    </row>
    <row r="545" ht="21.75" customHeight="1" s="130">
      <c r="J545" s="107">
        <f>IF(OR(B545&lt;&gt;"WorkPackage",D545&lt;&gt;"tracks_scope",E545&lt;&gt;"Scope",F545=""),"",IFERROR(INDEX(SCOPES!$K$5:$K$2000,MATCH(F545,SCOPES!$A$5:$A$2000,0)),"UNMATCHED"))</f>
        <v/>
      </c>
    </row>
    <row r="546" ht="21.75" customHeight="1" s="130">
      <c r="J546" s="107">
        <f>IF(OR(B546&lt;&gt;"WorkPackage",D546&lt;&gt;"tracks_scope",E546&lt;&gt;"Scope",F546=""),"",IFERROR(INDEX(SCOPES!$K$5:$K$2000,MATCH(F546,SCOPES!$A$5:$A$2000,0)),"UNMATCHED"))</f>
        <v/>
      </c>
    </row>
    <row r="547" ht="21.75" customHeight="1" s="130">
      <c r="J547" s="107">
        <f>IF(OR(B547&lt;&gt;"WorkPackage",D547&lt;&gt;"tracks_scope",E547&lt;&gt;"Scope",F547=""),"",IFERROR(INDEX(SCOPES!$K$5:$K$2000,MATCH(F547,SCOPES!$A$5:$A$2000,0)),"UNMATCHED"))</f>
        <v/>
      </c>
    </row>
    <row r="548" ht="21.75" customHeight="1" s="130">
      <c r="J548" s="107">
        <f>IF(OR(B548&lt;&gt;"WorkPackage",D548&lt;&gt;"tracks_scope",E548&lt;&gt;"Scope",F548=""),"",IFERROR(INDEX(SCOPES!$K$5:$K$2000,MATCH(F548,SCOPES!$A$5:$A$2000,0)),"UNMATCHED"))</f>
        <v/>
      </c>
    </row>
    <row r="549" ht="21.75" customHeight="1" s="130">
      <c r="J549" s="107">
        <f>IF(OR(B549&lt;&gt;"WorkPackage",D549&lt;&gt;"tracks_scope",E549&lt;&gt;"Scope",F549=""),"",IFERROR(INDEX(SCOPES!$K$5:$K$2000,MATCH(F549,SCOPES!$A$5:$A$2000,0)),"UNMATCHED"))</f>
        <v/>
      </c>
    </row>
    <row r="550" ht="21.75" customHeight="1" s="130">
      <c r="J550" s="107">
        <f>IF(OR(B550&lt;&gt;"WorkPackage",D550&lt;&gt;"tracks_scope",E550&lt;&gt;"Scope",F550=""),"",IFERROR(INDEX(SCOPES!$K$5:$K$2000,MATCH(F550,SCOPES!$A$5:$A$2000,0)),"UNMATCHED"))</f>
        <v/>
      </c>
    </row>
    <row r="551" ht="21.75" customHeight="1" s="130">
      <c r="J551" s="107">
        <f>IF(OR(B551&lt;&gt;"WorkPackage",D551&lt;&gt;"tracks_scope",E551&lt;&gt;"Scope",F551=""),"",IFERROR(INDEX(SCOPES!$K$5:$K$2000,MATCH(F551,SCOPES!$A$5:$A$2000,0)),"UNMATCHED"))</f>
        <v/>
      </c>
    </row>
    <row r="552" ht="21.75" customHeight="1" s="130">
      <c r="J552" s="107">
        <f>IF(OR(B552&lt;&gt;"WorkPackage",D552&lt;&gt;"tracks_scope",E552&lt;&gt;"Scope",F552=""),"",IFERROR(INDEX(SCOPES!$K$5:$K$2000,MATCH(F552,SCOPES!$A$5:$A$2000,0)),"UNMATCHED"))</f>
        <v/>
      </c>
    </row>
    <row r="553" ht="21.75" customHeight="1" s="130">
      <c r="J553" s="107">
        <f>IF(OR(B553&lt;&gt;"WorkPackage",D553&lt;&gt;"tracks_scope",E553&lt;&gt;"Scope",F553=""),"",IFERROR(INDEX(SCOPES!$K$5:$K$2000,MATCH(F553,SCOPES!$A$5:$A$2000,0)),"UNMATCHED"))</f>
        <v/>
      </c>
    </row>
    <row r="554" ht="21.75" customHeight="1" s="130">
      <c r="J554" s="107">
        <f>IF(OR(B554&lt;&gt;"WorkPackage",D554&lt;&gt;"tracks_scope",E554&lt;&gt;"Scope",F554=""),"",IFERROR(INDEX(SCOPES!$K$5:$K$2000,MATCH(F554,SCOPES!$A$5:$A$2000,0)),"UNMATCHED"))</f>
        <v/>
      </c>
    </row>
    <row r="555" ht="21.75" customHeight="1" s="130">
      <c r="J555" s="107">
        <f>IF(OR(B555&lt;&gt;"WorkPackage",D555&lt;&gt;"tracks_scope",E555&lt;&gt;"Scope",F555=""),"",IFERROR(INDEX(SCOPES!$K$5:$K$2000,MATCH(F555,SCOPES!$A$5:$A$2000,0)),"UNMATCHED"))</f>
        <v/>
      </c>
    </row>
    <row r="556" ht="21.75" customHeight="1" s="130">
      <c r="J556" s="107">
        <f>IF(OR(B556&lt;&gt;"WorkPackage",D556&lt;&gt;"tracks_scope",E556&lt;&gt;"Scope",F556=""),"",IFERROR(INDEX(SCOPES!$K$5:$K$2000,MATCH(F556,SCOPES!$A$5:$A$2000,0)),"UNMATCHED"))</f>
        <v/>
      </c>
    </row>
    <row r="557" ht="21.75" customHeight="1" s="130">
      <c r="J557" s="107">
        <f>IF(OR(B557&lt;&gt;"WorkPackage",D557&lt;&gt;"tracks_scope",E557&lt;&gt;"Scope",F557=""),"",IFERROR(INDEX(SCOPES!$K$5:$K$2000,MATCH(F557,SCOPES!$A$5:$A$2000,0)),"UNMATCHED"))</f>
        <v/>
      </c>
    </row>
    <row r="558" ht="21.75" customHeight="1" s="130">
      <c r="J558" s="107">
        <f>IF(OR(B558&lt;&gt;"WorkPackage",D558&lt;&gt;"tracks_scope",E558&lt;&gt;"Scope",F558=""),"",IFERROR(INDEX(SCOPES!$K$5:$K$2000,MATCH(F558,SCOPES!$A$5:$A$2000,0)),"UNMATCHED"))</f>
        <v/>
      </c>
    </row>
    <row r="559" ht="21.75" customHeight="1" s="130">
      <c r="J559" s="107">
        <f>IF(OR(B559&lt;&gt;"WorkPackage",D559&lt;&gt;"tracks_scope",E559&lt;&gt;"Scope",F559=""),"",IFERROR(INDEX(SCOPES!$K$5:$K$2000,MATCH(F559,SCOPES!$A$5:$A$2000,0)),"UNMATCHED"))</f>
        <v/>
      </c>
    </row>
    <row r="560" ht="21.75" customHeight="1" s="130">
      <c r="J560" s="107">
        <f>IF(OR(B560&lt;&gt;"WorkPackage",D560&lt;&gt;"tracks_scope",E560&lt;&gt;"Scope",F560=""),"",IFERROR(INDEX(SCOPES!$K$5:$K$2000,MATCH(F560,SCOPES!$A$5:$A$2000,0)),"UNMATCHED"))</f>
        <v/>
      </c>
    </row>
    <row r="561" ht="21.75" customHeight="1" s="130">
      <c r="J561" s="107">
        <f>IF(OR(B561&lt;&gt;"WorkPackage",D561&lt;&gt;"tracks_scope",E561&lt;&gt;"Scope",F561=""),"",IFERROR(INDEX(SCOPES!$K$5:$K$2000,MATCH(F561,SCOPES!$A$5:$A$2000,0)),"UNMATCHED"))</f>
        <v/>
      </c>
    </row>
    <row r="562" ht="21.75" customHeight="1" s="130">
      <c r="J562" s="107">
        <f>IF(OR(B562&lt;&gt;"WorkPackage",D562&lt;&gt;"tracks_scope",E562&lt;&gt;"Scope",F562=""),"",IFERROR(INDEX(SCOPES!$K$5:$K$2000,MATCH(F562,SCOPES!$A$5:$A$2000,0)),"UNMATCHED"))</f>
        <v/>
      </c>
    </row>
    <row r="563" ht="21.75" customHeight="1" s="130">
      <c r="J563" s="107">
        <f>IF(OR(B563&lt;&gt;"WorkPackage",D563&lt;&gt;"tracks_scope",E563&lt;&gt;"Scope",F563=""),"",IFERROR(INDEX(SCOPES!$K$5:$K$2000,MATCH(F563,SCOPES!$A$5:$A$2000,0)),"UNMATCHED"))</f>
        <v/>
      </c>
    </row>
    <row r="564" ht="21.75" customHeight="1" s="130">
      <c r="J564" s="107">
        <f>IF(OR(B564&lt;&gt;"WorkPackage",D564&lt;&gt;"tracks_scope",E564&lt;&gt;"Scope",F564=""),"",IFERROR(INDEX(SCOPES!$K$5:$K$2000,MATCH(F564,SCOPES!$A$5:$A$2000,0)),"UNMATCHED"))</f>
        <v/>
      </c>
    </row>
    <row r="565" ht="21.75" customHeight="1" s="130">
      <c r="J565" s="107">
        <f>IF(OR(B565&lt;&gt;"WorkPackage",D565&lt;&gt;"tracks_scope",E565&lt;&gt;"Scope",F565=""),"",IFERROR(INDEX(SCOPES!$K$5:$K$2000,MATCH(F565,SCOPES!$A$5:$A$2000,0)),"UNMATCHED"))</f>
        <v/>
      </c>
    </row>
    <row r="566" ht="21.75" customHeight="1" s="130">
      <c r="J566" s="107">
        <f>IF(OR(B566&lt;&gt;"WorkPackage",D566&lt;&gt;"tracks_scope",E566&lt;&gt;"Scope",F566=""),"",IFERROR(INDEX(SCOPES!$K$5:$K$2000,MATCH(F566,SCOPES!$A$5:$A$2000,0)),"UNMATCHED"))</f>
        <v/>
      </c>
    </row>
    <row r="567" ht="21.75" customHeight="1" s="130">
      <c r="J567" s="107">
        <f>IF(OR(B567&lt;&gt;"WorkPackage",D567&lt;&gt;"tracks_scope",E567&lt;&gt;"Scope",F567=""),"",IFERROR(INDEX(SCOPES!$K$5:$K$2000,MATCH(F567,SCOPES!$A$5:$A$2000,0)),"UNMATCHED"))</f>
        <v/>
      </c>
    </row>
    <row r="568" ht="21.75" customHeight="1" s="130">
      <c r="J568" s="107">
        <f>IF(OR(B568&lt;&gt;"WorkPackage",D568&lt;&gt;"tracks_scope",E568&lt;&gt;"Scope",F568=""),"",IFERROR(INDEX(SCOPES!$K$5:$K$2000,MATCH(F568,SCOPES!$A$5:$A$2000,0)),"UNMATCHED"))</f>
        <v/>
      </c>
    </row>
    <row r="569" ht="21.75" customHeight="1" s="130">
      <c r="J569" s="107">
        <f>IF(OR(B569&lt;&gt;"WorkPackage",D569&lt;&gt;"tracks_scope",E569&lt;&gt;"Scope",F569=""),"",IFERROR(INDEX(SCOPES!$K$5:$K$2000,MATCH(F569,SCOPES!$A$5:$A$2000,0)),"UNMATCHED"))</f>
        <v/>
      </c>
    </row>
    <row r="570" ht="21.75" customHeight="1" s="130">
      <c r="J570" s="107">
        <f>IF(OR(B570&lt;&gt;"WorkPackage",D570&lt;&gt;"tracks_scope",E570&lt;&gt;"Scope",F570=""),"",IFERROR(INDEX(SCOPES!$K$5:$K$2000,MATCH(F570,SCOPES!$A$5:$A$2000,0)),"UNMATCHED"))</f>
        <v/>
      </c>
    </row>
    <row r="571" ht="21.75" customHeight="1" s="130">
      <c r="J571" s="107">
        <f>IF(OR(B571&lt;&gt;"WorkPackage",D571&lt;&gt;"tracks_scope",E571&lt;&gt;"Scope",F571=""),"",IFERROR(INDEX(SCOPES!$K$5:$K$2000,MATCH(F571,SCOPES!$A$5:$A$2000,0)),"UNMATCHED"))</f>
        <v/>
      </c>
    </row>
    <row r="572" ht="21.75" customHeight="1" s="130">
      <c r="J572" s="107">
        <f>IF(OR(B572&lt;&gt;"WorkPackage",D572&lt;&gt;"tracks_scope",E572&lt;&gt;"Scope",F572=""),"",IFERROR(INDEX(SCOPES!$K$5:$K$2000,MATCH(F572,SCOPES!$A$5:$A$2000,0)),"UNMATCHED"))</f>
        <v/>
      </c>
    </row>
    <row r="573" ht="21.75" customHeight="1" s="130">
      <c r="J573" s="107">
        <f>IF(OR(B573&lt;&gt;"WorkPackage",D573&lt;&gt;"tracks_scope",E573&lt;&gt;"Scope",F573=""),"",IFERROR(INDEX(SCOPES!$K$5:$K$2000,MATCH(F573,SCOPES!$A$5:$A$2000,0)),"UNMATCHED"))</f>
        <v/>
      </c>
    </row>
    <row r="574" ht="21.75" customHeight="1" s="130">
      <c r="J574" s="107">
        <f>IF(OR(B574&lt;&gt;"WorkPackage",D574&lt;&gt;"tracks_scope",E574&lt;&gt;"Scope",F574=""),"",IFERROR(INDEX(SCOPES!$K$5:$K$2000,MATCH(F574,SCOPES!$A$5:$A$2000,0)),"UNMATCHED"))</f>
        <v/>
      </c>
    </row>
    <row r="575" ht="21.75" customHeight="1" s="130">
      <c r="J575" s="107">
        <f>IF(OR(B575&lt;&gt;"WorkPackage",D575&lt;&gt;"tracks_scope",E575&lt;&gt;"Scope",F575=""),"",IFERROR(INDEX(SCOPES!$K$5:$K$2000,MATCH(F575,SCOPES!$A$5:$A$2000,0)),"UNMATCHED"))</f>
        <v/>
      </c>
    </row>
    <row r="576" ht="21.75" customHeight="1" s="130">
      <c r="J576" s="107">
        <f>IF(OR(B576&lt;&gt;"WorkPackage",D576&lt;&gt;"tracks_scope",E576&lt;&gt;"Scope",F576=""),"",IFERROR(INDEX(SCOPES!$K$5:$K$2000,MATCH(F576,SCOPES!$A$5:$A$2000,0)),"UNMATCHED"))</f>
        <v/>
      </c>
    </row>
    <row r="577" ht="21.75" customHeight="1" s="130">
      <c r="J577" s="107">
        <f>IF(OR(B577&lt;&gt;"WorkPackage",D577&lt;&gt;"tracks_scope",E577&lt;&gt;"Scope",F577=""),"",IFERROR(INDEX(SCOPES!$K$5:$K$2000,MATCH(F577,SCOPES!$A$5:$A$2000,0)),"UNMATCHED"))</f>
        <v/>
      </c>
    </row>
    <row r="578" ht="21.75" customHeight="1" s="130">
      <c r="J578" s="107">
        <f>IF(OR(B578&lt;&gt;"WorkPackage",D578&lt;&gt;"tracks_scope",E578&lt;&gt;"Scope",F578=""),"",IFERROR(INDEX(SCOPES!$K$5:$K$2000,MATCH(F578,SCOPES!$A$5:$A$2000,0)),"UNMATCHED"))</f>
        <v/>
      </c>
    </row>
    <row r="579" ht="21.75" customHeight="1" s="130">
      <c r="J579" s="107">
        <f>IF(OR(B579&lt;&gt;"WorkPackage",D579&lt;&gt;"tracks_scope",E579&lt;&gt;"Scope",F579=""),"",IFERROR(INDEX(SCOPES!$K$5:$K$2000,MATCH(F579,SCOPES!$A$5:$A$2000,0)),"UNMATCHED"))</f>
        <v/>
      </c>
    </row>
    <row r="580" ht="21.75" customHeight="1" s="130">
      <c r="J580" s="107">
        <f>IF(OR(B580&lt;&gt;"WorkPackage",D580&lt;&gt;"tracks_scope",E580&lt;&gt;"Scope",F580=""),"",IFERROR(INDEX(SCOPES!$K$5:$K$2000,MATCH(F580,SCOPES!$A$5:$A$2000,0)),"UNMATCHED"))</f>
        <v/>
      </c>
    </row>
    <row r="581" ht="21.75" customHeight="1" s="130">
      <c r="J581" s="107">
        <f>IF(OR(B581&lt;&gt;"WorkPackage",D581&lt;&gt;"tracks_scope",E581&lt;&gt;"Scope",F581=""),"",IFERROR(INDEX(SCOPES!$K$5:$K$2000,MATCH(F581,SCOPES!$A$5:$A$2000,0)),"UNMATCHED"))</f>
        <v/>
      </c>
    </row>
    <row r="582" ht="21.75" customHeight="1" s="130">
      <c r="J582" s="107">
        <f>IF(OR(B582&lt;&gt;"WorkPackage",D582&lt;&gt;"tracks_scope",E582&lt;&gt;"Scope",F582=""),"",IFERROR(INDEX(SCOPES!$K$5:$K$2000,MATCH(F582,SCOPES!$A$5:$A$2000,0)),"UNMATCHED"))</f>
        <v/>
      </c>
    </row>
    <row r="583" ht="21.75" customHeight="1" s="130">
      <c r="J583" s="107">
        <f>IF(OR(B583&lt;&gt;"WorkPackage",D583&lt;&gt;"tracks_scope",E583&lt;&gt;"Scope",F583=""),"",IFERROR(INDEX(SCOPES!$K$5:$K$2000,MATCH(F583,SCOPES!$A$5:$A$2000,0)),"UNMATCHED"))</f>
        <v/>
      </c>
    </row>
    <row r="584" ht="21.75" customHeight="1" s="130">
      <c r="J584" s="107">
        <f>IF(OR(B584&lt;&gt;"WorkPackage",D584&lt;&gt;"tracks_scope",E584&lt;&gt;"Scope",F584=""),"",IFERROR(INDEX(SCOPES!$K$5:$K$2000,MATCH(F584,SCOPES!$A$5:$A$2000,0)),"UNMATCHED"))</f>
        <v/>
      </c>
    </row>
    <row r="585" ht="21.75" customHeight="1" s="130">
      <c r="J585" s="107">
        <f>IF(OR(B585&lt;&gt;"WorkPackage",D585&lt;&gt;"tracks_scope",E585&lt;&gt;"Scope",F585=""),"",IFERROR(INDEX(SCOPES!$K$5:$K$2000,MATCH(F585,SCOPES!$A$5:$A$2000,0)),"UNMATCHED"))</f>
        <v/>
      </c>
    </row>
    <row r="586" ht="21.75" customHeight="1" s="130">
      <c r="J586" s="107">
        <f>IF(OR(B586&lt;&gt;"WorkPackage",D586&lt;&gt;"tracks_scope",E586&lt;&gt;"Scope",F586=""),"",IFERROR(INDEX(SCOPES!$K$5:$K$2000,MATCH(F586,SCOPES!$A$5:$A$2000,0)),"UNMATCHED"))</f>
        <v/>
      </c>
    </row>
    <row r="587" ht="21.75" customHeight="1" s="130">
      <c r="J587" s="107">
        <f>IF(OR(B587&lt;&gt;"WorkPackage",D587&lt;&gt;"tracks_scope",E587&lt;&gt;"Scope",F587=""),"",IFERROR(INDEX(SCOPES!$K$5:$K$2000,MATCH(F587,SCOPES!$A$5:$A$2000,0)),"UNMATCHED"))</f>
        <v/>
      </c>
    </row>
    <row r="588" ht="21.75" customHeight="1" s="130">
      <c r="J588" s="107">
        <f>IF(OR(B588&lt;&gt;"WorkPackage",D588&lt;&gt;"tracks_scope",E588&lt;&gt;"Scope",F588=""),"",IFERROR(INDEX(SCOPES!$K$5:$K$2000,MATCH(F588,SCOPES!$A$5:$A$2000,0)),"UNMATCHED"))</f>
        <v/>
      </c>
    </row>
    <row r="589" ht="21.75" customHeight="1" s="130">
      <c r="J589" s="107">
        <f>IF(OR(B589&lt;&gt;"WorkPackage",D589&lt;&gt;"tracks_scope",E589&lt;&gt;"Scope",F589=""),"",IFERROR(INDEX(SCOPES!$K$5:$K$2000,MATCH(F589,SCOPES!$A$5:$A$2000,0)),"UNMATCHED"))</f>
        <v/>
      </c>
    </row>
    <row r="590" ht="21.75" customHeight="1" s="130">
      <c r="J590" s="107">
        <f>IF(OR(B590&lt;&gt;"WorkPackage",D590&lt;&gt;"tracks_scope",E590&lt;&gt;"Scope",F590=""),"",IFERROR(INDEX(SCOPES!$K$5:$K$2000,MATCH(F590,SCOPES!$A$5:$A$2000,0)),"UNMATCHED"))</f>
        <v/>
      </c>
    </row>
    <row r="591" ht="21.75" customHeight="1" s="130">
      <c r="J591" s="107">
        <f>IF(OR(B591&lt;&gt;"WorkPackage",D591&lt;&gt;"tracks_scope",E591&lt;&gt;"Scope",F591=""),"",IFERROR(INDEX(SCOPES!$K$5:$K$2000,MATCH(F591,SCOPES!$A$5:$A$2000,0)),"UNMATCHED"))</f>
        <v/>
      </c>
    </row>
    <row r="592" ht="21.75" customHeight="1" s="130">
      <c r="J592" s="107">
        <f>IF(OR(B592&lt;&gt;"WorkPackage",D592&lt;&gt;"tracks_scope",E592&lt;&gt;"Scope",F592=""),"",IFERROR(INDEX(SCOPES!$K$5:$K$2000,MATCH(F592,SCOPES!$A$5:$A$2000,0)),"UNMATCHED"))</f>
        <v/>
      </c>
    </row>
    <row r="593" ht="21.75" customHeight="1" s="130">
      <c r="J593" s="107">
        <f>IF(OR(B593&lt;&gt;"WorkPackage",D593&lt;&gt;"tracks_scope",E593&lt;&gt;"Scope",F593=""),"",IFERROR(INDEX(SCOPES!$K$5:$K$2000,MATCH(F593,SCOPES!$A$5:$A$2000,0)),"UNMATCHED"))</f>
        <v/>
      </c>
    </row>
    <row r="594" ht="21.75" customHeight="1" s="130">
      <c r="J594" s="107">
        <f>IF(OR(B594&lt;&gt;"WorkPackage",D594&lt;&gt;"tracks_scope",E594&lt;&gt;"Scope",F594=""),"",IFERROR(INDEX(SCOPES!$K$5:$K$2000,MATCH(F594,SCOPES!$A$5:$A$2000,0)),"UNMATCHED"))</f>
        <v/>
      </c>
    </row>
    <row r="595" ht="21.75" customHeight="1" s="130">
      <c r="J595" s="107">
        <f>IF(OR(B595&lt;&gt;"WorkPackage",D595&lt;&gt;"tracks_scope",E595&lt;&gt;"Scope",F595=""),"",IFERROR(INDEX(SCOPES!$K$5:$K$2000,MATCH(F595,SCOPES!$A$5:$A$2000,0)),"UNMATCHED"))</f>
        <v/>
      </c>
    </row>
    <row r="596" ht="21.75" customHeight="1" s="130">
      <c r="J596" s="107">
        <f>IF(OR(B596&lt;&gt;"WorkPackage",D596&lt;&gt;"tracks_scope",E596&lt;&gt;"Scope",F596=""),"",IFERROR(INDEX(SCOPES!$K$5:$K$2000,MATCH(F596,SCOPES!$A$5:$A$2000,0)),"UNMATCHED"))</f>
        <v/>
      </c>
    </row>
    <row r="597" ht="21.75" customHeight="1" s="130">
      <c r="J597" s="107">
        <f>IF(OR(B597&lt;&gt;"WorkPackage",D597&lt;&gt;"tracks_scope",E597&lt;&gt;"Scope",F597=""),"",IFERROR(INDEX(SCOPES!$K$5:$K$2000,MATCH(F597,SCOPES!$A$5:$A$2000,0)),"UNMATCHED"))</f>
        <v/>
      </c>
    </row>
    <row r="598" ht="21.75" customHeight="1" s="130">
      <c r="J598" s="107">
        <f>IF(OR(B598&lt;&gt;"WorkPackage",D598&lt;&gt;"tracks_scope",E598&lt;&gt;"Scope",F598=""),"",IFERROR(INDEX(SCOPES!$K$5:$K$2000,MATCH(F598,SCOPES!$A$5:$A$2000,0)),"UNMATCHED"))</f>
        <v/>
      </c>
    </row>
    <row r="599" ht="21.75" customHeight="1" s="130">
      <c r="J599" s="107">
        <f>IF(OR(B599&lt;&gt;"WorkPackage",D599&lt;&gt;"tracks_scope",E599&lt;&gt;"Scope",F599=""),"",IFERROR(INDEX(SCOPES!$K$5:$K$2000,MATCH(F599,SCOPES!$A$5:$A$2000,0)),"UNMATCHED"))</f>
        <v/>
      </c>
    </row>
    <row r="600" ht="21.75" customHeight="1" s="130">
      <c r="J600" s="107">
        <f>IF(OR(B600&lt;&gt;"WorkPackage",D600&lt;&gt;"tracks_scope",E600&lt;&gt;"Scope",F600=""),"",IFERROR(INDEX(SCOPES!$K$5:$K$2000,MATCH(F600,SCOPES!$A$5:$A$2000,0)),"UNMATCHED"))</f>
        <v/>
      </c>
    </row>
    <row r="601" ht="21.75" customHeight="1" s="130">
      <c r="J601" s="107">
        <f>IF(OR(B601&lt;&gt;"WorkPackage",D601&lt;&gt;"tracks_scope",E601&lt;&gt;"Scope",F601=""),"",IFERROR(INDEX(SCOPES!$K$5:$K$2000,MATCH(F601,SCOPES!$A$5:$A$2000,0)),"UNMATCHED"))</f>
        <v/>
      </c>
    </row>
    <row r="602" ht="21.75" customHeight="1" s="130">
      <c r="J602" s="107">
        <f>IF(OR(B602&lt;&gt;"WorkPackage",D602&lt;&gt;"tracks_scope",E602&lt;&gt;"Scope",F602=""),"",IFERROR(INDEX(SCOPES!$K$5:$K$2000,MATCH(F602,SCOPES!$A$5:$A$2000,0)),"UNMATCHED"))</f>
        <v/>
      </c>
    </row>
    <row r="603" ht="21.75" customHeight="1" s="130">
      <c r="J603" s="107">
        <f>IF(OR(B603&lt;&gt;"WorkPackage",D603&lt;&gt;"tracks_scope",E603&lt;&gt;"Scope",F603=""),"",IFERROR(INDEX(SCOPES!$K$5:$K$2000,MATCH(F603,SCOPES!$A$5:$A$2000,0)),"UNMATCHED"))</f>
        <v/>
      </c>
    </row>
    <row r="604" ht="21.75" customHeight="1" s="130">
      <c r="J604" s="107">
        <f>IF(OR(B604&lt;&gt;"WorkPackage",D604&lt;&gt;"tracks_scope",E604&lt;&gt;"Scope",F604=""),"",IFERROR(INDEX(SCOPES!$K$5:$K$2000,MATCH(F604,SCOPES!$A$5:$A$2000,0)),"UNMATCHED"))</f>
        <v/>
      </c>
    </row>
    <row r="605" ht="21.75" customHeight="1" s="130">
      <c r="J605" s="107">
        <f>IF(OR(B605&lt;&gt;"WorkPackage",D605&lt;&gt;"tracks_scope",E605&lt;&gt;"Scope",F605=""),"",IFERROR(INDEX(SCOPES!$K$5:$K$2000,MATCH(F605,SCOPES!$A$5:$A$2000,0)),"UNMATCHED"))</f>
        <v/>
      </c>
    </row>
    <row r="606" ht="21.75" customHeight="1" s="130">
      <c r="J606" s="107">
        <f>IF(OR(B606&lt;&gt;"WorkPackage",D606&lt;&gt;"tracks_scope",E606&lt;&gt;"Scope",F606=""),"",IFERROR(INDEX(SCOPES!$K$5:$K$2000,MATCH(F606,SCOPES!$A$5:$A$2000,0)),"UNMATCHED"))</f>
        <v/>
      </c>
    </row>
    <row r="607" ht="21.75" customHeight="1" s="130">
      <c r="J607" s="107">
        <f>IF(OR(B607&lt;&gt;"WorkPackage",D607&lt;&gt;"tracks_scope",E607&lt;&gt;"Scope",F607=""),"",IFERROR(INDEX(SCOPES!$K$5:$K$2000,MATCH(F607,SCOPES!$A$5:$A$2000,0)),"UNMATCHED"))</f>
        <v/>
      </c>
    </row>
    <row r="608" ht="21.75" customHeight="1" s="130">
      <c r="J608" s="107">
        <f>IF(OR(B608&lt;&gt;"WorkPackage",D608&lt;&gt;"tracks_scope",E608&lt;&gt;"Scope",F608=""),"",IFERROR(INDEX(SCOPES!$K$5:$K$2000,MATCH(F608,SCOPES!$A$5:$A$2000,0)),"UNMATCHED"))</f>
        <v/>
      </c>
    </row>
    <row r="609" ht="21.75" customHeight="1" s="130">
      <c r="J609" s="107">
        <f>IF(OR(B609&lt;&gt;"WorkPackage",D609&lt;&gt;"tracks_scope",E609&lt;&gt;"Scope",F609=""),"",IFERROR(INDEX(SCOPES!$K$5:$K$2000,MATCH(F609,SCOPES!$A$5:$A$2000,0)),"UNMATCHED"))</f>
        <v/>
      </c>
    </row>
    <row r="610" ht="21.75" customHeight="1" s="130">
      <c r="J610" s="107">
        <f>IF(OR(B610&lt;&gt;"WorkPackage",D610&lt;&gt;"tracks_scope",E610&lt;&gt;"Scope",F610=""),"",IFERROR(INDEX(SCOPES!$K$5:$K$2000,MATCH(F610,SCOPES!$A$5:$A$2000,0)),"UNMATCHED"))</f>
        <v/>
      </c>
    </row>
    <row r="611" ht="21.75" customHeight="1" s="130">
      <c r="J611" s="107">
        <f>IF(OR(B611&lt;&gt;"WorkPackage",D611&lt;&gt;"tracks_scope",E611&lt;&gt;"Scope",F611=""),"",IFERROR(INDEX(SCOPES!$K$5:$K$2000,MATCH(F611,SCOPES!$A$5:$A$2000,0)),"UNMATCHED"))</f>
        <v/>
      </c>
    </row>
    <row r="612" ht="21.75" customHeight="1" s="130">
      <c r="J612" s="107">
        <f>IF(OR(B612&lt;&gt;"WorkPackage",D612&lt;&gt;"tracks_scope",E612&lt;&gt;"Scope",F612=""),"",IFERROR(INDEX(SCOPES!$K$5:$K$2000,MATCH(F612,SCOPES!$A$5:$A$2000,0)),"UNMATCHED"))</f>
        <v/>
      </c>
    </row>
    <row r="613" ht="21.75" customHeight="1" s="130">
      <c r="J613" s="107">
        <f>IF(OR(B613&lt;&gt;"WorkPackage",D613&lt;&gt;"tracks_scope",E613&lt;&gt;"Scope",F613=""),"",IFERROR(INDEX(SCOPES!$K$5:$K$2000,MATCH(F613,SCOPES!$A$5:$A$2000,0)),"UNMATCHED"))</f>
        <v/>
      </c>
    </row>
    <row r="614" ht="21.75" customHeight="1" s="130">
      <c r="J614" s="107">
        <f>IF(OR(B614&lt;&gt;"WorkPackage",D614&lt;&gt;"tracks_scope",E614&lt;&gt;"Scope",F614=""),"",IFERROR(INDEX(SCOPES!$K$5:$K$2000,MATCH(F614,SCOPES!$A$5:$A$2000,0)),"UNMATCHED"))</f>
        <v/>
      </c>
    </row>
    <row r="615" ht="21.75" customHeight="1" s="130">
      <c r="J615" s="107">
        <f>IF(OR(B615&lt;&gt;"WorkPackage",D615&lt;&gt;"tracks_scope",E615&lt;&gt;"Scope",F615=""),"",IFERROR(INDEX(SCOPES!$K$5:$K$2000,MATCH(F615,SCOPES!$A$5:$A$2000,0)),"UNMATCHED"))</f>
        <v/>
      </c>
    </row>
    <row r="616" ht="21.75" customHeight="1" s="130">
      <c r="J616" s="107">
        <f>IF(OR(B616&lt;&gt;"WorkPackage",D616&lt;&gt;"tracks_scope",E616&lt;&gt;"Scope",F616=""),"",IFERROR(INDEX(SCOPES!$K$5:$K$2000,MATCH(F616,SCOPES!$A$5:$A$2000,0)),"UNMATCHED"))</f>
        <v/>
      </c>
    </row>
    <row r="617" ht="21.75" customHeight="1" s="130">
      <c r="J617" s="107">
        <f>IF(OR(B617&lt;&gt;"WorkPackage",D617&lt;&gt;"tracks_scope",E617&lt;&gt;"Scope",F617=""),"",IFERROR(INDEX(SCOPES!$K$5:$K$2000,MATCH(F617,SCOPES!$A$5:$A$2000,0)),"UNMATCHED"))</f>
        <v/>
      </c>
    </row>
    <row r="618" ht="21.75" customHeight="1" s="130">
      <c r="J618" s="107">
        <f>IF(OR(B618&lt;&gt;"WorkPackage",D618&lt;&gt;"tracks_scope",E618&lt;&gt;"Scope",F618=""),"",IFERROR(INDEX(SCOPES!$K$5:$K$2000,MATCH(F618,SCOPES!$A$5:$A$2000,0)),"UNMATCHED"))</f>
        <v/>
      </c>
    </row>
    <row r="619" ht="21.75" customHeight="1" s="130">
      <c r="J619" s="107">
        <f>IF(OR(B619&lt;&gt;"WorkPackage",D619&lt;&gt;"tracks_scope",E619&lt;&gt;"Scope",F619=""),"",IFERROR(INDEX(SCOPES!$K$5:$K$2000,MATCH(F619,SCOPES!$A$5:$A$2000,0)),"UNMATCHED"))</f>
        <v/>
      </c>
    </row>
    <row r="620" ht="21.75" customHeight="1" s="130">
      <c r="J620" s="107">
        <f>IF(OR(B620&lt;&gt;"WorkPackage",D620&lt;&gt;"tracks_scope",E620&lt;&gt;"Scope",F620=""),"",IFERROR(INDEX(SCOPES!$K$5:$K$2000,MATCH(F620,SCOPES!$A$5:$A$2000,0)),"UNMATCHED"))</f>
        <v/>
      </c>
    </row>
    <row r="621" ht="21.75" customHeight="1" s="130">
      <c r="J621" s="107">
        <f>IF(OR(B621&lt;&gt;"WorkPackage",D621&lt;&gt;"tracks_scope",E621&lt;&gt;"Scope",F621=""),"",IFERROR(INDEX(SCOPES!$K$5:$K$2000,MATCH(F621,SCOPES!$A$5:$A$2000,0)),"UNMATCHED"))</f>
        <v/>
      </c>
    </row>
    <row r="622" ht="21.75" customHeight="1" s="130">
      <c r="J622" s="107">
        <f>IF(OR(B622&lt;&gt;"WorkPackage",D622&lt;&gt;"tracks_scope",E622&lt;&gt;"Scope",F622=""),"",IFERROR(INDEX(SCOPES!$K$5:$K$2000,MATCH(F622,SCOPES!$A$5:$A$2000,0)),"UNMATCHED"))</f>
        <v/>
      </c>
    </row>
    <row r="623" ht="21.75" customHeight="1" s="130">
      <c r="J623" s="107">
        <f>IF(OR(B623&lt;&gt;"WorkPackage",D623&lt;&gt;"tracks_scope",E623&lt;&gt;"Scope",F623=""),"",IFERROR(INDEX(SCOPES!$K$5:$K$2000,MATCH(F623,SCOPES!$A$5:$A$2000,0)),"UNMATCHED"))</f>
        <v/>
      </c>
    </row>
    <row r="624" ht="21.75" customHeight="1" s="130">
      <c r="J624" s="107">
        <f>IF(OR(B624&lt;&gt;"WorkPackage",D624&lt;&gt;"tracks_scope",E624&lt;&gt;"Scope",F624=""),"",IFERROR(INDEX(SCOPES!$K$5:$K$2000,MATCH(F624,SCOPES!$A$5:$A$2000,0)),"UNMATCHED"))</f>
        <v/>
      </c>
    </row>
    <row r="625" ht="21.75" customHeight="1" s="130">
      <c r="J625" s="107">
        <f>IF(OR(B625&lt;&gt;"WorkPackage",D625&lt;&gt;"tracks_scope",E625&lt;&gt;"Scope",F625=""),"",IFERROR(INDEX(SCOPES!$K$5:$K$2000,MATCH(F625,SCOPES!$A$5:$A$2000,0)),"UNMATCHED"))</f>
        <v/>
      </c>
    </row>
    <row r="626" ht="21.75" customHeight="1" s="130">
      <c r="J626" s="107">
        <f>IF(OR(B626&lt;&gt;"WorkPackage",D626&lt;&gt;"tracks_scope",E626&lt;&gt;"Scope",F626=""),"",IFERROR(INDEX(SCOPES!$K$5:$K$2000,MATCH(F626,SCOPES!$A$5:$A$2000,0)),"UNMATCHED"))</f>
        <v/>
      </c>
    </row>
    <row r="627" ht="21.75" customHeight="1" s="130">
      <c r="J627" s="107">
        <f>IF(OR(B627&lt;&gt;"WorkPackage",D627&lt;&gt;"tracks_scope",E627&lt;&gt;"Scope",F627=""),"",IFERROR(INDEX(SCOPES!$K$5:$K$2000,MATCH(F627,SCOPES!$A$5:$A$2000,0)),"UNMATCHED"))</f>
        <v/>
      </c>
    </row>
    <row r="628" ht="21.75" customHeight="1" s="130">
      <c r="J628" s="107">
        <f>IF(OR(B628&lt;&gt;"WorkPackage",D628&lt;&gt;"tracks_scope",E628&lt;&gt;"Scope",F628=""),"",IFERROR(INDEX(SCOPES!$K$5:$K$2000,MATCH(F628,SCOPES!$A$5:$A$2000,0)),"UNMATCHED"))</f>
        <v/>
      </c>
    </row>
    <row r="629" ht="21.75" customHeight="1" s="130">
      <c r="J629" s="107">
        <f>IF(OR(B629&lt;&gt;"WorkPackage",D629&lt;&gt;"tracks_scope",E629&lt;&gt;"Scope",F629=""),"",IFERROR(INDEX(SCOPES!$K$5:$K$2000,MATCH(F629,SCOPES!$A$5:$A$2000,0)),"UNMATCHED"))</f>
        <v/>
      </c>
    </row>
    <row r="630" ht="21.75" customHeight="1" s="130">
      <c r="J630" s="107">
        <f>IF(OR(B630&lt;&gt;"WorkPackage",D630&lt;&gt;"tracks_scope",E630&lt;&gt;"Scope",F630=""),"",IFERROR(INDEX(SCOPES!$K$5:$K$2000,MATCH(F630,SCOPES!$A$5:$A$2000,0)),"UNMATCHED"))</f>
        <v/>
      </c>
    </row>
    <row r="631" ht="21.75" customHeight="1" s="130">
      <c r="J631" s="107">
        <f>IF(OR(B631&lt;&gt;"WorkPackage",D631&lt;&gt;"tracks_scope",E631&lt;&gt;"Scope",F631=""),"",IFERROR(INDEX(SCOPES!$K$5:$K$2000,MATCH(F631,SCOPES!$A$5:$A$2000,0)),"UNMATCHED"))</f>
        <v/>
      </c>
    </row>
    <row r="632" ht="21.75" customHeight="1" s="130">
      <c r="J632" s="107">
        <f>IF(OR(B632&lt;&gt;"WorkPackage",D632&lt;&gt;"tracks_scope",E632&lt;&gt;"Scope",F632=""),"",IFERROR(INDEX(SCOPES!$K$5:$K$2000,MATCH(F632,SCOPES!$A$5:$A$2000,0)),"UNMATCHED"))</f>
        <v/>
      </c>
    </row>
    <row r="633" ht="21.75" customHeight="1" s="130">
      <c r="J633" s="107">
        <f>IF(OR(B633&lt;&gt;"WorkPackage",D633&lt;&gt;"tracks_scope",E633&lt;&gt;"Scope",F633=""),"",IFERROR(INDEX(SCOPES!$K$5:$K$2000,MATCH(F633,SCOPES!$A$5:$A$2000,0)),"UNMATCHED"))</f>
        <v/>
      </c>
    </row>
    <row r="634" ht="21.75" customHeight="1" s="130">
      <c r="J634" s="107">
        <f>IF(OR(B634&lt;&gt;"WorkPackage",D634&lt;&gt;"tracks_scope",E634&lt;&gt;"Scope",F634=""),"",IFERROR(INDEX(SCOPES!$K$5:$K$2000,MATCH(F634,SCOPES!$A$5:$A$2000,0)),"UNMATCHED"))</f>
        <v/>
      </c>
    </row>
    <row r="635" ht="21.75" customHeight="1" s="130">
      <c r="J635" s="107">
        <f>IF(OR(B635&lt;&gt;"WorkPackage",D635&lt;&gt;"tracks_scope",E635&lt;&gt;"Scope",F635=""),"",IFERROR(INDEX(SCOPES!$K$5:$K$2000,MATCH(F635,SCOPES!$A$5:$A$2000,0)),"UNMATCHED"))</f>
        <v/>
      </c>
    </row>
    <row r="636" ht="21.75" customHeight="1" s="130">
      <c r="J636" s="107">
        <f>IF(OR(B636&lt;&gt;"WorkPackage",D636&lt;&gt;"tracks_scope",E636&lt;&gt;"Scope",F636=""),"",IFERROR(INDEX(SCOPES!$K$5:$K$2000,MATCH(F636,SCOPES!$A$5:$A$2000,0)),"UNMATCHED"))</f>
        <v/>
      </c>
    </row>
    <row r="637" ht="21.75" customHeight="1" s="130">
      <c r="J637" s="107">
        <f>IF(OR(B637&lt;&gt;"WorkPackage",D637&lt;&gt;"tracks_scope",E637&lt;&gt;"Scope",F637=""),"",IFERROR(INDEX(SCOPES!$K$5:$K$2000,MATCH(F637,SCOPES!$A$5:$A$2000,0)),"UNMATCHED"))</f>
        <v/>
      </c>
    </row>
    <row r="638" ht="21.75" customHeight="1" s="130">
      <c r="J638" s="107">
        <f>IF(OR(B638&lt;&gt;"WorkPackage",D638&lt;&gt;"tracks_scope",E638&lt;&gt;"Scope",F638=""),"",IFERROR(INDEX(SCOPES!$K$5:$K$2000,MATCH(F638,SCOPES!$A$5:$A$2000,0)),"UNMATCHED"))</f>
        <v/>
      </c>
    </row>
    <row r="639" ht="21.75" customHeight="1" s="130">
      <c r="J639" s="107">
        <f>IF(OR(B639&lt;&gt;"WorkPackage",D639&lt;&gt;"tracks_scope",E639&lt;&gt;"Scope",F639=""),"",IFERROR(INDEX(SCOPES!$K$5:$K$2000,MATCH(F639,SCOPES!$A$5:$A$2000,0)),"UNMATCHED"))</f>
        <v/>
      </c>
    </row>
    <row r="640" ht="21.75" customHeight="1" s="130">
      <c r="J640" s="107">
        <f>IF(OR(B640&lt;&gt;"WorkPackage",D640&lt;&gt;"tracks_scope",E640&lt;&gt;"Scope",F640=""),"",IFERROR(INDEX(SCOPES!$K$5:$K$2000,MATCH(F640,SCOPES!$A$5:$A$2000,0)),"UNMATCHED"))</f>
        <v/>
      </c>
    </row>
    <row r="641" ht="21.75" customHeight="1" s="130">
      <c r="J641" s="107">
        <f>IF(OR(B641&lt;&gt;"WorkPackage",D641&lt;&gt;"tracks_scope",E641&lt;&gt;"Scope",F641=""),"",IFERROR(INDEX(SCOPES!$K$5:$K$2000,MATCH(F641,SCOPES!$A$5:$A$2000,0)),"UNMATCHED"))</f>
        <v/>
      </c>
    </row>
    <row r="642" ht="21.75" customHeight="1" s="130">
      <c r="J642" s="107">
        <f>IF(OR(B642&lt;&gt;"WorkPackage",D642&lt;&gt;"tracks_scope",E642&lt;&gt;"Scope",F642=""),"",IFERROR(INDEX(SCOPES!$K$5:$K$2000,MATCH(F642,SCOPES!$A$5:$A$2000,0)),"UNMATCHED"))</f>
        <v/>
      </c>
    </row>
    <row r="643" ht="21.75" customHeight="1" s="130">
      <c r="J643" s="107">
        <f>IF(OR(B643&lt;&gt;"WorkPackage",D643&lt;&gt;"tracks_scope",E643&lt;&gt;"Scope",F643=""),"",IFERROR(INDEX(SCOPES!$K$5:$K$2000,MATCH(F643,SCOPES!$A$5:$A$2000,0)),"UNMATCHED"))</f>
        <v/>
      </c>
    </row>
    <row r="644" ht="21.75" customHeight="1" s="130">
      <c r="J644" s="107">
        <f>IF(OR(B644&lt;&gt;"WorkPackage",D644&lt;&gt;"tracks_scope",E644&lt;&gt;"Scope",F644=""),"",IFERROR(INDEX(SCOPES!$K$5:$K$2000,MATCH(F644,SCOPES!$A$5:$A$2000,0)),"UNMATCHED"))</f>
        <v/>
      </c>
    </row>
    <row r="645" ht="21.75" customHeight="1" s="130">
      <c r="J645" s="107">
        <f>IF(OR(B645&lt;&gt;"WorkPackage",D645&lt;&gt;"tracks_scope",E645&lt;&gt;"Scope",F645=""),"",IFERROR(INDEX(SCOPES!$K$5:$K$2000,MATCH(F645,SCOPES!$A$5:$A$2000,0)),"UNMATCHED"))</f>
        <v/>
      </c>
    </row>
    <row r="646" ht="21.75" customHeight="1" s="130">
      <c r="J646" s="107">
        <f>IF(OR(B646&lt;&gt;"WorkPackage",D646&lt;&gt;"tracks_scope",E646&lt;&gt;"Scope",F646=""),"",IFERROR(INDEX(SCOPES!$K$5:$K$2000,MATCH(F646,SCOPES!$A$5:$A$2000,0)),"UNMATCHED"))</f>
        <v/>
      </c>
    </row>
    <row r="647" ht="21.75" customHeight="1" s="130">
      <c r="J647" s="107">
        <f>IF(OR(B647&lt;&gt;"WorkPackage",D647&lt;&gt;"tracks_scope",E647&lt;&gt;"Scope",F647=""),"",IFERROR(INDEX(SCOPES!$K$5:$K$2000,MATCH(F647,SCOPES!$A$5:$A$2000,0)),"UNMATCHED"))</f>
        <v/>
      </c>
    </row>
    <row r="648" ht="21.75" customHeight="1" s="130">
      <c r="J648" s="107">
        <f>IF(OR(B648&lt;&gt;"WorkPackage",D648&lt;&gt;"tracks_scope",E648&lt;&gt;"Scope",F648=""),"",IFERROR(INDEX(SCOPES!$K$5:$K$2000,MATCH(F648,SCOPES!$A$5:$A$2000,0)),"UNMATCHED"))</f>
        <v/>
      </c>
    </row>
    <row r="649" ht="21.75" customHeight="1" s="130">
      <c r="J649" s="107">
        <f>IF(OR(B649&lt;&gt;"WorkPackage",D649&lt;&gt;"tracks_scope",E649&lt;&gt;"Scope",F649=""),"",IFERROR(INDEX(SCOPES!$K$5:$K$2000,MATCH(F649,SCOPES!$A$5:$A$2000,0)),"UNMATCHED"))</f>
        <v/>
      </c>
    </row>
    <row r="650" ht="21.75" customHeight="1" s="130">
      <c r="J650" s="107">
        <f>IF(OR(B650&lt;&gt;"WorkPackage",D650&lt;&gt;"tracks_scope",E650&lt;&gt;"Scope",F650=""),"",IFERROR(INDEX(SCOPES!$K$5:$K$2000,MATCH(F650,SCOPES!$A$5:$A$2000,0)),"UNMATCHED"))</f>
        <v/>
      </c>
    </row>
    <row r="651" ht="21.75" customHeight="1" s="130">
      <c r="J651" s="107">
        <f>IF(OR(B651&lt;&gt;"WorkPackage",D651&lt;&gt;"tracks_scope",E651&lt;&gt;"Scope",F651=""),"",IFERROR(INDEX(SCOPES!$K$5:$K$2000,MATCH(F651,SCOPES!$A$5:$A$2000,0)),"UNMATCHED"))</f>
        <v/>
      </c>
    </row>
    <row r="652" ht="21.75" customHeight="1" s="130">
      <c r="J652" s="107">
        <f>IF(OR(B652&lt;&gt;"WorkPackage",D652&lt;&gt;"tracks_scope",E652&lt;&gt;"Scope",F652=""),"",IFERROR(INDEX(SCOPES!$K$5:$K$2000,MATCH(F652,SCOPES!$A$5:$A$2000,0)),"UNMATCHED"))</f>
        <v/>
      </c>
    </row>
    <row r="653" ht="21.75" customHeight="1" s="130">
      <c r="J653" s="107">
        <f>IF(OR(B653&lt;&gt;"WorkPackage",D653&lt;&gt;"tracks_scope",E653&lt;&gt;"Scope",F653=""),"",IFERROR(INDEX(SCOPES!$K$5:$K$2000,MATCH(F653,SCOPES!$A$5:$A$2000,0)),"UNMATCHED"))</f>
        <v/>
      </c>
    </row>
    <row r="654" ht="21.75" customHeight="1" s="130">
      <c r="J654" s="107">
        <f>IF(OR(B654&lt;&gt;"WorkPackage",D654&lt;&gt;"tracks_scope",E654&lt;&gt;"Scope",F654=""),"",IFERROR(INDEX(SCOPES!$K$5:$K$2000,MATCH(F654,SCOPES!$A$5:$A$2000,0)),"UNMATCHED"))</f>
        <v/>
      </c>
    </row>
    <row r="655" ht="21.75" customHeight="1" s="130">
      <c r="J655" s="107">
        <f>IF(OR(B655&lt;&gt;"WorkPackage",D655&lt;&gt;"tracks_scope",E655&lt;&gt;"Scope",F655=""),"",IFERROR(INDEX(SCOPES!$K$5:$K$2000,MATCH(F655,SCOPES!$A$5:$A$2000,0)),"UNMATCHED"))</f>
        <v/>
      </c>
    </row>
    <row r="656" ht="21.75" customHeight="1" s="130">
      <c r="J656" s="107">
        <f>IF(OR(B656&lt;&gt;"WorkPackage",D656&lt;&gt;"tracks_scope",E656&lt;&gt;"Scope",F656=""),"",IFERROR(INDEX(SCOPES!$K$5:$K$2000,MATCH(F656,SCOPES!$A$5:$A$2000,0)),"UNMATCHED"))</f>
        <v/>
      </c>
    </row>
    <row r="657" ht="21.75" customHeight="1" s="130">
      <c r="J657" s="107">
        <f>IF(OR(B657&lt;&gt;"WorkPackage",D657&lt;&gt;"tracks_scope",E657&lt;&gt;"Scope",F657=""),"",IFERROR(INDEX(SCOPES!$K$5:$K$2000,MATCH(F657,SCOPES!$A$5:$A$2000,0)),"UNMATCHED"))</f>
        <v/>
      </c>
    </row>
    <row r="658" ht="21.75" customHeight="1" s="130">
      <c r="J658" s="107">
        <f>IF(OR(B658&lt;&gt;"WorkPackage",D658&lt;&gt;"tracks_scope",E658&lt;&gt;"Scope",F658=""),"",IFERROR(INDEX(SCOPES!$K$5:$K$2000,MATCH(F658,SCOPES!$A$5:$A$2000,0)),"UNMATCHED"))</f>
        <v/>
      </c>
    </row>
    <row r="659" ht="21.75" customHeight="1" s="130">
      <c r="J659" s="107">
        <f>IF(OR(B659&lt;&gt;"WorkPackage",D659&lt;&gt;"tracks_scope",E659&lt;&gt;"Scope",F659=""),"",IFERROR(INDEX(SCOPES!$K$5:$K$2000,MATCH(F659,SCOPES!$A$5:$A$2000,0)),"UNMATCHED"))</f>
        <v/>
      </c>
    </row>
    <row r="660" ht="21.75" customHeight="1" s="130">
      <c r="J660" s="107">
        <f>IF(OR(B660&lt;&gt;"WorkPackage",D660&lt;&gt;"tracks_scope",E660&lt;&gt;"Scope",F660=""),"",IFERROR(INDEX(SCOPES!$K$5:$K$2000,MATCH(F660,SCOPES!$A$5:$A$2000,0)),"UNMATCHED"))</f>
        <v/>
      </c>
    </row>
    <row r="661" ht="21.75" customHeight="1" s="130">
      <c r="J661" s="107">
        <f>IF(OR(B661&lt;&gt;"WorkPackage",D661&lt;&gt;"tracks_scope",E661&lt;&gt;"Scope",F661=""),"",IFERROR(INDEX(SCOPES!$K$5:$K$2000,MATCH(F661,SCOPES!$A$5:$A$2000,0)),"UNMATCHED"))</f>
        <v/>
      </c>
    </row>
    <row r="662" ht="21.75" customHeight="1" s="130">
      <c r="J662" s="107">
        <f>IF(OR(B662&lt;&gt;"WorkPackage",D662&lt;&gt;"tracks_scope",E662&lt;&gt;"Scope",F662=""),"",IFERROR(INDEX(SCOPES!$K$5:$K$2000,MATCH(F662,SCOPES!$A$5:$A$2000,0)),"UNMATCHED"))</f>
        <v/>
      </c>
    </row>
    <row r="663" ht="21.75" customHeight="1" s="130">
      <c r="J663" s="107">
        <f>IF(OR(B663&lt;&gt;"WorkPackage",D663&lt;&gt;"tracks_scope",E663&lt;&gt;"Scope",F663=""),"",IFERROR(INDEX(SCOPES!$K$5:$K$2000,MATCH(F663,SCOPES!$A$5:$A$2000,0)),"UNMATCHED"))</f>
        <v/>
      </c>
    </row>
    <row r="664" ht="21.75" customHeight="1" s="130">
      <c r="J664" s="107">
        <f>IF(OR(B664&lt;&gt;"WorkPackage",D664&lt;&gt;"tracks_scope",E664&lt;&gt;"Scope",F664=""),"",IFERROR(INDEX(SCOPES!$K$5:$K$2000,MATCH(F664,SCOPES!$A$5:$A$2000,0)),"UNMATCHED"))</f>
        <v/>
      </c>
    </row>
    <row r="665" ht="21.75" customHeight="1" s="130">
      <c r="J665" s="107">
        <f>IF(OR(B665&lt;&gt;"WorkPackage",D665&lt;&gt;"tracks_scope",E665&lt;&gt;"Scope",F665=""),"",IFERROR(INDEX(SCOPES!$K$5:$K$2000,MATCH(F665,SCOPES!$A$5:$A$2000,0)),"UNMATCHED"))</f>
        <v/>
      </c>
    </row>
    <row r="666" ht="21.75" customHeight="1" s="130">
      <c r="J666" s="107">
        <f>IF(OR(B666&lt;&gt;"WorkPackage",D666&lt;&gt;"tracks_scope",E666&lt;&gt;"Scope",F666=""),"",IFERROR(INDEX(SCOPES!$K$5:$K$2000,MATCH(F666,SCOPES!$A$5:$A$2000,0)),"UNMATCHED"))</f>
        <v/>
      </c>
    </row>
    <row r="667" ht="21.75" customHeight="1" s="130">
      <c r="J667" s="107">
        <f>IF(OR(B667&lt;&gt;"WorkPackage",D667&lt;&gt;"tracks_scope",E667&lt;&gt;"Scope",F667=""),"",IFERROR(INDEX(SCOPES!$K$5:$K$2000,MATCH(F667,SCOPES!$A$5:$A$2000,0)),"UNMATCHED"))</f>
        <v/>
      </c>
    </row>
    <row r="668" ht="21.75" customHeight="1" s="130">
      <c r="J668" s="107">
        <f>IF(OR(B668&lt;&gt;"WorkPackage",D668&lt;&gt;"tracks_scope",E668&lt;&gt;"Scope",F668=""),"",IFERROR(INDEX(SCOPES!$K$5:$K$2000,MATCH(F668,SCOPES!$A$5:$A$2000,0)),"UNMATCHED"))</f>
        <v/>
      </c>
    </row>
    <row r="669" ht="21.75" customHeight="1" s="130">
      <c r="J669" s="107">
        <f>IF(OR(B669&lt;&gt;"WorkPackage",D669&lt;&gt;"tracks_scope",E669&lt;&gt;"Scope",F669=""),"",IFERROR(INDEX(SCOPES!$K$5:$K$2000,MATCH(F669,SCOPES!$A$5:$A$2000,0)),"UNMATCHED"))</f>
        <v/>
      </c>
    </row>
    <row r="670" ht="21.75" customHeight="1" s="130">
      <c r="J670" s="107">
        <f>IF(OR(B670&lt;&gt;"WorkPackage",D670&lt;&gt;"tracks_scope",E670&lt;&gt;"Scope",F670=""),"",IFERROR(INDEX(SCOPES!$K$5:$K$2000,MATCH(F670,SCOPES!$A$5:$A$2000,0)),"UNMATCHED"))</f>
        <v/>
      </c>
    </row>
    <row r="671" ht="21.75" customHeight="1" s="130">
      <c r="J671" s="107">
        <f>IF(OR(B671&lt;&gt;"WorkPackage",D671&lt;&gt;"tracks_scope",E671&lt;&gt;"Scope",F671=""),"",IFERROR(INDEX(SCOPES!$K$5:$K$2000,MATCH(F671,SCOPES!$A$5:$A$2000,0)),"UNMATCHED"))</f>
        <v/>
      </c>
    </row>
    <row r="672" ht="21.75" customHeight="1" s="130">
      <c r="J672" s="107">
        <f>IF(OR(B672&lt;&gt;"WorkPackage",D672&lt;&gt;"tracks_scope",E672&lt;&gt;"Scope",F672=""),"",IFERROR(INDEX(SCOPES!$K$5:$K$2000,MATCH(F672,SCOPES!$A$5:$A$2000,0)),"UNMATCHED"))</f>
        <v/>
      </c>
    </row>
    <row r="673" ht="21.75" customHeight="1" s="130">
      <c r="J673" s="107">
        <f>IF(OR(B673&lt;&gt;"WorkPackage",D673&lt;&gt;"tracks_scope",E673&lt;&gt;"Scope",F673=""),"",IFERROR(INDEX(SCOPES!$K$5:$K$2000,MATCH(F673,SCOPES!$A$5:$A$2000,0)),"UNMATCHED"))</f>
        <v/>
      </c>
    </row>
    <row r="674" ht="21.75" customHeight="1" s="130">
      <c r="J674" s="107">
        <f>IF(OR(B674&lt;&gt;"WorkPackage",D674&lt;&gt;"tracks_scope",E674&lt;&gt;"Scope",F674=""),"",IFERROR(INDEX(SCOPES!$K$5:$K$2000,MATCH(F674,SCOPES!$A$5:$A$2000,0)),"UNMATCHED"))</f>
        <v/>
      </c>
    </row>
    <row r="675" ht="21.75" customHeight="1" s="130">
      <c r="J675" s="107">
        <f>IF(OR(B675&lt;&gt;"WorkPackage",D675&lt;&gt;"tracks_scope",E675&lt;&gt;"Scope",F675=""),"",IFERROR(INDEX(SCOPES!$K$5:$K$2000,MATCH(F675,SCOPES!$A$5:$A$2000,0)),"UNMATCHED"))</f>
        <v/>
      </c>
    </row>
    <row r="676" ht="21.75" customHeight="1" s="130">
      <c r="J676" s="107">
        <f>IF(OR(B676&lt;&gt;"WorkPackage",D676&lt;&gt;"tracks_scope",E676&lt;&gt;"Scope",F676=""),"",IFERROR(INDEX(SCOPES!$K$5:$K$2000,MATCH(F676,SCOPES!$A$5:$A$2000,0)),"UNMATCHED"))</f>
        <v/>
      </c>
    </row>
    <row r="677" ht="21.75" customHeight="1" s="130">
      <c r="J677" s="107">
        <f>IF(OR(B677&lt;&gt;"WorkPackage",D677&lt;&gt;"tracks_scope",E677&lt;&gt;"Scope",F677=""),"",IFERROR(INDEX(SCOPES!$K$5:$K$2000,MATCH(F677,SCOPES!$A$5:$A$2000,0)),"UNMATCHED"))</f>
        <v/>
      </c>
    </row>
    <row r="678" ht="21.75" customHeight="1" s="130">
      <c r="J678" s="107">
        <f>IF(OR(B678&lt;&gt;"WorkPackage",D678&lt;&gt;"tracks_scope",E678&lt;&gt;"Scope",F678=""),"",IFERROR(INDEX(SCOPES!$K$5:$K$2000,MATCH(F678,SCOPES!$A$5:$A$2000,0)),"UNMATCHED"))</f>
        <v/>
      </c>
    </row>
    <row r="679" ht="21.75" customHeight="1" s="130">
      <c r="J679" s="107">
        <f>IF(OR(B679&lt;&gt;"WorkPackage",D679&lt;&gt;"tracks_scope",E679&lt;&gt;"Scope",F679=""),"",IFERROR(INDEX(SCOPES!$K$5:$K$2000,MATCH(F679,SCOPES!$A$5:$A$2000,0)),"UNMATCHED"))</f>
        <v/>
      </c>
    </row>
    <row r="680" ht="21.75" customHeight="1" s="130">
      <c r="J680" s="107">
        <f>IF(OR(B680&lt;&gt;"WorkPackage",D680&lt;&gt;"tracks_scope",E680&lt;&gt;"Scope",F680=""),"",IFERROR(INDEX(SCOPES!$K$5:$K$2000,MATCH(F680,SCOPES!$A$5:$A$2000,0)),"UNMATCHED"))</f>
        <v/>
      </c>
    </row>
    <row r="681" ht="21.75" customHeight="1" s="130">
      <c r="J681" s="107">
        <f>IF(OR(B681&lt;&gt;"WorkPackage",D681&lt;&gt;"tracks_scope",E681&lt;&gt;"Scope",F681=""),"",IFERROR(INDEX(SCOPES!$K$5:$K$2000,MATCH(F681,SCOPES!$A$5:$A$2000,0)),"UNMATCHED"))</f>
        <v/>
      </c>
    </row>
    <row r="682" ht="21.75" customHeight="1" s="130">
      <c r="J682" s="107">
        <f>IF(OR(B682&lt;&gt;"WorkPackage",D682&lt;&gt;"tracks_scope",E682&lt;&gt;"Scope",F682=""),"",IFERROR(INDEX(SCOPES!$K$5:$K$2000,MATCH(F682,SCOPES!$A$5:$A$2000,0)),"UNMATCHED"))</f>
        <v/>
      </c>
    </row>
    <row r="683" ht="21.75" customHeight="1" s="130">
      <c r="J683" s="107">
        <f>IF(OR(B683&lt;&gt;"WorkPackage",D683&lt;&gt;"tracks_scope",E683&lt;&gt;"Scope",F683=""),"",IFERROR(INDEX(SCOPES!$K$5:$K$2000,MATCH(F683,SCOPES!$A$5:$A$2000,0)),"UNMATCHED"))</f>
        <v/>
      </c>
    </row>
    <row r="684" ht="21.75" customHeight="1" s="130">
      <c r="J684" s="107">
        <f>IF(OR(B684&lt;&gt;"WorkPackage",D684&lt;&gt;"tracks_scope",E684&lt;&gt;"Scope",F684=""),"",IFERROR(INDEX(SCOPES!$K$5:$K$2000,MATCH(F684,SCOPES!$A$5:$A$2000,0)),"UNMATCHED"))</f>
        <v/>
      </c>
    </row>
    <row r="685" ht="21.75" customHeight="1" s="130">
      <c r="J685" s="107">
        <f>IF(OR(B685&lt;&gt;"WorkPackage",D685&lt;&gt;"tracks_scope",E685&lt;&gt;"Scope",F685=""),"",IFERROR(INDEX(SCOPES!$K$5:$K$2000,MATCH(F685,SCOPES!$A$5:$A$2000,0)),"UNMATCHED"))</f>
        <v/>
      </c>
    </row>
    <row r="686" ht="21.75" customHeight="1" s="130">
      <c r="J686" s="107">
        <f>IF(OR(B686&lt;&gt;"WorkPackage",D686&lt;&gt;"tracks_scope",E686&lt;&gt;"Scope",F686=""),"",IFERROR(INDEX(SCOPES!$K$5:$K$2000,MATCH(F686,SCOPES!$A$5:$A$2000,0)),"UNMATCHED"))</f>
        <v/>
      </c>
    </row>
    <row r="687" ht="21.75" customHeight="1" s="130">
      <c r="J687" s="107">
        <f>IF(OR(B687&lt;&gt;"WorkPackage",D687&lt;&gt;"tracks_scope",E687&lt;&gt;"Scope",F687=""),"",IFERROR(INDEX(SCOPES!$K$5:$K$2000,MATCH(F687,SCOPES!$A$5:$A$2000,0)),"UNMATCHED"))</f>
        <v/>
      </c>
    </row>
    <row r="688" ht="21.75" customHeight="1" s="130">
      <c r="J688" s="107">
        <f>IF(OR(B688&lt;&gt;"WorkPackage",D688&lt;&gt;"tracks_scope",E688&lt;&gt;"Scope",F688=""),"",IFERROR(INDEX(SCOPES!$K$5:$K$2000,MATCH(F688,SCOPES!$A$5:$A$2000,0)),"UNMATCHED"))</f>
        <v/>
      </c>
    </row>
    <row r="689" ht="21.75" customHeight="1" s="130">
      <c r="J689" s="107">
        <f>IF(OR(B689&lt;&gt;"WorkPackage",D689&lt;&gt;"tracks_scope",E689&lt;&gt;"Scope",F689=""),"",IFERROR(INDEX(SCOPES!$K$5:$K$2000,MATCH(F689,SCOPES!$A$5:$A$2000,0)),"UNMATCHED"))</f>
        <v/>
      </c>
    </row>
    <row r="690" ht="21.75" customHeight="1" s="130">
      <c r="J690" s="107">
        <f>IF(OR(B690&lt;&gt;"WorkPackage",D690&lt;&gt;"tracks_scope",E690&lt;&gt;"Scope",F690=""),"",IFERROR(INDEX(SCOPES!$K$5:$K$2000,MATCH(F690,SCOPES!$A$5:$A$2000,0)),"UNMATCHED"))</f>
        <v/>
      </c>
    </row>
    <row r="691" ht="21.75" customHeight="1" s="130">
      <c r="J691" s="107">
        <f>IF(OR(B691&lt;&gt;"WorkPackage",D691&lt;&gt;"tracks_scope",E691&lt;&gt;"Scope",F691=""),"",IFERROR(INDEX(SCOPES!$K$5:$K$2000,MATCH(F691,SCOPES!$A$5:$A$2000,0)),"UNMATCHED"))</f>
        <v/>
      </c>
    </row>
    <row r="692" ht="21.75" customHeight="1" s="130">
      <c r="J692" s="107">
        <f>IF(OR(B692&lt;&gt;"WorkPackage",D692&lt;&gt;"tracks_scope",E692&lt;&gt;"Scope",F692=""),"",IFERROR(INDEX(SCOPES!$K$5:$K$2000,MATCH(F692,SCOPES!$A$5:$A$2000,0)),"UNMATCHED"))</f>
        <v/>
      </c>
    </row>
    <row r="693" ht="21.75" customHeight="1" s="130">
      <c r="J693" s="107">
        <f>IF(OR(B693&lt;&gt;"WorkPackage",D693&lt;&gt;"tracks_scope",E693&lt;&gt;"Scope",F693=""),"",IFERROR(INDEX(SCOPES!$K$5:$K$2000,MATCH(F693,SCOPES!$A$5:$A$2000,0)),"UNMATCHED"))</f>
        <v/>
      </c>
    </row>
    <row r="694" ht="21.75" customHeight="1" s="130">
      <c r="J694" s="107">
        <f>IF(OR(B694&lt;&gt;"WorkPackage",D694&lt;&gt;"tracks_scope",E694&lt;&gt;"Scope",F694=""),"",IFERROR(INDEX(SCOPES!$K$5:$K$2000,MATCH(F694,SCOPES!$A$5:$A$2000,0)),"UNMATCHED"))</f>
        <v/>
      </c>
    </row>
    <row r="695" ht="21.75" customHeight="1" s="130">
      <c r="J695" s="107">
        <f>IF(OR(B695&lt;&gt;"WorkPackage",D695&lt;&gt;"tracks_scope",E695&lt;&gt;"Scope",F695=""),"",IFERROR(INDEX(SCOPES!$K$5:$K$2000,MATCH(F695,SCOPES!$A$5:$A$2000,0)),"UNMATCHED"))</f>
        <v/>
      </c>
    </row>
    <row r="696" ht="21.75" customHeight="1" s="130">
      <c r="J696" s="107">
        <f>IF(OR(B696&lt;&gt;"WorkPackage",D696&lt;&gt;"tracks_scope",E696&lt;&gt;"Scope",F696=""),"",IFERROR(INDEX(SCOPES!$K$5:$K$2000,MATCH(F696,SCOPES!$A$5:$A$2000,0)),"UNMATCHED"))</f>
        <v/>
      </c>
    </row>
    <row r="697" ht="21.75" customHeight="1" s="130">
      <c r="J697" s="107">
        <f>IF(OR(B697&lt;&gt;"WorkPackage",D697&lt;&gt;"tracks_scope",E697&lt;&gt;"Scope",F697=""),"",IFERROR(INDEX(SCOPES!$K$5:$K$2000,MATCH(F697,SCOPES!$A$5:$A$2000,0)),"UNMATCHED"))</f>
        <v/>
      </c>
    </row>
    <row r="698" ht="21.75" customHeight="1" s="130">
      <c r="J698" s="107">
        <f>IF(OR(B698&lt;&gt;"WorkPackage",D698&lt;&gt;"tracks_scope",E698&lt;&gt;"Scope",F698=""),"",IFERROR(INDEX(SCOPES!$K$5:$K$2000,MATCH(F698,SCOPES!$A$5:$A$2000,0)),"UNMATCHED"))</f>
        <v/>
      </c>
    </row>
    <row r="699" ht="21.75" customHeight="1" s="130">
      <c r="J699" s="107">
        <f>IF(OR(B699&lt;&gt;"WorkPackage",D699&lt;&gt;"tracks_scope",E699&lt;&gt;"Scope",F699=""),"",IFERROR(INDEX(SCOPES!$K$5:$K$2000,MATCH(F699,SCOPES!$A$5:$A$2000,0)),"UNMATCHED"))</f>
        <v/>
      </c>
    </row>
    <row r="700" ht="21.75" customHeight="1" s="130">
      <c r="J700" s="107">
        <f>IF(OR(B700&lt;&gt;"WorkPackage",D700&lt;&gt;"tracks_scope",E700&lt;&gt;"Scope",F700=""),"",IFERROR(INDEX(SCOPES!$K$5:$K$2000,MATCH(F700,SCOPES!$A$5:$A$2000,0)),"UNMATCHED"))</f>
        <v/>
      </c>
    </row>
    <row r="701" ht="21.75" customHeight="1" s="130">
      <c r="J701" s="107">
        <f>IF(OR(B701&lt;&gt;"WorkPackage",D701&lt;&gt;"tracks_scope",E701&lt;&gt;"Scope",F701=""),"",IFERROR(INDEX(SCOPES!$K$5:$K$2000,MATCH(F701,SCOPES!$A$5:$A$2000,0)),"UNMATCHED"))</f>
        <v/>
      </c>
    </row>
    <row r="702" ht="21.75" customHeight="1" s="130">
      <c r="J702" s="107">
        <f>IF(OR(B702&lt;&gt;"WorkPackage",D702&lt;&gt;"tracks_scope",E702&lt;&gt;"Scope",F702=""),"",IFERROR(INDEX(SCOPES!$K$5:$K$2000,MATCH(F702,SCOPES!$A$5:$A$2000,0)),"UNMATCHED"))</f>
        <v/>
      </c>
    </row>
    <row r="703" ht="21.75" customHeight="1" s="130">
      <c r="J703" s="107">
        <f>IF(OR(B703&lt;&gt;"WorkPackage",D703&lt;&gt;"tracks_scope",E703&lt;&gt;"Scope",F703=""),"",IFERROR(INDEX(SCOPES!$K$5:$K$2000,MATCH(F703,SCOPES!$A$5:$A$2000,0)),"UNMATCHED"))</f>
        <v/>
      </c>
    </row>
    <row r="704" ht="21.75" customHeight="1" s="130">
      <c r="J704" s="107">
        <f>IF(OR(B704&lt;&gt;"WorkPackage",D704&lt;&gt;"tracks_scope",E704&lt;&gt;"Scope",F704=""),"",IFERROR(INDEX(SCOPES!$K$5:$K$2000,MATCH(F704,SCOPES!$A$5:$A$2000,0)),"UNMATCHED"))</f>
        <v/>
      </c>
    </row>
    <row r="705" ht="21.75" customHeight="1" s="130">
      <c r="J705" s="107">
        <f>IF(OR(B705&lt;&gt;"WorkPackage",D705&lt;&gt;"tracks_scope",E705&lt;&gt;"Scope",F705=""),"",IFERROR(INDEX(SCOPES!$K$5:$K$2000,MATCH(F705,SCOPES!$A$5:$A$2000,0)),"UNMATCHED"))</f>
        <v/>
      </c>
    </row>
    <row r="706" ht="21.75" customHeight="1" s="130">
      <c r="J706" s="107">
        <f>IF(OR(B706&lt;&gt;"WorkPackage",D706&lt;&gt;"tracks_scope",E706&lt;&gt;"Scope",F706=""),"",IFERROR(INDEX(SCOPES!$K$5:$K$2000,MATCH(F706,SCOPES!$A$5:$A$2000,0)),"UNMATCHED"))</f>
        <v/>
      </c>
    </row>
    <row r="707" ht="21.75" customHeight="1" s="130">
      <c r="J707" s="107">
        <f>IF(OR(B707&lt;&gt;"WorkPackage",D707&lt;&gt;"tracks_scope",E707&lt;&gt;"Scope",F707=""),"",IFERROR(INDEX(SCOPES!$K$5:$K$2000,MATCH(F707,SCOPES!$A$5:$A$2000,0)),"UNMATCHED"))</f>
        <v/>
      </c>
    </row>
    <row r="708" ht="21.75" customHeight="1" s="130">
      <c r="J708" s="107">
        <f>IF(OR(B708&lt;&gt;"WorkPackage",D708&lt;&gt;"tracks_scope",E708&lt;&gt;"Scope",F708=""),"",IFERROR(INDEX(SCOPES!$K$5:$K$2000,MATCH(F708,SCOPES!$A$5:$A$2000,0)),"UNMATCHED"))</f>
        <v/>
      </c>
    </row>
    <row r="709" ht="21.75" customHeight="1" s="130">
      <c r="J709" s="107">
        <f>IF(OR(B709&lt;&gt;"WorkPackage",D709&lt;&gt;"tracks_scope",E709&lt;&gt;"Scope",F709=""),"",IFERROR(INDEX(SCOPES!$K$5:$K$2000,MATCH(F709,SCOPES!$A$5:$A$2000,0)),"UNMATCHED"))</f>
        <v/>
      </c>
    </row>
    <row r="710" ht="21.75" customHeight="1" s="130">
      <c r="J710" s="107">
        <f>IF(OR(B710&lt;&gt;"WorkPackage",D710&lt;&gt;"tracks_scope",E710&lt;&gt;"Scope",F710=""),"",IFERROR(INDEX(SCOPES!$K$5:$K$2000,MATCH(F710,SCOPES!$A$5:$A$2000,0)),"UNMATCHED"))</f>
        <v/>
      </c>
    </row>
    <row r="711" ht="21.75" customHeight="1" s="130">
      <c r="J711" s="107">
        <f>IF(OR(B711&lt;&gt;"WorkPackage",D711&lt;&gt;"tracks_scope",E711&lt;&gt;"Scope",F711=""),"",IFERROR(INDEX(SCOPES!$K$5:$K$2000,MATCH(F711,SCOPES!$A$5:$A$2000,0)),"UNMATCHED"))</f>
        <v/>
      </c>
    </row>
    <row r="712" ht="21.75" customHeight="1" s="130">
      <c r="J712" s="107">
        <f>IF(OR(B712&lt;&gt;"WorkPackage",D712&lt;&gt;"tracks_scope",E712&lt;&gt;"Scope",F712=""),"",IFERROR(INDEX(SCOPES!$K$5:$K$2000,MATCH(F712,SCOPES!$A$5:$A$2000,0)),"UNMATCHED"))</f>
        <v/>
      </c>
    </row>
    <row r="713" ht="21.75" customHeight="1" s="130">
      <c r="J713" s="107">
        <f>IF(OR(B713&lt;&gt;"WorkPackage",D713&lt;&gt;"tracks_scope",E713&lt;&gt;"Scope",F713=""),"",IFERROR(INDEX(SCOPES!$K$5:$K$2000,MATCH(F713,SCOPES!$A$5:$A$2000,0)),"UNMATCHED"))</f>
        <v/>
      </c>
    </row>
    <row r="714" ht="21.75" customHeight="1" s="130">
      <c r="J714" s="107">
        <f>IF(OR(B714&lt;&gt;"WorkPackage",D714&lt;&gt;"tracks_scope",E714&lt;&gt;"Scope",F714=""),"",IFERROR(INDEX(SCOPES!$K$5:$K$2000,MATCH(F714,SCOPES!$A$5:$A$2000,0)),"UNMATCHED"))</f>
        <v/>
      </c>
    </row>
    <row r="715" ht="21.75" customHeight="1" s="130">
      <c r="J715" s="107">
        <f>IF(OR(B715&lt;&gt;"WorkPackage",D715&lt;&gt;"tracks_scope",E715&lt;&gt;"Scope",F715=""),"",IFERROR(INDEX(SCOPES!$K$5:$K$2000,MATCH(F715,SCOPES!$A$5:$A$2000,0)),"UNMATCHED"))</f>
        <v/>
      </c>
    </row>
    <row r="716" ht="21.75" customHeight="1" s="130">
      <c r="J716" s="107">
        <f>IF(OR(B716&lt;&gt;"WorkPackage",D716&lt;&gt;"tracks_scope",E716&lt;&gt;"Scope",F716=""),"",IFERROR(INDEX(SCOPES!$K$5:$K$2000,MATCH(F716,SCOPES!$A$5:$A$2000,0)),"UNMATCHED"))</f>
        <v/>
      </c>
    </row>
    <row r="717" ht="21.75" customHeight="1" s="130">
      <c r="J717" s="107">
        <f>IF(OR(B717&lt;&gt;"WorkPackage",D717&lt;&gt;"tracks_scope",E717&lt;&gt;"Scope",F717=""),"",IFERROR(INDEX(SCOPES!$K$5:$K$2000,MATCH(F717,SCOPES!$A$5:$A$2000,0)),"UNMATCHED"))</f>
        <v/>
      </c>
    </row>
    <row r="718" ht="21.75" customHeight="1" s="130">
      <c r="J718" s="107">
        <f>IF(OR(B718&lt;&gt;"WorkPackage",D718&lt;&gt;"tracks_scope",E718&lt;&gt;"Scope",F718=""),"",IFERROR(INDEX(SCOPES!$K$5:$K$2000,MATCH(F718,SCOPES!$A$5:$A$2000,0)),"UNMATCHED"))</f>
        <v/>
      </c>
    </row>
    <row r="719" ht="21.75" customHeight="1" s="130">
      <c r="J719" s="107">
        <f>IF(OR(B719&lt;&gt;"WorkPackage",D719&lt;&gt;"tracks_scope",E719&lt;&gt;"Scope",F719=""),"",IFERROR(INDEX(SCOPES!$K$5:$K$2000,MATCH(F719,SCOPES!$A$5:$A$2000,0)),"UNMATCHED"))</f>
        <v/>
      </c>
    </row>
    <row r="720" ht="21.75" customHeight="1" s="130">
      <c r="J720" s="107">
        <f>IF(OR(B720&lt;&gt;"WorkPackage",D720&lt;&gt;"tracks_scope",E720&lt;&gt;"Scope",F720=""),"",IFERROR(INDEX(SCOPES!$K$5:$K$2000,MATCH(F720,SCOPES!$A$5:$A$2000,0)),"UNMATCHED"))</f>
        <v/>
      </c>
    </row>
    <row r="721" ht="21.75" customHeight="1" s="130">
      <c r="J721" s="107">
        <f>IF(OR(B721&lt;&gt;"WorkPackage",D721&lt;&gt;"tracks_scope",E721&lt;&gt;"Scope",F721=""),"",IFERROR(INDEX(SCOPES!$K$5:$K$2000,MATCH(F721,SCOPES!$A$5:$A$2000,0)),"UNMATCHED"))</f>
        <v/>
      </c>
    </row>
    <row r="722" ht="21.75" customHeight="1" s="130">
      <c r="J722" s="107">
        <f>IF(OR(B722&lt;&gt;"WorkPackage",D722&lt;&gt;"tracks_scope",E722&lt;&gt;"Scope",F722=""),"",IFERROR(INDEX(SCOPES!$K$5:$K$2000,MATCH(F722,SCOPES!$A$5:$A$2000,0)),"UNMATCHED"))</f>
        <v/>
      </c>
    </row>
    <row r="723" ht="21.75" customHeight="1" s="130">
      <c r="J723" s="107">
        <f>IF(OR(B723&lt;&gt;"WorkPackage",D723&lt;&gt;"tracks_scope",E723&lt;&gt;"Scope",F723=""),"",IFERROR(INDEX(SCOPES!$K$5:$K$2000,MATCH(F723,SCOPES!$A$5:$A$2000,0)),"UNMATCHED"))</f>
        <v/>
      </c>
    </row>
    <row r="724" ht="21.75" customHeight="1" s="130">
      <c r="J724" s="107">
        <f>IF(OR(B724&lt;&gt;"WorkPackage",D724&lt;&gt;"tracks_scope",E724&lt;&gt;"Scope",F724=""),"",IFERROR(INDEX(SCOPES!$K$5:$K$2000,MATCH(F724,SCOPES!$A$5:$A$2000,0)),"UNMATCHED"))</f>
        <v/>
      </c>
    </row>
    <row r="725" ht="21.75" customHeight="1" s="130">
      <c r="J725" s="107">
        <f>IF(OR(B725&lt;&gt;"WorkPackage",D725&lt;&gt;"tracks_scope",E725&lt;&gt;"Scope",F725=""),"",IFERROR(INDEX(SCOPES!$K$5:$K$2000,MATCH(F725,SCOPES!$A$5:$A$2000,0)),"UNMATCHED"))</f>
        <v/>
      </c>
    </row>
    <row r="726" ht="21.75" customHeight="1" s="130">
      <c r="J726" s="107">
        <f>IF(OR(B726&lt;&gt;"WorkPackage",D726&lt;&gt;"tracks_scope",E726&lt;&gt;"Scope",F726=""),"",IFERROR(INDEX(SCOPES!$K$5:$K$2000,MATCH(F726,SCOPES!$A$5:$A$2000,0)),"UNMATCHED"))</f>
        <v/>
      </c>
    </row>
    <row r="727" ht="21.75" customHeight="1" s="130">
      <c r="J727" s="107">
        <f>IF(OR(B727&lt;&gt;"WorkPackage",D727&lt;&gt;"tracks_scope",E727&lt;&gt;"Scope",F727=""),"",IFERROR(INDEX(SCOPES!$K$5:$K$2000,MATCH(F727,SCOPES!$A$5:$A$2000,0)),"UNMATCHED"))</f>
        <v/>
      </c>
    </row>
    <row r="728" ht="21.75" customHeight="1" s="130">
      <c r="J728" s="107">
        <f>IF(OR(B728&lt;&gt;"WorkPackage",D728&lt;&gt;"tracks_scope",E728&lt;&gt;"Scope",F728=""),"",IFERROR(INDEX(SCOPES!$K$5:$K$2000,MATCH(F728,SCOPES!$A$5:$A$2000,0)),"UNMATCHED"))</f>
        <v/>
      </c>
    </row>
    <row r="729" ht="21.75" customHeight="1" s="130">
      <c r="J729" s="107">
        <f>IF(OR(B729&lt;&gt;"WorkPackage",D729&lt;&gt;"tracks_scope",E729&lt;&gt;"Scope",F729=""),"",IFERROR(INDEX(SCOPES!$K$5:$K$2000,MATCH(F729,SCOPES!$A$5:$A$2000,0)),"UNMATCHED"))</f>
        <v/>
      </c>
    </row>
    <row r="730" ht="21.75" customHeight="1" s="130">
      <c r="J730" s="107">
        <f>IF(OR(B730&lt;&gt;"WorkPackage",D730&lt;&gt;"tracks_scope",E730&lt;&gt;"Scope",F730=""),"",IFERROR(INDEX(SCOPES!$K$5:$K$2000,MATCH(F730,SCOPES!$A$5:$A$2000,0)),"UNMATCHED"))</f>
        <v/>
      </c>
    </row>
    <row r="731" ht="21.75" customHeight="1" s="130">
      <c r="J731" s="107">
        <f>IF(OR(B731&lt;&gt;"WorkPackage",D731&lt;&gt;"tracks_scope",E731&lt;&gt;"Scope",F731=""),"",IFERROR(INDEX(SCOPES!$K$5:$K$2000,MATCH(F731,SCOPES!$A$5:$A$2000,0)),"UNMATCHED"))</f>
        <v/>
      </c>
    </row>
    <row r="732" ht="21.75" customHeight="1" s="130">
      <c r="J732" s="107">
        <f>IF(OR(B732&lt;&gt;"WorkPackage",D732&lt;&gt;"tracks_scope",E732&lt;&gt;"Scope",F732=""),"",IFERROR(INDEX(SCOPES!$K$5:$K$2000,MATCH(F732,SCOPES!$A$5:$A$2000,0)),"UNMATCHED"))</f>
        <v/>
      </c>
    </row>
    <row r="733" ht="21.75" customHeight="1" s="130">
      <c r="J733" s="107">
        <f>IF(OR(B733&lt;&gt;"WorkPackage",D733&lt;&gt;"tracks_scope",E733&lt;&gt;"Scope",F733=""),"",IFERROR(INDEX(SCOPES!$K$5:$K$2000,MATCH(F733,SCOPES!$A$5:$A$2000,0)),"UNMATCHED"))</f>
        <v/>
      </c>
    </row>
    <row r="734" ht="21.75" customHeight="1" s="130">
      <c r="J734" s="107">
        <f>IF(OR(B734&lt;&gt;"WorkPackage",D734&lt;&gt;"tracks_scope",E734&lt;&gt;"Scope",F734=""),"",IFERROR(INDEX(SCOPES!$K$5:$K$2000,MATCH(F734,SCOPES!$A$5:$A$2000,0)),"UNMATCHED"))</f>
        <v/>
      </c>
    </row>
    <row r="735" ht="21.75" customHeight="1" s="130">
      <c r="J735" s="107">
        <f>IF(OR(B735&lt;&gt;"WorkPackage",D735&lt;&gt;"tracks_scope",E735&lt;&gt;"Scope",F735=""),"",IFERROR(INDEX(SCOPES!$K$5:$K$2000,MATCH(F735,SCOPES!$A$5:$A$2000,0)),"UNMATCHED"))</f>
        <v/>
      </c>
    </row>
    <row r="736" ht="21.75" customHeight="1" s="130">
      <c r="J736" s="107">
        <f>IF(OR(B736&lt;&gt;"WorkPackage",D736&lt;&gt;"tracks_scope",E736&lt;&gt;"Scope",F736=""),"",IFERROR(INDEX(SCOPES!$K$5:$K$2000,MATCH(F736,SCOPES!$A$5:$A$2000,0)),"UNMATCHED"))</f>
        <v/>
      </c>
    </row>
    <row r="737" ht="21.75" customHeight="1" s="130">
      <c r="J737" s="107">
        <f>IF(OR(B737&lt;&gt;"WorkPackage",D737&lt;&gt;"tracks_scope",E737&lt;&gt;"Scope",F737=""),"",IFERROR(INDEX(SCOPES!$K$5:$K$2000,MATCH(F737,SCOPES!$A$5:$A$2000,0)),"UNMATCHED"))</f>
        <v/>
      </c>
    </row>
    <row r="738" ht="21.75" customHeight="1" s="130">
      <c r="J738" s="107">
        <f>IF(OR(B738&lt;&gt;"WorkPackage",D738&lt;&gt;"tracks_scope",E738&lt;&gt;"Scope",F738=""),"",IFERROR(INDEX(SCOPES!$K$5:$K$2000,MATCH(F738,SCOPES!$A$5:$A$2000,0)),"UNMATCHED"))</f>
        <v/>
      </c>
    </row>
    <row r="739" ht="21.75" customHeight="1" s="130">
      <c r="J739" s="107">
        <f>IF(OR(B739&lt;&gt;"WorkPackage",D739&lt;&gt;"tracks_scope",E739&lt;&gt;"Scope",F739=""),"",IFERROR(INDEX(SCOPES!$K$5:$K$2000,MATCH(F739,SCOPES!$A$5:$A$2000,0)),"UNMATCHED"))</f>
        <v/>
      </c>
    </row>
    <row r="740" ht="21.75" customHeight="1" s="130">
      <c r="J740" s="107">
        <f>IF(OR(B740&lt;&gt;"WorkPackage",D740&lt;&gt;"tracks_scope",E740&lt;&gt;"Scope",F740=""),"",IFERROR(INDEX(SCOPES!$K$5:$K$2000,MATCH(F740,SCOPES!$A$5:$A$2000,0)),"UNMATCHED"))</f>
        <v/>
      </c>
    </row>
    <row r="741" ht="21.75" customHeight="1" s="130">
      <c r="J741" s="107">
        <f>IF(OR(B741&lt;&gt;"WorkPackage",D741&lt;&gt;"tracks_scope",E741&lt;&gt;"Scope",F741=""),"",IFERROR(INDEX(SCOPES!$K$5:$K$2000,MATCH(F741,SCOPES!$A$5:$A$2000,0)),"UNMATCHED"))</f>
        <v/>
      </c>
    </row>
    <row r="742" ht="21.75" customHeight="1" s="130">
      <c r="J742" s="107">
        <f>IF(OR(B742&lt;&gt;"WorkPackage",D742&lt;&gt;"tracks_scope",E742&lt;&gt;"Scope",F742=""),"",IFERROR(INDEX(SCOPES!$K$5:$K$2000,MATCH(F742,SCOPES!$A$5:$A$2000,0)),"UNMATCHED"))</f>
        <v/>
      </c>
    </row>
    <row r="743" ht="21.75" customHeight="1" s="130">
      <c r="J743" s="107">
        <f>IF(OR(B743&lt;&gt;"WorkPackage",D743&lt;&gt;"tracks_scope",E743&lt;&gt;"Scope",F743=""),"",IFERROR(INDEX(SCOPES!$K$5:$K$2000,MATCH(F743,SCOPES!$A$5:$A$2000,0)),"UNMATCHED"))</f>
        <v/>
      </c>
    </row>
    <row r="744" ht="21.75" customHeight="1" s="130">
      <c r="J744" s="107">
        <f>IF(OR(B744&lt;&gt;"WorkPackage",D744&lt;&gt;"tracks_scope",E744&lt;&gt;"Scope",F744=""),"",IFERROR(INDEX(SCOPES!$K$5:$K$2000,MATCH(F744,SCOPES!$A$5:$A$2000,0)),"UNMATCHED"))</f>
        <v/>
      </c>
    </row>
    <row r="745" ht="21.75" customHeight="1" s="130">
      <c r="J745" s="107">
        <f>IF(OR(B745&lt;&gt;"WorkPackage",D745&lt;&gt;"tracks_scope",E745&lt;&gt;"Scope",F745=""),"",IFERROR(INDEX(SCOPES!$K$5:$K$2000,MATCH(F745,SCOPES!$A$5:$A$2000,0)),"UNMATCHED"))</f>
        <v/>
      </c>
    </row>
    <row r="746" ht="21.75" customHeight="1" s="130">
      <c r="J746" s="107">
        <f>IF(OR(B746&lt;&gt;"WorkPackage",D746&lt;&gt;"tracks_scope",E746&lt;&gt;"Scope",F746=""),"",IFERROR(INDEX(SCOPES!$K$5:$K$2000,MATCH(F746,SCOPES!$A$5:$A$2000,0)),"UNMATCHED"))</f>
        <v/>
      </c>
    </row>
    <row r="747" ht="21.75" customHeight="1" s="130">
      <c r="J747" s="107">
        <f>IF(OR(B747&lt;&gt;"WorkPackage",D747&lt;&gt;"tracks_scope",E747&lt;&gt;"Scope",F747=""),"",IFERROR(INDEX(SCOPES!$K$5:$K$2000,MATCH(F747,SCOPES!$A$5:$A$2000,0)),"UNMATCHED"))</f>
        <v/>
      </c>
    </row>
    <row r="748" ht="21.75" customHeight="1" s="130">
      <c r="J748" s="107">
        <f>IF(OR(B748&lt;&gt;"WorkPackage",D748&lt;&gt;"tracks_scope",E748&lt;&gt;"Scope",F748=""),"",IFERROR(INDEX(SCOPES!$K$5:$K$2000,MATCH(F748,SCOPES!$A$5:$A$2000,0)),"UNMATCHED"))</f>
        <v/>
      </c>
    </row>
    <row r="749" ht="21.75" customHeight="1" s="130">
      <c r="J749" s="107">
        <f>IF(OR(B749&lt;&gt;"WorkPackage",D749&lt;&gt;"tracks_scope",E749&lt;&gt;"Scope",F749=""),"",IFERROR(INDEX(SCOPES!$K$5:$K$2000,MATCH(F749,SCOPES!$A$5:$A$2000,0)),"UNMATCHED"))</f>
        <v/>
      </c>
    </row>
    <row r="750" ht="21.75" customHeight="1" s="130">
      <c r="J750" s="107">
        <f>IF(OR(B750&lt;&gt;"WorkPackage",D750&lt;&gt;"tracks_scope",E750&lt;&gt;"Scope",F750=""),"",IFERROR(INDEX(SCOPES!$K$5:$K$2000,MATCH(F750,SCOPES!$A$5:$A$2000,0)),"UNMATCHED"))</f>
        <v/>
      </c>
    </row>
    <row r="751" ht="21.75" customHeight="1" s="130">
      <c r="J751" s="107">
        <f>IF(OR(B751&lt;&gt;"WorkPackage",D751&lt;&gt;"tracks_scope",E751&lt;&gt;"Scope",F751=""),"",IFERROR(INDEX(SCOPES!$K$5:$K$2000,MATCH(F751,SCOPES!$A$5:$A$2000,0)),"UNMATCHED"))</f>
        <v/>
      </c>
    </row>
    <row r="752" ht="21.75" customHeight="1" s="130">
      <c r="J752" s="107">
        <f>IF(OR(B752&lt;&gt;"WorkPackage",D752&lt;&gt;"tracks_scope",E752&lt;&gt;"Scope",F752=""),"",IFERROR(INDEX(SCOPES!$K$5:$K$2000,MATCH(F752,SCOPES!$A$5:$A$2000,0)),"UNMATCHED"))</f>
        <v/>
      </c>
    </row>
    <row r="753" ht="21.75" customHeight="1" s="130">
      <c r="J753" s="107">
        <f>IF(OR(B753&lt;&gt;"WorkPackage",D753&lt;&gt;"tracks_scope",E753&lt;&gt;"Scope",F753=""),"",IFERROR(INDEX(SCOPES!$K$5:$K$2000,MATCH(F753,SCOPES!$A$5:$A$2000,0)),"UNMATCHED"))</f>
        <v/>
      </c>
    </row>
    <row r="754" ht="21.75" customHeight="1" s="130">
      <c r="J754" s="107">
        <f>IF(OR(B754&lt;&gt;"WorkPackage",D754&lt;&gt;"tracks_scope",E754&lt;&gt;"Scope",F754=""),"",IFERROR(INDEX(SCOPES!$K$5:$K$2000,MATCH(F754,SCOPES!$A$5:$A$2000,0)),"UNMATCHED"))</f>
        <v/>
      </c>
    </row>
    <row r="755" ht="21.75" customHeight="1" s="130">
      <c r="J755" s="107">
        <f>IF(OR(B755&lt;&gt;"WorkPackage",D755&lt;&gt;"tracks_scope",E755&lt;&gt;"Scope",F755=""),"",IFERROR(INDEX(SCOPES!$K$5:$K$2000,MATCH(F755,SCOPES!$A$5:$A$2000,0)),"UNMATCHED"))</f>
        <v/>
      </c>
    </row>
    <row r="756" ht="21.75" customHeight="1" s="130">
      <c r="J756" s="107">
        <f>IF(OR(B756&lt;&gt;"WorkPackage",D756&lt;&gt;"tracks_scope",E756&lt;&gt;"Scope",F756=""),"",IFERROR(INDEX(SCOPES!$K$5:$K$2000,MATCH(F756,SCOPES!$A$5:$A$2000,0)),"UNMATCHED"))</f>
        <v/>
      </c>
    </row>
    <row r="757" ht="21.75" customHeight="1" s="130">
      <c r="J757" s="107">
        <f>IF(OR(B757&lt;&gt;"WorkPackage",D757&lt;&gt;"tracks_scope",E757&lt;&gt;"Scope",F757=""),"",IFERROR(INDEX(SCOPES!$K$5:$K$2000,MATCH(F757,SCOPES!$A$5:$A$2000,0)),"UNMATCHED"))</f>
        <v/>
      </c>
    </row>
    <row r="758" ht="21.75" customHeight="1" s="130">
      <c r="J758" s="107">
        <f>IF(OR(B758&lt;&gt;"WorkPackage",D758&lt;&gt;"tracks_scope",E758&lt;&gt;"Scope",F758=""),"",IFERROR(INDEX(SCOPES!$K$5:$K$2000,MATCH(F758,SCOPES!$A$5:$A$2000,0)),"UNMATCHED"))</f>
        <v/>
      </c>
    </row>
    <row r="759" ht="21.75" customHeight="1" s="130">
      <c r="J759" s="107">
        <f>IF(OR(B759&lt;&gt;"WorkPackage",D759&lt;&gt;"tracks_scope",E759&lt;&gt;"Scope",F759=""),"",IFERROR(INDEX(SCOPES!$K$5:$K$2000,MATCH(F759,SCOPES!$A$5:$A$2000,0)),"UNMATCHED"))</f>
        <v/>
      </c>
    </row>
    <row r="760" ht="21.75" customHeight="1" s="130">
      <c r="J760" s="107">
        <f>IF(OR(B760&lt;&gt;"WorkPackage",D760&lt;&gt;"tracks_scope",E760&lt;&gt;"Scope",F760=""),"",IFERROR(INDEX(SCOPES!$K$5:$K$2000,MATCH(F760,SCOPES!$A$5:$A$2000,0)),"UNMATCHED"))</f>
        <v/>
      </c>
    </row>
    <row r="761" ht="21.75" customHeight="1" s="130">
      <c r="J761" s="107">
        <f>IF(OR(B761&lt;&gt;"WorkPackage",D761&lt;&gt;"tracks_scope",E761&lt;&gt;"Scope",F761=""),"",IFERROR(INDEX(SCOPES!$K$5:$K$2000,MATCH(F761,SCOPES!$A$5:$A$2000,0)),"UNMATCHED"))</f>
        <v/>
      </c>
    </row>
    <row r="762" ht="21.75" customHeight="1" s="130">
      <c r="J762" s="107">
        <f>IF(OR(B762&lt;&gt;"WorkPackage",D762&lt;&gt;"tracks_scope",E762&lt;&gt;"Scope",F762=""),"",IFERROR(INDEX(SCOPES!$K$5:$K$2000,MATCH(F762,SCOPES!$A$5:$A$2000,0)),"UNMATCHED"))</f>
        <v/>
      </c>
    </row>
    <row r="763" ht="21.75" customHeight="1" s="130">
      <c r="J763" s="107">
        <f>IF(OR(B763&lt;&gt;"WorkPackage",D763&lt;&gt;"tracks_scope",E763&lt;&gt;"Scope",F763=""),"",IFERROR(INDEX(SCOPES!$K$5:$K$2000,MATCH(F763,SCOPES!$A$5:$A$2000,0)),"UNMATCHED"))</f>
        <v/>
      </c>
    </row>
    <row r="764" ht="21.75" customHeight="1" s="130">
      <c r="J764" s="107">
        <f>IF(OR(B764&lt;&gt;"WorkPackage",D764&lt;&gt;"tracks_scope",E764&lt;&gt;"Scope",F764=""),"",IFERROR(INDEX(SCOPES!$K$5:$K$2000,MATCH(F764,SCOPES!$A$5:$A$2000,0)),"UNMATCHED"))</f>
        <v/>
      </c>
    </row>
    <row r="765" ht="21.75" customHeight="1" s="130">
      <c r="J765" s="107">
        <f>IF(OR(B765&lt;&gt;"WorkPackage",D765&lt;&gt;"tracks_scope",E765&lt;&gt;"Scope",F765=""),"",IFERROR(INDEX(SCOPES!$K$5:$K$2000,MATCH(F765,SCOPES!$A$5:$A$2000,0)),"UNMATCHED"))</f>
        <v/>
      </c>
    </row>
    <row r="766" ht="21.75" customHeight="1" s="130">
      <c r="J766" s="107">
        <f>IF(OR(B766&lt;&gt;"WorkPackage",D766&lt;&gt;"tracks_scope",E766&lt;&gt;"Scope",F766=""),"",IFERROR(INDEX(SCOPES!$K$5:$K$2000,MATCH(F766,SCOPES!$A$5:$A$2000,0)),"UNMATCHED"))</f>
        <v/>
      </c>
    </row>
    <row r="767" ht="21.75" customHeight="1" s="130">
      <c r="J767" s="107">
        <f>IF(OR(B767&lt;&gt;"WorkPackage",D767&lt;&gt;"tracks_scope",E767&lt;&gt;"Scope",F767=""),"",IFERROR(INDEX(SCOPES!$K$5:$K$2000,MATCH(F767,SCOPES!$A$5:$A$2000,0)),"UNMATCHED"))</f>
        <v/>
      </c>
    </row>
    <row r="768" ht="21.75" customHeight="1" s="130">
      <c r="J768" s="107">
        <f>IF(OR(B768&lt;&gt;"WorkPackage",D768&lt;&gt;"tracks_scope",E768&lt;&gt;"Scope",F768=""),"",IFERROR(INDEX(SCOPES!$K$5:$K$2000,MATCH(F768,SCOPES!$A$5:$A$2000,0)),"UNMATCHED"))</f>
        <v/>
      </c>
    </row>
    <row r="769" ht="21.75" customHeight="1" s="130">
      <c r="J769" s="107">
        <f>IF(OR(B769&lt;&gt;"WorkPackage",D769&lt;&gt;"tracks_scope",E769&lt;&gt;"Scope",F769=""),"",IFERROR(INDEX(SCOPES!$K$5:$K$2000,MATCH(F769,SCOPES!$A$5:$A$2000,0)),"UNMATCHED"))</f>
        <v/>
      </c>
    </row>
    <row r="770" ht="21.75" customHeight="1" s="130">
      <c r="J770" s="107">
        <f>IF(OR(B770&lt;&gt;"WorkPackage",D770&lt;&gt;"tracks_scope",E770&lt;&gt;"Scope",F770=""),"",IFERROR(INDEX(SCOPES!$K$5:$K$2000,MATCH(F770,SCOPES!$A$5:$A$2000,0)),"UNMATCHED"))</f>
        <v/>
      </c>
    </row>
    <row r="771" ht="21.75" customHeight="1" s="130">
      <c r="J771" s="107">
        <f>IF(OR(B771&lt;&gt;"WorkPackage",D771&lt;&gt;"tracks_scope",E771&lt;&gt;"Scope",F771=""),"",IFERROR(INDEX(SCOPES!$K$5:$K$2000,MATCH(F771,SCOPES!$A$5:$A$2000,0)),"UNMATCHED"))</f>
        <v/>
      </c>
    </row>
    <row r="772" ht="21.75" customHeight="1" s="130">
      <c r="J772" s="107">
        <f>IF(OR(B772&lt;&gt;"WorkPackage",D772&lt;&gt;"tracks_scope",E772&lt;&gt;"Scope",F772=""),"",IFERROR(INDEX(SCOPES!$K$5:$K$2000,MATCH(F772,SCOPES!$A$5:$A$2000,0)),"UNMATCHED"))</f>
        <v/>
      </c>
    </row>
    <row r="773" ht="21.75" customHeight="1" s="130">
      <c r="J773" s="107">
        <f>IF(OR(B773&lt;&gt;"WorkPackage",D773&lt;&gt;"tracks_scope",E773&lt;&gt;"Scope",F773=""),"",IFERROR(INDEX(SCOPES!$K$5:$K$2000,MATCH(F773,SCOPES!$A$5:$A$2000,0)),"UNMATCHED"))</f>
        <v/>
      </c>
    </row>
    <row r="774" ht="21.75" customHeight="1" s="130">
      <c r="J774" s="107">
        <f>IF(OR(B774&lt;&gt;"WorkPackage",D774&lt;&gt;"tracks_scope",E774&lt;&gt;"Scope",F774=""),"",IFERROR(INDEX(SCOPES!$K$5:$K$2000,MATCH(F774,SCOPES!$A$5:$A$2000,0)),"UNMATCHED"))</f>
        <v/>
      </c>
    </row>
    <row r="775" ht="21.75" customHeight="1" s="130">
      <c r="J775" s="107">
        <f>IF(OR(B775&lt;&gt;"WorkPackage",D775&lt;&gt;"tracks_scope",E775&lt;&gt;"Scope",F775=""),"",IFERROR(INDEX(SCOPES!$K$5:$K$2000,MATCH(F775,SCOPES!$A$5:$A$2000,0)),"UNMATCHED"))</f>
        <v/>
      </c>
    </row>
    <row r="776" ht="21.75" customHeight="1" s="130">
      <c r="J776" s="107">
        <f>IF(OR(B776&lt;&gt;"WorkPackage",D776&lt;&gt;"tracks_scope",E776&lt;&gt;"Scope",F776=""),"",IFERROR(INDEX(SCOPES!$K$5:$K$2000,MATCH(F776,SCOPES!$A$5:$A$2000,0)),"UNMATCHED"))</f>
        <v/>
      </c>
    </row>
    <row r="777" ht="21.75" customHeight="1" s="130">
      <c r="J777" s="107">
        <f>IF(OR(B777&lt;&gt;"WorkPackage",D777&lt;&gt;"tracks_scope",E777&lt;&gt;"Scope",F777=""),"",IFERROR(INDEX(SCOPES!$K$5:$K$2000,MATCH(F777,SCOPES!$A$5:$A$2000,0)),"UNMATCHED"))</f>
        <v/>
      </c>
    </row>
    <row r="778" ht="21.75" customHeight="1" s="130">
      <c r="J778" s="107">
        <f>IF(OR(B778&lt;&gt;"WorkPackage",D778&lt;&gt;"tracks_scope",E778&lt;&gt;"Scope",F778=""),"",IFERROR(INDEX(SCOPES!$K$5:$K$2000,MATCH(F778,SCOPES!$A$5:$A$2000,0)),"UNMATCHED"))</f>
        <v/>
      </c>
    </row>
    <row r="779" ht="21.75" customHeight="1" s="130">
      <c r="J779" s="107">
        <f>IF(OR(B779&lt;&gt;"WorkPackage",D779&lt;&gt;"tracks_scope",E779&lt;&gt;"Scope",F779=""),"",IFERROR(INDEX(SCOPES!$K$5:$K$2000,MATCH(F779,SCOPES!$A$5:$A$2000,0)),"UNMATCHED"))</f>
        <v/>
      </c>
    </row>
    <row r="780" ht="21.75" customHeight="1" s="130">
      <c r="J780" s="107">
        <f>IF(OR(B780&lt;&gt;"WorkPackage",D780&lt;&gt;"tracks_scope",E780&lt;&gt;"Scope",F780=""),"",IFERROR(INDEX(SCOPES!$K$5:$K$2000,MATCH(F780,SCOPES!$A$5:$A$2000,0)),"UNMATCHED"))</f>
        <v/>
      </c>
    </row>
    <row r="781" ht="21.75" customHeight="1" s="130">
      <c r="J781" s="107">
        <f>IF(OR(B781&lt;&gt;"WorkPackage",D781&lt;&gt;"tracks_scope",E781&lt;&gt;"Scope",F781=""),"",IFERROR(INDEX(SCOPES!$K$5:$K$2000,MATCH(F781,SCOPES!$A$5:$A$2000,0)),"UNMATCHED"))</f>
        <v/>
      </c>
    </row>
    <row r="782" ht="21.75" customHeight="1" s="130">
      <c r="J782" s="107">
        <f>IF(OR(B782&lt;&gt;"WorkPackage",D782&lt;&gt;"tracks_scope",E782&lt;&gt;"Scope",F782=""),"",IFERROR(INDEX(SCOPES!$K$5:$K$2000,MATCH(F782,SCOPES!$A$5:$A$2000,0)),"UNMATCHED"))</f>
        <v/>
      </c>
    </row>
    <row r="783" ht="21.75" customHeight="1" s="130">
      <c r="J783" s="107">
        <f>IF(OR(B783&lt;&gt;"WorkPackage",D783&lt;&gt;"tracks_scope",E783&lt;&gt;"Scope",F783=""),"",IFERROR(INDEX(SCOPES!$K$5:$K$2000,MATCH(F783,SCOPES!$A$5:$A$2000,0)),"UNMATCHED"))</f>
        <v/>
      </c>
    </row>
    <row r="784" ht="21.75" customHeight="1" s="130">
      <c r="J784" s="107">
        <f>IF(OR(B784&lt;&gt;"WorkPackage",D784&lt;&gt;"tracks_scope",E784&lt;&gt;"Scope",F784=""),"",IFERROR(INDEX(SCOPES!$K$5:$K$2000,MATCH(F784,SCOPES!$A$5:$A$2000,0)),"UNMATCHED"))</f>
        <v/>
      </c>
    </row>
    <row r="785" ht="21.75" customHeight="1" s="130">
      <c r="J785" s="107">
        <f>IF(OR(B785&lt;&gt;"WorkPackage",D785&lt;&gt;"tracks_scope",E785&lt;&gt;"Scope",F785=""),"",IFERROR(INDEX(SCOPES!$K$5:$K$2000,MATCH(F785,SCOPES!$A$5:$A$2000,0)),"UNMATCHED"))</f>
        <v/>
      </c>
    </row>
    <row r="786" ht="21.75" customHeight="1" s="130">
      <c r="J786" s="107">
        <f>IF(OR(B786&lt;&gt;"WorkPackage",D786&lt;&gt;"tracks_scope",E786&lt;&gt;"Scope",F786=""),"",IFERROR(INDEX(SCOPES!$K$5:$K$2000,MATCH(F786,SCOPES!$A$5:$A$2000,0)),"UNMATCHED"))</f>
        <v/>
      </c>
    </row>
    <row r="787" ht="21.75" customHeight="1" s="130">
      <c r="J787" s="107">
        <f>IF(OR(B787&lt;&gt;"WorkPackage",D787&lt;&gt;"tracks_scope",E787&lt;&gt;"Scope",F787=""),"",IFERROR(INDEX(SCOPES!$K$5:$K$2000,MATCH(F787,SCOPES!$A$5:$A$2000,0)),"UNMATCHED"))</f>
        <v/>
      </c>
    </row>
    <row r="788" ht="21.75" customHeight="1" s="130">
      <c r="J788" s="107">
        <f>IF(OR(B788&lt;&gt;"WorkPackage",D788&lt;&gt;"tracks_scope",E788&lt;&gt;"Scope",F788=""),"",IFERROR(INDEX(SCOPES!$K$5:$K$2000,MATCH(F788,SCOPES!$A$5:$A$2000,0)),"UNMATCHED"))</f>
        <v/>
      </c>
    </row>
    <row r="789" ht="21.75" customHeight="1" s="130">
      <c r="J789" s="107">
        <f>IF(OR(B789&lt;&gt;"WorkPackage",D789&lt;&gt;"tracks_scope",E789&lt;&gt;"Scope",F789=""),"",IFERROR(INDEX(SCOPES!$K$5:$K$2000,MATCH(F789,SCOPES!$A$5:$A$2000,0)),"UNMATCHED"))</f>
        <v/>
      </c>
    </row>
    <row r="790" ht="21.75" customHeight="1" s="130">
      <c r="J790" s="107">
        <f>IF(OR(B790&lt;&gt;"WorkPackage",D790&lt;&gt;"tracks_scope",E790&lt;&gt;"Scope",F790=""),"",IFERROR(INDEX(SCOPES!$K$5:$K$2000,MATCH(F790,SCOPES!$A$5:$A$2000,0)),"UNMATCHED"))</f>
        <v/>
      </c>
    </row>
    <row r="791" ht="21.75" customHeight="1" s="130">
      <c r="J791" s="107">
        <f>IF(OR(B791&lt;&gt;"WorkPackage",D791&lt;&gt;"tracks_scope",E791&lt;&gt;"Scope",F791=""),"",IFERROR(INDEX(SCOPES!$K$5:$K$2000,MATCH(F791,SCOPES!$A$5:$A$2000,0)),"UNMATCHED"))</f>
        <v/>
      </c>
    </row>
    <row r="792" ht="21.75" customHeight="1" s="130">
      <c r="J792" s="107">
        <f>IF(OR(B792&lt;&gt;"WorkPackage",D792&lt;&gt;"tracks_scope",E792&lt;&gt;"Scope",F792=""),"",IFERROR(INDEX(SCOPES!$K$5:$K$2000,MATCH(F792,SCOPES!$A$5:$A$2000,0)),"UNMATCHED"))</f>
        <v/>
      </c>
    </row>
    <row r="793" ht="21.75" customHeight="1" s="130">
      <c r="J793" s="107">
        <f>IF(OR(B793&lt;&gt;"WorkPackage",D793&lt;&gt;"tracks_scope",E793&lt;&gt;"Scope",F793=""),"",IFERROR(INDEX(SCOPES!$K$5:$K$2000,MATCH(F793,SCOPES!$A$5:$A$2000,0)),"UNMATCHED"))</f>
        <v/>
      </c>
    </row>
    <row r="794" ht="21.75" customHeight="1" s="130">
      <c r="J794" s="107">
        <f>IF(OR(B794&lt;&gt;"WorkPackage",D794&lt;&gt;"tracks_scope",E794&lt;&gt;"Scope",F794=""),"",IFERROR(INDEX(SCOPES!$K$5:$K$2000,MATCH(F794,SCOPES!$A$5:$A$2000,0)),"UNMATCHED"))</f>
        <v/>
      </c>
    </row>
    <row r="795" ht="21.75" customHeight="1" s="130">
      <c r="J795" s="107">
        <f>IF(OR(B795&lt;&gt;"WorkPackage",D795&lt;&gt;"tracks_scope",E795&lt;&gt;"Scope",F795=""),"",IFERROR(INDEX(SCOPES!$K$5:$K$2000,MATCH(F795,SCOPES!$A$5:$A$2000,0)),"UNMATCHED"))</f>
        <v/>
      </c>
    </row>
    <row r="796" ht="21.75" customHeight="1" s="130">
      <c r="J796" s="107">
        <f>IF(OR(B796&lt;&gt;"WorkPackage",D796&lt;&gt;"tracks_scope",E796&lt;&gt;"Scope",F796=""),"",IFERROR(INDEX(SCOPES!$K$5:$K$2000,MATCH(F796,SCOPES!$A$5:$A$2000,0)),"UNMATCHED"))</f>
        <v/>
      </c>
    </row>
    <row r="797" ht="21.75" customHeight="1" s="130">
      <c r="J797" s="107">
        <f>IF(OR(B797&lt;&gt;"WorkPackage",D797&lt;&gt;"tracks_scope",E797&lt;&gt;"Scope",F797=""),"",IFERROR(INDEX(SCOPES!$K$5:$K$2000,MATCH(F797,SCOPES!$A$5:$A$2000,0)),"UNMATCHED"))</f>
        <v/>
      </c>
    </row>
    <row r="798" ht="21.75" customHeight="1" s="130">
      <c r="J798" s="107">
        <f>IF(OR(B798&lt;&gt;"WorkPackage",D798&lt;&gt;"tracks_scope",E798&lt;&gt;"Scope",F798=""),"",IFERROR(INDEX(SCOPES!$K$5:$K$2000,MATCH(F798,SCOPES!$A$5:$A$2000,0)),"UNMATCHED"))</f>
        <v/>
      </c>
    </row>
    <row r="799" ht="21.75" customHeight="1" s="130">
      <c r="J799" s="107">
        <f>IF(OR(B799&lt;&gt;"WorkPackage",D799&lt;&gt;"tracks_scope",E799&lt;&gt;"Scope",F799=""),"",IFERROR(INDEX(SCOPES!$K$5:$K$2000,MATCH(F799,SCOPES!$A$5:$A$2000,0)),"UNMATCHED"))</f>
        <v/>
      </c>
    </row>
    <row r="800" ht="21.75" customHeight="1" s="130">
      <c r="J800" s="107">
        <f>IF(OR(B800&lt;&gt;"WorkPackage",D800&lt;&gt;"tracks_scope",E800&lt;&gt;"Scope",F800=""),"",IFERROR(INDEX(SCOPES!$K$5:$K$2000,MATCH(F800,SCOPES!$A$5:$A$2000,0)),"UNMATCHED"))</f>
        <v/>
      </c>
    </row>
    <row r="801" ht="21.75" customHeight="1" s="130">
      <c r="J801" s="107">
        <f>IF(OR(B801&lt;&gt;"WorkPackage",D801&lt;&gt;"tracks_scope",E801&lt;&gt;"Scope",F801=""),"",IFERROR(INDEX(SCOPES!$K$5:$K$2000,MATCH(F801,SCOPES!$A$5:$A$2000,0)),"UNMATCHED"))</f>
        <v/>
      </c>
    </row>
    <row r="802" ht="21.75" customHeight="1" s="130">
      <c r="J802" s="107">
        <f>IF(OR(B802&lt;&gt;"WorkPackage",D802&lt;&gt;"tracks_scope",E802&lt;&gt;"Scope",F802=""),"",IFERROR(INDEX(SCOPES!$K$5:$K$2000,MATCH(F802,SCOPES!$A$5:$A$2000,0)),"UNMATCHED"))</f>
        <v/>
      </c>
    </row>
    <row r="803" ht="21.75" customHeight="1" s="130">
      <c r="J803" s="107">
        <f>IF(OR(B803&lt;&gt;"WorkPackage",D803&lt;&gt;"tracks_scope",E803&lt;&gt;"Scope",F803=""),"",IFERROR(INDEX(SCOPES!$K$5:$K$2000,MATCH(F803,SCOPES!$A$5:$A$2000,0)),"UNMATCHED"))</f>
        <v/>
      </c>
    </row>
    <row r="804" ht="21.75" customHeight="1" s="130">
      <c r="J804" s="107">
        <f>IF(OR(B804&lt;&gt;"WorkPackage",D804&lt;&gt;"tracks_scope",E804&lt;&gt;"Scope",F804=""),"",IFERROR(INDEX(SCOPES!$K$5:$K$2000,MATCH(F804,SCOPES!$A$5:$A$2000,0)),"UNMATCHED"))</f>
        <v/>
      </c>
    </row>
    <row r="805" ht="21.75" customHeight="1" s="130">
      <c r="J805" s="107">
        <f>IF(OR(B805&lt;&gt;"WorkPackage",D805&lt;&gt;"tracks_scope",E805&lt;&gt;"Scope",F805=""),"",IFERROR(INDEX(SCOPES!$K$5:$K$2000,MATCH(F805,SCOPES!$A$5:$A$2000,0)),"UNMATCHED"))</f>
        <v/>
      </c>
    </row>
    <row r="806" ht="21.75" customHeight="1" s="130">
      <c r="J806" s="107">
        <f>IF(OR(B806&lt;&gt;"WorkPackage",D806&lt;&gt;"tracks_scope",E806&lt;&gt;"Scope",F806=""),"",IFERROR(INDEX(SCOPES!$K$5:$K$2000,MATCH(F806,SCOPES!$A$5:$A$2000,0)),"UNMATCHED"))</f>
        <v/>
      </c>
    </row>
    <row r="807" ht="21.75" customHeight="1" s="130">
      <c r="J807" s="107">
        <f>IF(OR(B807&lt;&gt;"WorkPackage",D807&lt;&gt;"tracks_scope",E807&lt;&gt;"Scope",F807=""),"",IFERROR(INDEX(SCOPES!$K$5:$K$2000,MATCH(F807,SCOPES!$A$5:$A$2000,0)),"UNMATCHED"))</f>
        <v/>
      </c>
    </row>
    <row r="808" ht="21.75" customHeight="1" s="130">
      <c r="J808" s="107">
        <f>IF(OR(B808&lt;&gt;"WorkPackage",D808&lt;&gt;"tracks_scope",E808&lt;&gt;"Scope",F808=""),"",IFERROR(INDEX(SCOPES!$K$5:$K$2000,MATCH(F808,SCOPES!$A$5:$A$2000,0)),"UNMATCHED"))</f>
        <v/>
      </c>
    </row>
    <row r="809" ht="21.75" customHeight="1" s="130">
      <c r="J809" s="107">
        <f>IF(OR(B809&lt;&gt;"WorkPackage",D809&lt;&gt;"tracks_scope",E809&lt;&gt;"Scope",F809=""),"",IFERROR(INDEX(SCOPES!$K$5:$K$2000,MATCH(F809,SCOPES!$A$5:$A$2000,0)),"UNMATCHED"))</f>
        <v/>
      </c>
    </row>
    <row r="810" ht="21.75" customHeight="1" s="130">
      <c r="J810" s="107">
        <f>IF(OR(B810&lt;&gt;"WorkPackage",D810&lt;&gt;"tracks_scope",E810&lt;&gt;"Scope",F810=""),"",IFERROR(INDEX(SCOPES!$K$5:$K$2000,MATCH(F810,SCOPES!$A$5:$A$2000,0)),"UNMATCHED"))</f>
        <v/>
      </c>
    </row>
    <row r="811" ht="21.75" customHeight="1" s="130">
      <c r="J811" s="107">
        <f>IF(OR(B811&lt;&gt;"WorkPackage",D811&lt;&gt;"tracks_scope",E811&lt;&gt;"Scope",F811=""),"",IFERROR(INDEX(SCOPES!$K$5:$K$2000,MATCH(F811,SCOPES!$A$5:$A$2000,0)),"UNMATCHED"))</f>
        <v/>
      </c>
    </row>
    <row r="812" ht="21.75" customHeight="1" s="130">
      <c r="J812" s="107">
        <f>IF(OR(B812&lt;&gt;"WorkPackage",D812&lt;&gt;"tracks_scope",E812&lt;&gt;"Scope",F812=""),"",IFERROR(INDEX(SCOPES!$K$5:$K$2000,MATCH(F812,SCOPES!$A$5:$A$2000,0)),"UNMATCHED"))</f>
        <v/>
      </c>
    </row>
    <row r="813" ht="21.75" customHeight="1" s="130">
      <c r="J813" s="107">
        <f>IF(OR(B813&lt;&gt;"WorkPackage",D813&lt;&gt;"tracks_scope",E813&lt;&gt;"Scope",F813=""),"",IFERROR(INDEX(SCOPES!$K$5:$K$2000,MATCH(F813,SCOPES!$A$5:$A$2000,0)),"UNMATCHED"))</f>
        <v/>
      </c>
    </row>
    <row r="814" ht="21.75" customHeight="1" s="130">
      <c r="J814" s="107">
        <f>IF(OR(B814&lt;&gt;"WorkPackage",D814&lt;&gt;"tracks_scope",E814&lt;&gt;"Scope",F814=""),"",IFERROR(INDEX(SCOPES!$K$5:$K$2000,MATCH(F814,SCOPES!$A$5:$A$2000,0)),"UNMATCHED"))</f>
        <v/>
      </c>
    </row>
    <row r="815" ht="21.75" customHeight="1" s="130">
      <c r="J815" s="107">
        <f>IF(OR(B815&lt;&gt;"WorkPackage",D815&lt;&gt;"tracks_scope",E815&lt;&gt;"Scope",F815=""),"",IFERROR(INDEX(SCOPES!$K$5:$K$2000,MATCH(F815,SCOPES!$A$5:$A$2000,0)),"UNMATCHED"))</f>
        <v/>
      </c>
    </row>
    <row r="816" ht="21.75" customHeight="1" s="130">
      <c r="J816" s="107">
        <f>IF(OR(B816&lt;&gt;"WorkPackage",D816&lt;&gt;"tracks_scope",E816&lt;&gt;"Scope",F816=""),"",IFERROR(INDEX(SCOPES!$K$5:$K$2000,MATCH(F816,SCOPES!$A$5:$A$2000,0)),"UNMATCHED"))</f>
        <v/>
      </c>
    </row>
    <row r="817" ht="21.75" customHeight="1" s="130">
      <c r="J817" s="107">
        <f>IF(OR(B817&lt;&gt;"WorkPackage",D817&lt;&gt;"tracks_scope",E817&lt;&gt;"Scope",F817=""),"",IFERROR(INDEX(SCOPES!$K$5:$K$2000,MATCH(F817,SCOPES!$A$5:$A$2000,0)),"UNMATCHED"))</f>
        <v/>
      </c>
    </row>
    <row r="818" ht="21.75" customHeight="1" s="130">
      <c r="J818" s="107">
        <f>IF(OR(B818&lt;&gt;"WorkPackage",D818&lt;&gt;"tracks_scope",E818&lt;&gt;"Scope",F818=""),"",IFERROR(INDEX(SCOPES!$K$5:$K$2000,MATCH(F818,SCOPES!$A$5:$A$2000,0)),"UNMATCHED"))</f>
        <v/>
      </c>
    </row>
    <row r="819" ht="21.75" customHeight="1" s="130">
      <c r="J819" s="107">
        <f>IF(OR(B819&lt;&gt;"WorkPackage",D819&lt;&gt;"tracks_scope",E819&lt;&gt;"Scope",F819=""),"",IFERROR(INDEX(SCOPES!$K$5:$K$2000,MATCH(F819,SCOPES!$A$5:$A$2000,0)),"UNMATCHED"))</f>
        <v/>
      </c>
    </row>
    <row r="820" ht="21.75" customHeight="1" s="130">
      <c r="J820" s="107">
        <f>IF(OR(B820&lt;&gt;"WorkPackage",D820&lt;&gt;"tracks_scope",E820&lt;&gt;"Scope",F820=""),"",IFERROR(INDEX(SCOPES!$K$5:$K$2000,MATCH(F820,SCOPES!$A$5:$A$2000,0)),"UNMATCHED"))</f>
        <v/>
      </c>
    </row>
    <row r="821" ht="21.75" customHeight="1" s="130">
      <c r="J821" s="107">
        <f>IF(OR(B821&lt;&gt;"WorkPackage",D821&lt;&gt;"tracks_scope",E821&lt;&gt;"Scope",F821=""),"",IFERROR(INDEX(SCOPES!$K$5:$K$2000,MATCH(F821,SCOPES!$A$5:$A$2000,0)),"UNMATCHED"))</f>
        <v/>
      </c>
    </row>
    <row r="822" ht="21.75" customHeight="1" s="130">
      <c r="J822" s="107">
        <f>IF(OR(B822&lt;&gt;"WorkPackage",D822&lt;&gt;"tracks_scope",E822&lt;&gt;"Scope",F822=""),"",IFERROR(INDEX(SCOPES!$K$5:$K$2000,MATCH(F822,SCOPES!$A$5:$A$2000,0)),"UNMATCHED"))</f>
        <v/>
      </c>
    </row>
    <row r="823" ht="21.75" customHeight="1" s="130">
      <c r="J823" s="107">
        <f>IF(OR(B823&lt;&gt;"WorkPackage",D823&lt;&gt;"tracks_scope",E823&lt;&gt;"Scope",F823=""),"",IFERROR(INDEX(SCOPES!$K$5:$K$2000,MATCH(F823,SCOPES!$A$5:$A$2000,0)),"UNMATCHED"))</f>
        <v/>
      </c>
    </row>
    <row r="824" ht="21.75" customHeight="1" s="130">
      <c r="J824" s="107">
        <f>IF(OR(B824&lt;&gt;"WorkPackage",D824&lt;&gt;"tracks_scope",E824&lt;&gt;"Scope",F824=""),"",IFERROR(INDEX(SCOPES!$K$5:$K$2000,MATCH(F824,SCOPES!$A$5:$A$2000,0)),"UNMATCHED"))</f>
        <v/>
      </c>
    </row>
    <row r="825" ht="21.75" customHeight="1" s="130">
      <c r="J825" s="107">
        <f>IF(OR(B825&lt;&gt;"WorkPackage",D825&lt;&gt;"tracks_scope",E825&lt;&gt;"Scope",F825=""),"",IFERROR(INDEX(SCOPES!$K$5:$K$2000,MATCH(F825,SCOPES!$A$5:$A$2000,0)),"UNMATCHED"))</f>
        <v/>
      </c>
    </row>
    <row r="826" ht="21.75" customHeight="1" s="130">
      <c r="J826" s="107">
        <f>IF(OR(B826&lt;&gt;"WorkPackage",D826&lt;&gt;"tracks_scope",E826&lt;&gt;"Scope",F826=""),"",IFERROR(INDEX(SCOPES!$K$5:$K$2000,MATCH(F826,SCOPES!$A$5:$A$2000,0)),"UNMATCHED"))</f>
        <v/>
      </c>
    </row>
    <row r="827" ht="21.75" customHeight="1" s="130">
      <c r="J827" s="107">
        <f>IF(OR(B827&lt;&gt;"WorkPackage",D827&lt;&gt;"tracks_scope",E827&lt;&gt;"Scope",F827=""),"",IFERROR(INDEX(SCOPES!$K$5:$K$2000,MATCH(F827,SCOPES!$A$5:$A$2000,0)),"UNMATCHED"))</f>
        <v/>
      </c>
    </row>
    <row r="828" ht="21.75" customHeight="1" s="130">
      <c r="J828" s="107">
        <f>IF(OR(B828&lt;&gt;"WorkPackage",D828&lt;&gt;"tracks_scope",E828&lt;&gt;"Scope",F828=""),"",IFERROR(INDEX(SCOPES!$K$5:$K$2000,MATCH(F828,SCOPES!$A$5:$A$2000,0)),"UNMATCHED"))</f>
        <v/>
      </c>
    </row>
    <row r="829" ht="21.75" customHeight="1" s="130">
      <c r="J829" s="107">
        <f>IF(OR(B829&lt;&gt;"WorkPackage",D829&lt;&gt;"tracks_scope",E829&lt;&gt;"Scope",F829=""),"",IFERROR(INDEX(SCOPES!$K$5:$K$2000,MATCH(F829,SCOPES!$A$5:$A$2000,0)),"UNMATCHED"))</f>
        <v/>
      </c>
    </row>
    <row r="830" ht="21.75" customHeight="1" s="130">
      <c r="J830" s="107">
        <f>IF(OR(B830&lt;&gt;"WorkPackage",D830&lt;&gt;"tracks_scope",E830&lt;&gt;"Scope",F830=""),"",IFERROR(INDEX(SCOPES!$K$5:$K$2000,MATCH(F830,SCOPES!$A$5:$A$2000,0)),"UNMATCHED"))</f>
        <v/>
      </c>
    </row>
    <row r="831" ht="21.75" customHeight="1" s="130">
      <c r="J831" s="107">
        <f>IF(OR(B831&lt;&gt;"WorkPackage",D831&lt;&gt;"tracks_scope",E831&lt;&gt;"Scope",F831=""),"",IFERROR(INDEX(SCOPES!$K$5:$K$2000,MATCH(F831,SCOPES!$A$5:$A$2000,0)),"UNMATCHED"))</f>
        <v/>
      </c>
    </row>
    <row r="832" ht="21.75" customHeight="1" s="130">
      <c r="J832" s="107">
        <f>IF(OR(B832&lt;&gt;"WorkPackage",D832&lt;&gt;"tracks_scope",E832&lt;&gt;"Scope",F832=""),"",IFERROR(INDEX(SCOPES!$K$5:$K$2000,MATCH(F832,SCOPES!$A$5:$A$2000,0)),"UNMATCHED"))</f>
        <v/>
      </c>
    </row>
    <row r="833" ht="21.75" customHeight="1" s="130">
      <c r="J833" s="107">
        <f>IF(OR(B833&lt;&gt;"WorkPackage",D833&lt;&gt;"tracks_scope",E833&lt;&gt;"Scope",F833=""),"",IFERROR(INDEX(SCOPES!$K$5:$K$2000,MATCH(F833,SCOPES!$A$5:$A$2000,0)),"UNMATCHED"))</f>
        <v/>
      </c>
    </row>
    <row r="834" ht="21.75" customHeight="1" s="130">
      <c r="J834" s="107">
        <f>IF(OR(B834&lt;&gt;"WorkPackage",D834&lt;&gt;"tracks_scope",E834&lt;&gt;"Scope",F834=""),"",IFERROR(INDEX(SCOPES!$K$5:$K$2000,MATCH(F834,SCOPES!$A$5:$A$2000,0)),"UNMATCHED"))</f>
        <v/>
      </c>
    </row>
    <row r="835" ht="21.75" customHeight="1" s="130">
      <c r="J835" s="107">
        <f>IF(OR(B835&lt;&gt;"WorkPackage",D835&lt;&gt;"tracks_scope",E835&lt;&gt;"Scope",F835=""),"",IFERROR(INDEX(SCOPES!$K$5:$K$2000,MATCH(F835,SCOPES!$A$5:$A$2000,0)),"UNMATCHED"))</f>
        <v/>
      </c>
    </row>
    <row r="836" ht="21.75" customHeight="1" s="130">
      <c r="J836" s="107">
        <f>IF(OR(B836&lt;&gt;"WorkPackage",D836&lt;&gt;"tracks_scope",E836&lt;&gt;"Scope",F836=""),"",IFERROR(INDEX(SCOPES!$K$5:$K$2000,MATCH(F836,SCOPES!$A$5:$A$2000,0)),"UNMATCHED"))</f>
        <v/>
      </c>
    </row>
    <row r="837" ht="21.75" customHeight="1" s="130">
      <c r="J837" s="107">
        <f>IF(OR(B837&lt;&gt;"WorkPackage",D837&lt;&gt;"tracks_scope",E837&lt;&gt;"Scope",F837=""),"",IFERROR(INDEX(SCOPES!$K$5:$K$2000,MATCH(F837,SCOPES!$A$5:$A$2000,0)),"UNMATCHED"))</f>
        <v/>
      </c>
    </row>
    <row r="838" ht="21.75" customHeight="1" s="130">
      <c r="J838" s="107">
        <f>IF(OR(B838&lt;&gt;"WorkPackage",D838&lt;&gt;"tracks_scope",E838&lt;&gt;"Scope",F838=""),"",IFERROR(INDEX(SCOPES!$K$5:$K$2000,MATCH(F838,SCOPES!$A$5:$A$2000,0)),"UNMATCHED"))</f>
        <v/>
      </c>
    </row>
    <row r="839" ht="21.75" customHeight="1" s="130">
      <c r="J839" s="107">
        <f>IF(OR(B839&lt;&gt;"WorkPackage",D839&lt;&gt;"tracks_scope",E839&lt;&gt;"Scope",F839=""),"",IFERROR(INDEX(SCOPES!$K$5:$K$2000,MATCH(F839,SCOPES!$A$5:$A$2000,0)),"UNMATCHED"))</f>
        <v/>
      </c>
    </row>
    <row r="840" ht="21.75" customHeight="1" s="130">
      <c r="J840" s="107">
        <f>IF(OR(B840&lt;&gt;"WorkPackage",D840&lt;&gt;"tracks_scope",E840&lt;&gt;"Scope",F840=""),"",IFERROR(INDEX(SCOPES!$K$5:$K$2000,MATCH(F840,SCOPES!$A$5:$A$2000,0)),"UNMATCHED"))</f>
        <v/>
      </c>
    </row>
    <row r="841" ht="21.75" customHeight="1" s="130">
      <c r="J841" s="107">
        <f>IF(OR(B841&lt;&gt;"WorkPackage",D841&lt;&gt;"tracks_scope",E841&lt;&gt;"Scope",F841=""),"",IFERROR(INDEX(SCOPES!$K$5:$K$2000,MATCH(F841,SCOPES!$A$5:$A$2000,0)),"UNMATCHED"))</f>
        <v/>
      </c>
    </row>
    <row r="842" ht="21.75" customHeight="1" s="130">
      <c r="J842" s="107">
        <f>IF(OR(B842&lt;&gt;"WorkPackage",D842&lt;&gt;"tracks_scope",E842&lt;&gt;"Scope",F842=""),"",IFERROR(INDEX(SCOPES!$K$5:$K$2000,MATCH(F842,SCOPES!$A$5:$A$2000,0)),"UNMATCHED"))</f>
        <v/>
      </c>
    </row>
    <row r="843" ht="21.75" customHeight="1" s="130">
      <c r="J843" s="107">
        <f>IF(OR(B843&lt;&gt;"WorkPackage",D843&lt;&gt;"tracks_scope",E843&lt;&gt;"Scope",F843=""),"",IFERROR(INDEX(SCOPES!$K$5:$K$2000,MATCH(F843,SCOPES!$A$5:$A$2000,0)),"UNMATCHED"))</f>
        <v/>
      </c>
    </row>
    <row r="844" ht="21.75" customHeight="1" s="130">
      <c r="J844" s="107">
        <f>IF(OR(B844&lt;&gt;"WorkPackage",D844&lt;&gt;"tracks_scope",E844&lt;&gt;"Scope",F844=""),"",IFERROR(INDEX(SCOPES!$K$5:$K$2000,MATCH(F844,SCOPES!$A$5:$A$2000,0)),"UNMATCHED"))</f>
        <v/>
      </c>
    </row>
    <row r="845" ht="21.75" customHeight="1" s="130">
      <c r="J845" s="107">
        <f>IF(OR(B845&lt;&gt;"WorkPackage",D845&lt;&gt;"tracks_scope",E845&lt;&gt;"Scope",F845=""),"",IFERROR(INDEX(SCOPES!$K$5:$K$2000,MATCH(F845,SCOPES!$A$5:$A$2000,0)),"UNMATCHED"))</f>
        <v/>
      </c>
    </row>
    <row r="846" ht="21.75" customHeight="1" s="130">
      <c r="J846" s="107">
        <f>IF(OR(B846&lt;&gt;"WorkPackage",D846&lt;&gt;"tracks_scope",E846&lt;&gt;"Scope",F846=""),"",IFERROR(INDEX(SCOPES!$K$5:$K$2000,MATCH(F846,SCOPES!$A$5:$A$2000,0)),"UNMATCHED"))</f>
        <v/>
      </c>
    </row>
    <row r="847" ht="21.75" customHeight="1" s="130">
      <c r="J847" s="107">
        <f>IF(OR(B847&lt;&gt;"WorkPackage",D847&lt;&gt;"tracks_scope",E847&lt;&gt;"Scope",F847=""),"",IFERROR(INDEX(SCOPES!$K$5:$K$2000,MATCH(F847,SCOPES!$A$5:$A$2000,0)),"UNMATCHED"))</f>
        <v/>
      </c>
    </row>
    <row r="848" ht="21.75" customHeight="1" s="130">
      <c r="J848" s="107">
        <f>IF(OR(B848&lt;&gt;"WorkPackage",D848&lt;&gt;"tracks_scope",E848&lt;&gt;"Scope",F848=""),"",IFERROR(INDEX(SCOPES!$K$5:$K$2000,MATCH(F848,SCOPES!$A$5:$A$2000,0)),"UNMATCHED"))</f>
        <v/>
      </c>
    </row>
    <row r="849" ht="21.75" customHeight="1" s="130">
      <c r="J849" s="107">
        <f>IF(OR(B849&lt;&gt;"WorkPackage",D849&lt;&gt;"tracks_scope",E849&lt;&gt;"Scope",F849=""),"",IFERROR(INDEX(SCOPES!$K$5:$K$2000,MATCH(F849,SCOPES!$A$5:$A$2000,0)),"UNMATCHED"))</f>
        <v/>
      </c>
    </row>
    <row r="850" ht="21.75" customHeight="1" s="130">
      <c r="J850" s="107">
        <f>IF(OR(B850&lt;&gt;"WorkPackage",D850&lt;&gt;"tracks_scope",E850&lt;&gt;"Scope",F850=""),"",IFERROR(INDEX(SCOPES!$K$5:$K$2000,MATCH(F850,SCOPES!$A$5:$A$2000,0)),"UNMATCHED"))</f>
        <v/>
      </c>
    </row>
    <row r="851" ht="21.75" customHeight="1" s="130">
      <c r="J851" s="107">
        <f>IF(OR(B851&lt;&gt;"WorkPackage",D851&lt;&gt;"tracks_scope",E851&lt;&gt;"Scope",F851=""),"",IFERROR(INDEX(SCOPES!$K$5:$K$2000,MATCH(F851,SCOPES!$A$5:$A$2000,0)),"UNMATCHED"))</f>
        <v/>
      </c>
    </row>
    <row r="852" ht="21.75" customHeight="1" s="130">
      <c r="J852" s="107">
        <f>IF(OR(B852&lt;&gt;"WorkPackage",D852&lt;&gt;"tracks_scope",E852&lt;&gt;"Scope",F852=""),"",IFERROR(INDEX(SCOPES!$K$5:$K$2000,MATCH(F852,SCOPES!$A$5:$A$2000,0)),"UNMATCHED"))</f>
        <v/>
      </c>
    </row>
    <row r="853" ht="21.75" customHeight="1" s="130">
      <c r="J853" s="107">
        <f>IF(OR(B853&lt;&gt;"WorkPackage",D853&lt;&gt;"tracks_scope",E853&lt;&gt;"Scope",F853=""),"",IFERROR(INDEX(SCOPES!$K$5:$K$2000,MATCH(F853,SCOPES!$A$5:$A$2000,0)),"UNMATCHED"))</f>
        <v/>
      </c>
    </row>
    <row r="854" ht="21.75" customHeight="1" s="130">
      <c r="J854" s="107">
        <f>IF(OR(B854&lt;&gt;"WorkPackage",D854&lt;&gt;"tracks_scope",E854&lt;&gt;"Scope",F854=""),"",IFERROR(INDEX(SCOPES!$K$5:$K$2000,MATCH(F854,SCOPES!$A$5:$A$2000,0)),"UNMATCHED"))</f>
        <v/>
      </c>
    </row>
    <row r="855" ht="21.75" customHeight="1" s="130">
      <c r="J855" s="107">
        <f>IF(OR(B855&lt;&gt;"WorkPackage",D855&lt;&gt;"tracks_scope",E855&lt;&gt;"Scope",F855=""),"",IFERROR(INDEX(SCOPES!$K$5:$K$2000,MATCH(F855,SCOPES!$A$5:$A$2000,0)),"UNMATCHED"))</f>
        <v/>
      </c>
    </row>
    <row r="856" ht="21.75" customHeight="1" s="130">
      <c r="J856" s="107">
        <f>IF(OR(B856&lt;&gt;"WorkPackage",D856&lt;&gt;"tracks_scope",E856&lt;&gt;"Scope",F856=""),"",IFERROR(INDEX(SCOPES!$K$5:$K$2000,MATCH(F856,SCOPES!$A$5:$A$2000,0)),"UNMATCHED"))</f>
        <v/>
      </c>
    </row>
    <row r="857" ht="21.75" customHeight="1" s="130">
      <c r="J857" s="107">
        <f>IF(OR(B857&lt;&gt;"WorkPackage",D857&lt;&gt;"tracks_scope",E857&lt;&gt;"Scope",F857=""),"",IFERROR(INDEX(SCOPES!$K$5:$K$2000,MATCH(F857,SCOPES!$A$5:$A$2000,0)),"UNMATCHED"))</f>
        <v/>
      </c>
    </row>
    <row r="858" ht="21.75" customHeight="1" s="130">
      <c r="J858" s="107">
        <f>IF(OR(B858&lt;&gt;"WorkPackage",D858&lt;&gt;"tracks_scope",E858&lt;&gt;"Scope",F858=""),"",IFERROR(INDEX(SCOPES!$K$5:$K$2000,MATCH(F858,SCOPES!$A$5:$A$2000,0)),"UNMATCHED"))</f>
        <v/>
      </c>
    </row>
    <row r="859" ht="21.75" customHeight="1" s="130">
      <c r="J859" s="107">
        <f>IF(OR(B859&lt;&gt;"WorkPackage",D859&lt;&gt;"tracks_scope",E859&lt;&gt;"Scope",F859=""),"",IFERROR(INDEX(SCOPES!$K$5:$K$2000,MATCH(F859,SCOPES!$A$5:$A$2000,0)),"UNMATCHED"))</f>
        <v/>
      </c>
    </row>
    <row r="860" ht="21.75" customHeight="1" s="130">
      <c r="J860" s="107">
        <f>IF(OR(B860&lt;&gt;"WorkPackage",D860&lt;&gt;"tracks_scope",E860&lt;&gt;"Scope",F860=""),"",IFERROR(INDEX(SCOPES!$K$5:$K$2000,MATCH(F860,SCOPES!$A$5:$A$2000,0)),"UNMATCHED"))</f>
        <v/>
      </c>
    </row>
    <row r="861" ht="21.75" customHeight="1" s="130">
      <c r="J861" s="107">
        <f>IF(OR(B861&lt;&gt;"WorkPackage",D861&lt;&gt;"tracks_scope",E861&lt;&gt;"Scope",F861=""),"",IFERROR(INDEX(SCOPES!$K$5:$K$2000,MATCH(F861,SCOPES!$A$5:$A$2000,0)),"UNMATCHED"))</f>
        <v/>
      </c>
    </row>
    <row r="862" ht="21.75" customHeight="1" s="130">
      <c r="J862" s="107">
        <f>IF(OR(B862&lt;&gt;"WorkPackage",D862&lt;&gt;"tracks_scope",E862&lt;&gt;"Scope",F862=""),"",IFERROR(INDEX(SCOPES!$K$5:$K$2000,MATCH(F862,SCOPES!$A$5:$A$2000,0)),"UNMATCHED"))</f>
        <v/>
      </c>
    </row>
    <row r="863" ht="21.75" customHeight="1" s="130">
      <c r="J863" s="107">
        <f>IF(OR(B863&lt;&gt;"WorkPackage",D863&lt;&gt;"tracks_scope",E863&lt;&gt;"Scope",F863=""),"",IFERROR(INDEX(SCOPES!$K$5:$K$2000,MATCH(F863,SCOPES!$A$5:$A$2000,0)),"UNMATCHED"))</f>
        <v/>
      </c>
    </row>
    <row r="864" ht="21.75" customHeight="1" s="130">
      <c r="J864" s="107">
        <f>IF(OR(B864&lt;&gt;"WorkPackage",D864&lt;&gt;"tracks_scope",E864&lt;&gt;"Scope",F864=""),"",IFERROR(INDEX(SCOPES!$K$5:$K$2000,MATCH(F864,SCOPES!$A$5:$A$2000,0)),"UNMATCHED"))</f>
        <v/>
      </c>
    </row>
    <row r="865" ht="21.75" customHeight="1" s="130">
      <c r="J865" s="107">
        <f>IF(OR(B865&lt;&gt;"WorkPackage",D865&lt;&gt;"tracks_scope",E865&lt;&gt;"Scope",F865=""),"",IFERROR(INDEX(SCOPES!$K$5:$K$2000,MATCH(F865,SCOPES!$A$5:$A$2000,0)),"UNMATCHED"))</f>
        <v/>
      </c>
    </row>
    <row r="866" ht="21.75" customHeight="1" s="130">
      <c r="J866" s="107">
        <f>IF(OR(B866&lt;&gt;"WorkPackage",D866&lt;&gt;"tracks_scope",E866&lt;&gt;"Scope",F866=""),"",IFERROR(INDEX(SCOPES!$K$5:$K$2000,MATCH(F866,SCOPES!$A$5:$A$2000,0)),"UNMATCHED"))</f>
        <v/>
      </c>
    </row>
    <row r="867" ht="21.75" customHeight="1" s="130">
      <c r="J867" s="107">
        <f>IF(OR(B867&lt;&gt;"WorkPackage",D867&lt;&gt;"tracks_scope",E867&lt;&gt;"Scope",F867=""),"",IFERROR(INDEX(SCOPES!$K$5:$K$2000,MATCH(F867,SCOPES!$A$5:$A$2000,0)),"UNMATCHED"))</f>
        <v/>
      </c>
    </row>
    <row r="868" ht="21.75" customHeight="1" s="130">
      <c r="J868" s="107">
        <f>IF(OR(B868&lt;&gt;"WorkPackage",D868&lt;&gt;"tracks_scope",E868&lt;&gt;"Scope",F868=""),"",IFERROR(INDEX(SCOPES!$K$5:$K$2000,MATCH(F868,SCOPES!$A$5:$A$2000,0)),"UNMATCHED"))</f>
        <v/>
      </c>
    </row>
    <row r="869" ht="21.75" customHeight="1" s="130">
      <c r="J869" s="107">
        <f>IF(OR(B869&lt;&gt;"WorkPackage",D869&lt;&gt;"tracks_scope",E869&lt;&gt;"Scope",F869=""),"",IFERROR(INDEX(SCOPES!$K$5:$K$2000,MATCH(F869,SCOPES!$A$5:$A$2000,0)),"UNMATCHED"))</f>
        <v/>
      </c>
    </row>
    <row r="870" ht="21.75" customHeight="1" s="130">
      <c r="J870" s="107">
        <f>IF(OR(B870&lt;&gt;"WorkPackage",D870&lt;&gt;"tracks_scope",E870&lt;&gt;"Scope",F870=""),"",IFERROR(INDEX(SCOPES!$K$5:$K$2000,MATCH(F870,SCOPES!$A$5:$A$2000,0)),"UNMATCHED"))</f>
        <v/>
      </c>
    </row>
    <row r="871" ht="21.75" customHeight="1" s="130">
      <c r="J871" s="107">
        <f>IF(OR(B871&lt;&gt;"WorkPackage",D871&lt;&gt;"tracks_scope",E871&lt;&gt;"Scope",F871=""),"",IFERROR(INDEX(SCOPES!$K$5:$K$2000,MATCH(F871,SCOPES!$A$5:$A$2000,0)),"UNMATCHED"))</f>
        <v/>
      </c>
    </row>
    <row r="872" ht="21.75" customHeight="1" s="130">
      <c r="J872" s="107">
        <f>IF(OR(B872&lt;&gt;"WorkPackage",D872&lt;&gt;"tracks_scope",E872&lt;&gt;"Scope",F872=""),"",IFERROR(INDEX(SCOPES!$K$5:$K$2000,MATCH(F872,SCOPES!$A$5:$A$2000,0)),"UNMATCHED"))</f>
        <v/>
      </c>
    </row>
    <row r="873" ht="21.75" customHeight="1" s="130">
      <c r="J873" s="107">
        <f>IF(OR(B873&lt;&gt;"WorkPackage",D873&lt;&gt;"tracks_scope",E873&lt;&gt;"Scope",F873=""),"",IFERROR(INDEX(SCOPES!$K$5:$K$2000,MATCH(F873,SCOPES!$A$5:$A$2000,0)),"UNMATCHED"))</f>
        <v/>
      </c>
    </row>
    <row r="874" ht="21.75" customHeight="1" s="130">
      <c r="J874" s="107">
        <f>IF(OR(B874&lt;&gt;"WorkPackage",D874&lt;&gt;"tracks_scope",E874&lt;&gt;"Scope",F874=""),"",IFERROR(INDEX(SCOPES!$K$5:$K$2000,MATCH(F874,SCOPES!$A$5:$A$2000,0)),"UNMATCHED"))</f>
        <v/>
      </c>
    </row>
    <row r="875" ht="21.75" customHeight="1" s="130">
      <c r="J875" s="107">
        <f>IF(OR(B875&lt;&gt;"WorkPackage",D875&lt;&gt;"tracks_scope",E875&lt;&gt;"Scope",F875=""),"",IFERROR(INDEX(SCOPES!$K$5:$K$2000,MATCH(F875,SCOPES!$A$5:$A$2000,0)),"UNMATCHED"))</f>
        <v/>
      </c>
    </row>
    <row r="876" ht="21.75" customHeight="1" s="130">
      <c r="J876" s="107">
        <f>IF(OR(B876&lt;&gt;"WorkPackage",D876&lt;&gt;"tracks_scope",E876&lt;&gt;"Scope",F876=""),"",IFERROR(INDEX(SCOPES!$K$5:$K$2000,MATCH(F876,SCOPES!$A$5:$A$2000,0)),"UNMATCHED"))</f>
        <v/>
      </c>
    </row>
    <row r="877" ht="21.75" customHeight="1" s="130">
      <c r="J877" s="107">
        <f>IF(OR(B877&lt;&gt;"WorkPackage",D877&lt;&gt;"tracks_scope",E877&lt;&gt;"Scope",F877=""),"",IFERROR(INDEX(SCOPES!$K$5:$K$2000,MATCH(F877,SCOPES!$A$5:$A$2000,0)),"UNMATCHED"))</f>
        <v/>
      </c>
    </row>
    <row r="878" ht="21.75" customHeight="1" s="130">
      <c r="J878" s="107">
        <f>IF(OR(B878&lt;&gt;"WorkPackage",D878&lt;&gt;"tracks_scope",E878&lt;&gt;"Scope",F878=""),"",IFERROR(INDEX(SCOPES!$K$5:$K$2000,MATCH(F878,SCOPES!$A$5:$A$2000,0)),"UNMATCHED"))</f>
        <v/>
      </c>
    </row>
    <row r="879" ht="21.75" customHeight="1" s="130">
      <c r="J879" s="107">
        <f>IF(OR(B879&lt;&gt;"WorkPackage",D879&lt;&gt;"tracks_scope",E879&lt;&gt;"Scope",F879=""),"",IFERROR(INDEX(SCOPES!$K$5:$K$2000,MATCH(F879,SCOPES!$A$5:$A$2000,0)),"UNMATCHED"))</f>
        <v/>
      </c>
    </row>
    <row r="880" ht="21.75" customHeight="1" s="130">
      <c r="J880" s="107">
        <f>IF(OR(B880&lt;&gt;"WorkPackage",D880&lt;&gt;"tracks_scope",E880&lt;&gt;"Scope",F880=""),"",IFERROR(INDEX(SCOPES!$K$5:$K$2000,MATCH(F880,SCOPES!$A$5:$A$2000,0)),"UNMATCHED"))</f>
        <v/>
      </c>
    </row>
    <row r="881" ht="21.75" customHeight="1" s="130">
      <c r="J881" s="107">
        <f>IF(OR(B881&lt;&gt;"WorkPackage",D881&lt;&gt;"tracks_scope",E881&lt;&gt;"Scope",F881=""),"",IFERROR(INDEX(SCOPES!$K$5:$K$2000,MATCH(F881,SCOPES!$A$5:$A$2000,0)),"UNMATCHED"))</f>
        <v/>
      </c>
    </row>
    <row r="882" ht="21.75" customHeight="1" s="130">
      <c r="J882" s="107">
        <f>IF(OR(B882&lt;&gt;"WorkPackage",D882&lt;&gt;"tracks_scope",E882&lt;&gt;"Scope",F882=""),"",IFERROR(INDEX(SCOPES!$K$5:$K$2000,MATCH(F882,SCOPES!$A$5:$A$2000,0)),"UNMATCHED"))</f>
        <v/>
      </c>
    </row>
    <row r="883" ht="21.75" customHeight="1" s="130">
      <c r="J883" s="107">
        <f>IF(OR(B883&lt;&gt;"WorkPackage",D883&lt;&gt;"tracks_scope",E883&lt;&gt;"Scope",F883=""),"",IFERROR(INDEX(SCOPES!$K$5:$K$2000,MATCH(F883,SCOPES!$A$5:$A$2000,0)),"UNMATCHED"))</f>
        <v/>
      </c>
    </row>
    <row r="884" ht="21.75" customHeight="1" s="130">
      <c r="J884" s="107">
        <f>IF(OR(B884&lt;&gt;"WorkPackage",D884&lt;&gt;"tracks_scope",E884&lt;&gt;"Scope",F884=""),"",IFERROR(INDEX(SCOPES!$K$5:$K$2000,MATCH(F884,SCOPES!$A$5:$A$2000,0)),"UNMATCHED"))</f>
        <v/>
      </c>
    </row>
    <row r="885" ht="21.75" customHeight="1" s="130">
      <c r="J885" s="107">
        <f>IF(OR(B885&lt;&gt;"WorkPackage",D885&lt;&gt;"tracks_scope",E885&lt;&gt;"Scope",F885=""),"",IFERROR(INDEX(SCOPES!$K$5:$K$2000,MATCH(F885,SCOPES!$A$5:$A$2000,0)),"UNMATCHED"))</f>
        <v/>
      </c>
    </row>
    <row r="886" ht="21.75" customHeight="1" s="130">
      <c r="J886" s="107">
        <f>IF(OR(B886&lt;&gt;"WorkPackage",D886&lt;&gt;"tracks_scope",E886&lt;&gt;"Scope",F886=""),"",IFERROR(INDEX(SCOPES!$K$5:$K$2000,MATCH(F886,SCOPES!$A$5:$A$2000,0)),"UNMATCHED"))</f>
        <v/>
      </c>
    </row>
    <row r="887" ht="21.75" customHeight="1" s="130">
      <c r="J887" s="107">
        <f>IF(OR(B887&lt;&gt;"WorkPackage",D887&lt;&gt;"tracks_scope",E887&lt;&gt;"Scope",F887=""),"",IFERROR(INDEX(SCOPES!$K$5:$K$2000,MATCH(F887,SCOPES!$A$5:$A$2000,0)),"UNMATCHED"))</f>
        <v/>
      </c>
    </row>
    <row r="888" ht="21.75" customHeight="1" s="130">
      <c r="J888" s="107">
        <f>IF(OR(B888&lt;&gt;"WorkPackage",D888&lt;&gt;"tracks_scope",E888&lt;&gt;"Scope",F888=""),"",IFERROR(INDEX(SCOPES!$K$5:$K$2000,MATCH(F888,SCOPES!$A$5:$A$2000,0)),"UNMATCHED"))</f>
        <v/>
      </c>
    </row>
    <row r="889" ht="21.75" customHeight="1" s="130">
      <c r="J889" s="107">
        <f>IF(OR(B889&lt;&gt;"WorkPackage",D889&lt;&gt;"tracks_scope",E889&lt;&gt;"Scope",F889=""),"",IFERROR(INDEX(SCOPES!$K$5:$K$2000,MATCH(F889,SCOPES!$A$5:$A$2000,0)),"UNMATCHED"))</f>
        <v/>
      </c>
    </row>
    <row r="890" ht="21.75" customHeight="1" s="130">
      <c r="J890" s="107">
        <f>IF(OR(B890&lt;&gt;"WorkPackage",D890&lt;&gt;"tracks_scope",E890&lt;&gt;"Scope",F890=""),"",IFERROR(INDEX(SCOPES!$K$5:$K$2000,MATCH(F890,SCOPES!$A$5:$A$2000,0)),"UNMATCHED"))</f>
        <v/>
      </c>
    </row>
    <row r="891" ht="21.75" customHeight="1" s="130">
      <c r="J891" s="107">
        <f>IF(OR(B891&lt;&gt;"WorkPackage",D891&lt;&gt;"tracks_scope",E891&lt;&gt;"Scope",F891=""),"",IFERROR(INDEX(SCOPES!$K$5:$K$2000,MATCH(F891,SCOPES!$A$5:$A$2000,0)),"UNMATCHED"))</f>
        <v/>
      </c>
    </row>
    <row r="892" ht="21.75" customHeight="1" s="130">
      <c r="J892" s="107">
        <f>IF(OR(B892&lt;&gt;"WorkPackage",D892&lt;&gt;"tracks_scope",E892&lt;&gt;"Scope",F892=""),"",IFERROR(INDEX(SCOPES!$K$5:$K$2000,MATCH(F892,SCOPES!$A$5:$A$2000,0)),"UNMATCHED"))</f>
        <v/>
      </c>
    </row>
    <row r="893" ht="21.75" customHeight="1" s="130">
      <c r="J893" s="107">
        <f>IF(OR(B893&lt;&gt;"WorkPackage",D893&lt;&gt;"tracks_scope",E893&lt;&gt;"Scope",F893=""),"",IFERROR(INDEX(SCOPES!$K$5:$K$2000,MATCH(F893,SCOPES!$A$5:$A$2000,0)),"UNMATCHED"))</f>
        <v/>
      </c>
    </row>
    <row r="894" ht="21.75" customHeight="1" s="130">
      <c r="J894" s="107">
        <f>IF(OR(B894&lt;&gt;"WorkPackage",D894&lt;&gt;"tracks_scope",E894&lt;&gt;"Scope",F894=""),"",IFERROR(INDEX(SCOPES!$K$5:$K$2000,MATCH(F894,SCOPES!$A$5:$A$2000,0)),"UNMATCHED"))</f>
        <v/>
      </c>
    </row>
    <row r="895" ht="21.75" customHeight="1" s="130">
      <c r="J895" s="107">
        <f>IF(OR(B895&lt;&gt;"WorkPackage",D895&lt;&gt;"tracks_scope",E895&lt;&gt;"Scope",F895=""),"",IFERROR(INDEX(SCOPES!$K$5:$K$2000,MATCH(F895,SCOPES!$A$5:$A$2000,0)),"UNMATCHED"))</f>
        <v/>
      </c>
    </row>
    <row r="896" ht="21.75" customHeight="1" s="130">
      <c r="J896" s="107">
        <f>IF(OR(B896&lt;&gt;"WorkPackage",D896&lt;&gt;"tracks_scope",E896&lt;&gt;"Scope",F896=""),"",IFERROR(INDEX(SCOPES!$K$5:$K$2000,MATCH(F896,SCOPES!$A$5:$A$2000,0)),"UNMATCHED"))</f>
        <v/>
      </c>
    </row>
    <row r="897" ht="21.75" customHeight="1" s="130">
      <c r="J897" s="107">
        <f>IF(OR(B897&lt;&gt;"WorkPackage",D897&lt;&gt;"tracks_scope",E897&lt;&gt;"Scope",F897=""),"",IFERROR(INDEX(SCOPES!$K$5:$K$2000,MATCH(F897,SCOPES!$A$5:$A$2000,0)),"UNMATCHED"))</f>
        <v/>
      </c>
    </row>
    <row r="898" ht="21.75" customHeight="1" s="130">
      <c r="J898" s="107">
        <f>IF(OR(B898&lt;&gt;"WorkPackage",D898&lt;&gt;"tracks_scope",E898&lt;&gt;"Scope",F898=""),"",IFERROR(INDEX(SCOPES!$K$5:$K$2000,MATCH(F898,SCOPES!$A$5:$A$2000,0)),"UNMATCHED"))</f>
        <v/>
      </c>
    </row>
    <row r="899" ht="21.75" customHeight="1" s="130">
      <c r="J899" s="107">
        <f>IF(OR(B899&lt;&gt;"WorkPackage",D899&lt;&gt;"tracks_scope",E899&lt;&gt;"Scope",F899=""),"",IFERROR(INDEX(SCOPES!$K$5:$K$2000,MATCH(F899,SCOPES!$A$5:$A$2000,0)),"UNMATCHED"))</f>
        <v/>
      </c>
    </row>
    <row r="900" ht="21.75" customHeight="1" s="130">
      <c r="J900" s="107">
        <f>IF(OR(B900&lt;&gt;"WorkPackage",D900&lt;&gt;"tracks_scope",E900&lt;&gt;"Scope",F900=""),"",IFERROR(INDEX(SCOPES!$K$5:$K$2000,MATCH(F900,SCOPES!$A$5:$A$2000,0)),"UNMATCHED"))</f>
        <v/>
      </c>
    </row>
    <row r="901" ht="21.75" customHeight="1" s="130">
      <c r="J901" s="107">
        <f>IF(OR(B901&lt;&gt;"WorkPackage",D901&lt;&gt;"tracks_scope",E901&lt;&gt;"Scope",F901=""),"",IFERROR(INDEX(SCOPES!$K$5:$K$2000,MATCH(F901,SCOPES!$A$5:$A$2000,0)),"UNMATCHED"))</f>
        <v/>
      </c>
    </row>
    <row r="902" ht="21.75" customHeight="1" s="130">
      <c r="J902" s="107">
        <f>IF(OR(B902&lt;&gt;"WorkPackage",D902&lt;&gt;"tracks_scope",E902&lt;&gt;"Scope",F902=""),"",IFERROR(INDEX(SCOPES!$K$5:$K$2000,MATCH(F902,SCOPES!$A$5:$A$2000,0)),"UNMATCHED"))</f>
        <v/>
      </c>
    </row>
    <row r="903" ht="21.75" customHeight="1" s="130">
      <c r="J903" s="107">
        <f>IF(OR(B903&lt;&gt;"WorkPackage",D903&lt;&gt;"tracks_scope",E903&lt;&gt;"Scope",F903=""),"",IFERROR(INDEX(SCOPES!$K$5:$K$2000,MATCH(F903,SCOPES!$A$5:$A$2000,0)),"UNMATCHED"))</f>
        <v/>
      </c>
    </row>
    <row r="904" ht="21.75" customHeight="1" s="130">
      <c r="J904" s="107">
        <f>IF(OR(B904&lt;&gt;"WorkPackage",D904&lt;&gt;"tracks_scope",E904&lt;&gt;"Scope",F904=""),"",IFERROR(INDEX(SCOPES!$K$5:$K$2000,MATCH(F904,SCOPES!$A$5:$A$2000,0)),"UNMATCHED"))</f>
        <v/>
      </c>
    </row>
    <row r="905" ht="21.75" customHeight="1" s="130">
      <c r="J905" s="107">
        <f>IF(OR(B905&lt;&gt;"WorkPackage",D905&lt;&gt;"tracks_scope",E905&lt;&gt;"Scope",F905=""),"",IFERROR(INDEX(SCOPES!$K$5:$K$2000,MATCH(F905,SCOPES!$A$5:$A$2000,0)),"UNMATCHED"))</f>
        <v/>
      </c>
    </row>
    <row r="906" ht="21.75" customHeight="1" s="130">
      <c r="J906" s="107">
        <f>IF(OR(B906&lt;&gt;"WorkPackage",D906&lt;&gt;"tracks_scope",E906&lt;&gt;"Scope",F906=""),"",IFERROR(INDEX(SCOPES!$K$5:$K$2000,MATCH(F906,SCOPES!$A$5:$A$2000,0)),"UNMATCHED"))</f>
        <v/>
      </c>
    </row>
    <row r="907" ht="21.75" customHeight="1" s="130">
      <c r="J907" s="107">
        <f>IF(OR(B907&lt;&gt;"WorkPackage",D907&lt;&gt;"tracks_scope",E907&lt;&gt;"Scope",F907=""),"",IFERROR(INDEX(SCOPES!$K$5:$K$2000,MATCH(F907,SCOPES!$A$5:$A$2000,0)),"UNMATCHED"))</f>
        <v/>
      </c>
    </row>
    <row r="908" ht="21.75" customHeight="1" s="130">
      <c r="J908" s="107">
        <f>IF(OR(B908&lt;&gt;"WorkPackage",D908&lt;&gt;"tracks_scope",E908&lt;&gt;"Scope",F908=""),"",IFERROR(INDEX(SCOPES!$K$5:$K$2000,MATCH(F908,SCOPES!$A$5:$A$2000,0)),"UNMATCHED"))</f>
        <v/>
      </c>
    </row>
    <row r="909" ht="21.75" customHeight="1" s="130">
      <c r="J909" s="107">
        <f>IF(OR(B909&lt;&gt;"WorkPackage",D909&lt;&gt;"tracks_scope",E909&lt;&gt;"Scope",F909=""),"",IFERROR(INDEX(SCOPES!$K$5:$K$2000,MATCH(F909,SCOPES!$A$5:$A$2000,0)),"UNMATCHED"))</f>
        <v/>
      </c>
    </row>
    <row r="910" ht="21.75" customHeight="1" s="130">
      <c r="J910" s="107">
        <f>IF(OR(B910&lt;&gt;"WorkPackage",D910&lt;&gt;"tracks_scope",E910&lt;&gt;"Scope",F910=""),"",IFERROR(INDEX(SCOPES!$K$5:$K$2000,MATCH(F910,SCOPES!$A$5:$A$2000,0)),"UNMATCHED"))</f>
        <v/>
      </c>
    </row>
    <row r="911" ht="21.75" customHeight="1" s="130">
      <c r="J911" s="107">
        <f>IF(OR(B911&lt;&gt;"WorkPackage",D911&lt;&gt;"tracks_scope",E911&lt;&gt;"Scope",F911=""),"",IFERROR(INDEX(SCOPES!$K$5:$K$2000,MATCH(F911,SCOPES!$A$5:$A$2000,0)),"UNMATCHED"))</f>
        <v/>
      </c>
    </row>
    <row r="912" ht="21.75" customHeight="1" s="130">
      <c r="J912" s="107">
        <f>IF(OR(B912&lt;&gt;"WorkPackage",D912&lt;&gt;"tracks_scope",E912&lt;&gt;"Scope",F912=""),"",IFERROR(INDEX(SCOPES!$K$5:$K$2000,MATCH(F912,SCOPES!$A$5:$A$2000,0)),"UNMATCHED"))</f>
        <v/>
      </c>
    </row>
    <row r="913" ht="21.75" customHeight="1" s="130">
      <c r="J913" s="107">
        <f>IF(OR(B913&lt;&gt;"WorkPackage",D913&lt;&gt;"tracks_scope",E913&lt;&gt;"Scope",F913=""),"",IFERROR(INDEX(SCOPES!$K$5:$K$2000,MATCH(F913,SCOPES!$A$5:$A$2000,0)),"UNMATCHED"))</f>
        <v/>
      </c>
    </row>
    <row r="914" ht="21.75" customHeight="1" s="130">
      <c r="J914" s="107">
        <f>IF(OR(B914&lt;&gt;"WorkPackage",D914&lt;&gt;"tracks_scope",E914&lt;&gt;"Scope",F914=""),"",IFERROR(INDEX(SCOPES!$K$5:$K$2000,MATCH(F914,SCOPES!$A$5:$A$2000,0)),"UNMATCHED"))</f>
        <v/>
      </c>
    </row>
    <row r="915" ht="21.75" customHeight="1" s="130">
      <c r="J915" s="107">
        <f>IF(OR(B915&lt;&gt;"WorkPackage",D915&lt;&gt;"tracks_scope",E915&lt;&gt;"Scope",F915=""),"",IFERROR(INDEX(SCOPES!$K$5:$K$2000,MATCH(F915,SCOPES!$A$5:$A$2000,0)),"UNMATCHED"))</f>
        <v/>
      </c>
    </row>
    <row r="916" ht="21.75" customHeight="1" s="130">
      <c r="J916" s="107">
        <f>IF(OR(B916&lt;&gt;"WorkPackage",D916&lt;&gt;"tracks_scope",E916&lt;&gt;"Scope",F916=""),"",IFERROR(INDEX(SCOPES!$K$5:$K$2000,MATCH(F916,SCOPES!$A$5:$A$2000,0)),"UNMATCHED"))</f>
        <v/>
      </c>
    </row>
    <row r="917" ht="21.75" customHeight="1" s="130">
      <c r="J917" s="107">
        <f>IF(OR(B917&lt;&gt;"WorkPackage",D917&lt;&gt;"tracks_scope",E917&lt;&gt;"Scope",F917=""),"",IFERROR(INDEX(SCOPES!$K$5:$K$2000,MATCH(F917,SCOPES!$A$5:$A$2000,0)),"UNMATCHED"))</f>
        <v/>
      </c>
    </row>
    <row r="918" ht="21.75" customHeight="1" s="130">
      <c r="J918" s="107">
        <f>IF(OR(B918&lt;&gt;"WorkPackage",D918&lt;&gt;"tracks_scope",E918&lt;&gt;"Scope",F918=""),"",IFERROR(INDEX(SCOPES!$K$5:$K$2000,MATCH(F918,SCOPES!$A$5:$A$2000,0)),"UNMATCHED"))</f>
        <v/>
      </c>
    </row>
    <row r="919" ht="21.75" customHeight="1" s="130">
      <c r="J919" s="107">
        <f>IF(OR(B919&lt;&gt;"WorkPackage",D919&lt;&gt;"tracks_scope",E919&lt;&gt;"Scope",F919=""),"",IFERROR(INDEX(SCOPES!$K$5:$K$2000,MATCH(F919,SCOPES!$A$5:$A$2000,0)),"UNMATCHED"))</f>
        <v/>
      </c>
    </row>
    <row r="920" ht="21.75" customHeight="1" s="130">
      <c r="J920" s="107">
        <f>IF(OR(B920&lt;&gt;"WorkPackage",D920&lt;&gt;"tracks_scope",E920&lt;&gt;"Scope",F920=""),"",IFERROR(INDEX(SCOPES!$K$5:$K$2000,MATCH(F920,SCOPES!$A$5:$A$2000,0)),"UNMATCHED"))</f>
        <v/>
      </c>
    </row>
    <row r="921" ht="21.75" customHeight="1" s="130">
      <c r="J921" s="107">
        <f>IF(OR(B921&lt;&gt;"WorkPackage",D921&lt;&gt;"tracks_scope",E921&lt;&gt;"Scope",F921=""),"",IFERROR(INDEX(SCOPES!$K$5:$K$2000,MATCH(F921,SCOPES!$A$5:$A$2000,0)),"UNMATCHED"))</f>
        <v/>
      </c>
    </row>
    <row r="922" ht="21.75" customHeight="1" s="130">
      <c r="J922" s="107">
        <f>IF(OR(B922&lt;&gt;"WorkPackage",D922&lt;&gt;"tracks_scope",E922&lt;&gt;"Scope",F922=""),"",IFERROR(INDEX(SCOPES!$K$5:$K$2000,MATCH(F922,SCOPES!$A$5:$A$2000,0)),"UNMATCHED"))</f>
        <v/>
      </c>
    </row>
    <row r="923" ht="21.75" customHeight="1" s="130">
      <c r="J923" s="107">
        <f>IF(OR(B923&lt;&gt;"WorkPackage",D923&lt;&gt;"tracks_scope",E923&lt;&gt;"Scope",F923=""),"",IFERROR(INDEX(SCOPES!$K$5:$K$2000,MATCH(F923,SCOPES!$A$5:$A$2000,0)),"UNMATCHED"))</f>
        <v/>
      </c>
    </row>
    <row r="924" ht="21.75" customHeight="1" s="130">
      <c r="J924" s="107">
        <f>IF(OR(B924&lt;&gt;"WorkPackage",D924&lt;&gt;"tracks_scope",E924&lt;&gt;"Scope",F924=""),"",IFERROR(INDEX(SCOPES!$K$5:$K$2000,MATCH(F924,SCOPES!$A$5:$A$2000,0)),"UNMATCHED"))</f>
        <v/>
      </c>
    </row>
    <row r="925" ht="21.75" customHeight="1" s="130">
      <c r="J925" s="107">
        <f>IF(OR(B925&lt;&gt;"WorkPackage",D925&lt;&gt;"tracks_scope",E925&lt;&gt;"Scope",F925=""),"",IFERROR(INDEX(SCOPES!$K$5:$K$2000,MATCH(F925,SCOPES!$A$5:$A$2000,0)),"UNMATCHED"))</f>
        <v/>
      </c>
    </row>
    <row r="926" ht="21.75" customHeight="1" s="130">
      <c r="J926" s="107">
        <f>IF(OR(B926&lt;&gt;"WorkPackage",D926&lt;&gt;"tracks_scope",E926&lt;&gt;"Scope",F926=""),"",IFERROR(INDEX(SCOPES!$K$5:$K$2000,MATCH(F926,SCOPES!$A$5:$A$2000,0)),"UNMATCHED"))</f>
        <v/>
      </c>
    </row>
    <row r="927" ht="21.75" customHeight="1" s="130">
      <c r="J927" s="107">
        <f>IF(OR(B927&lt;&gt;"WorkPackage",D927&lt;&gt;"tracks_scope",E927&lt;&gt;"Scope",F927=""),"",IFERROR(INDEX(SCOPES!$K$5:$K$2000,MATCH(F927,SCOPES!$A$5:$A$2000,0)),"UNMATCHED"))</f>
        <v/>
      </c>
    </row>
    <row r="928" ht="21.75" customHeight="1" s="130">
      <c r="J928" s="107">
        <f>IF(OR(B928&lt;&gt;"WorkPackage",D928&lt;&gt;"tracks_scope",E928&lt;&gt;"Scope",F928=""),"",IFERROR(INDEX(SCOPES!$K$5:$K$2000,MATCH(F928,SCOPES!$A$5:$A$2000,0)),"UNMATCHED"))</f>
        <v/>
      </c>
    </row>
    <row r="929" ht="21.75" customHeight="1" s="130">
      <c r="J929" s="107">
        <f>IF(OR(B929&lt;&gt;"WorkPackage",D929&lt;&gt;"tracks_scope",E929&lt;&gt;"Scope",F929=""),"",IFERROR(INDEX(SCOPES!$K$5:$K$2000,MATCH(F929,SCOPES!$A$5:$A$2000,0)),"UNMATCHED"))</f>
        <v/>
      </c>
    </row>
    <row r="930" ht="21.75" customHeight="1" s="130">
      <c r="J930" s="107">
        <f>IF(OR(B930&lt;&gt;"WorkPackage",D930&lt;&gt;"tracks_scope",E930&lt;&gt;"Scope",F930=""),"",IFERROR(INDEX(SCOPES!$K$5:$K$2000,MATCH(F930,SCOPES!$A$5:$A$2000,0)),"UNMATCHED"))</f>
        <v/>
      </c>
    </row>
    <row r="931" ht="21.75" customHeight="1" s="130">
      <c r="J931" s="107">
        <f>IF(OR(B931&lt;&gt;"WorkPackage",D931&lt;&gt;"tracks_scope",E931&lt;&gt;"Scope",F931=""),"",IFERROR(INDEX(SCOPES!$K$5:$K$2000,MATCH(F931,SCOPES!$A$5:$A$2000,0)),"UNMATCHED"))</f>
        <v/>
      </c>
    </row>
    <row r="932" ht="21.75" customHeight="1" s="130">
      <c r="J932" s="107">
        <f>IF(OR(B932&lt;&gt;"WorkPackage",D932&lt;&gt;"tracks_scope",E932&lt;&gt;"Scope",F932=""),"",IFERROR(INDEX(SCOPES!$K$5:$K$2000,MATCH(F932,SCOPES!$A$5:$A$2000,0)),"UNMATCHED"))</f>
        <v/>
      </c>
    </row>
    <row r="933" ht="21.75" customHeight="1" s="130">
      <c r="J933" s="107">
        <f>IF(OR(B933&lt;&gt;"WorkPackage",D933&lt;&gt;"tracks_scope",E933&lt;&gt;"Scope",F933=""),"",IFERROR(INDEX(SCOPES!$K$5:$K$2000,MATCH(F933,SCOPES!$A$5:$A$2000,0)),"UNMATCHED"))</f>
        <v/>
      </c>
    </row>
    <row r="934" ht="21.75" customHeight="1" s="130">
      <c r="J934" s="107">
        <f>IF(OR(B934&lt;&gt;"WorkPackage",D934&lt;&gt;"tracks_scope",E934&lt;&gt;"Scope",F934=""),"",IFERROR(INDEX(SCOPES!$K$5:$K$2000,MATCH(F934,SCOPES!$A$5:$A$2000,0)),"UNMATCHED"))</f>
        <v/>
      </c>
    </row>
    <row r="935" ht="21.75" customHeight="1" s="130">
      <c r="J935" s="107">
        <f>IF(OR(B935&lt;&gt;"WorkPackage",D935&lt;&gt;"tracks_scope",E935&lt;&gt;"Scope",F935=""),"",IFERROR(INDEX(SCOPES!$K$5:$K$2000,MATCH(F935,SCOPES!$A$5:$A$2000,0)),"UNMATCHED"))</f>
        <v/>
      </c>
    </row>
    <row r="936" ht="21.75" customHeight="1" s="130">
      <c r="J936" s="107">
        <f>IF(OR(B936&lt;&gt;"WorkPackage",D936&lt;&gt;"tracks_scope",E936&lt;&gt;"Scope",F936=""),"",IFERROR(INDEX(SCOPES!$K$5:$K$2000,MATCH(F936,SCOPES!$A$5:$A$2000,0)),"UNMATCHED"))</f>
        <v/>
      </c>
    </row>
    <row r="937" ht="21.75" customHeight="1" s="130">
      <c r="J937" s="107">
        <f>IF(OR(B937&lt;&gt;"WorkPackage",D937&lt;&gt;"tracks_scope",E937&lt;&gt;"Scope",F937=""),"",IFERROR(INDEX(SCOPES!$K$5:$K$2000,MATCH(F937,SCOPES!$A$5:$A$2000,0)),"UNMATCHED"))</f>
        <v/>
      </c>
    </row>
    <row r="938" ht="21.75" customHeight="1" s="130">
      <c r="J938" s="107">
        <f>IF(OR(B938&lt;&gt;"WorkPackage",D938&lt;&gt;"tracks_scope",E938&lt;&gt;"Scope",F938=""),"",IFERROR(INDEX(SCOPES!$K$5:$K$2000,MATCH(F938,SCOPES!$A$5:$A$2000,0)),"UNMATCHED"))</f>
        <v/>
      </c>
    </row>
    <row r="939" ht="21.75" customHeight="1" s="130">
      <c r="J939" s="107">
        <f>IF(OR(B939&lt;&gt;"WorkPackage",D939&lt;&gt;"tracks_scope",E939&lt;&gt;"Scope",F939=""),"",IFERROR(INDEX(SCOPES!$K$5:$K$2000,MATCH(F939,SCOPES!$A$5:$A$2000,0)),"UNMATCHED"))</f>
        <v/>
      </c>
    </row>
    <row r="940" ht="21.75" customHeight="1" s="130">
      <c r="J940" s="107">
        <f>IF(OR(B940&lt;&gt;"WorkPackage",D940&lt;&gt;"tracks_scope",E940&lt;&gt;"Scope",F940=""),"",IFERROR(INDEX(SCOPES!$K$5:$K$2000,MATCH(F940,SCOPES!$A$5:$A$2000,0)),"UNMATCHED"))</f>
        <v/>
      </c>
    </row>
    <row r="941" ht="21.75" customHeight="1" s="130">
      <c r="J941" s="107">
        <f>IF(OR(B941&lt;&gt;"WorkPackage",D941&lt;&gt;"tracks_scope",E941&lt;&gt;"Scope",F941=""),"",IFERROR(INDEX(SCOPES!$K$5:$K$2000,MATCH(F941,SCOPES!$A$5:$A$2000,0)),"UNMATCHED"))</f>
        <v/>
      </c>
    </row>
    <row r="942" ht="21.75" customHeight="1" s="130">
      <c r="J942" s="107">
        <f>IF(OR(B942&lt;&gt;"WorkPackage",D942&lt;&gt;"tracks_scope",E942&lt;&gt;"Scope",F942=""),"",IFERROR(INDEX(SCOPES!$K$5:$K$2000,MATCH(F942,SCOPES!$A$5:$A$2000,0)),"UNMATCHED"))</f>
        <v/>
      </c>
    </row>
    <row r="943" ht="21.75" customHeight="1" s="130">
      <c r="J943" s="107">
        <f>IF(OR(B943&lt;&gt;"WorkPackage",D943&lt;&gt;"tracks_scope",E943&lt;&gt;"Scope",F943=""),"",IFERROR(INDEX(SCOPES!$K$5:$K$2000,MATCH(F943,SCOPES!$A$5:$A$2000,0)),"UNMATCHED"))</f>
        <v/>
      </c>
    </row>
    <row r="944" ht="21.75" customHeight="1" s="130">
      <c r="J944" s="107">
        <f>IF(OR(B944&lt;&gt;"WorkPackage",D944&lt;&gt;"tracks_scope",E944&lt;&gt;"Scope",F944=""),"",IFERROR(INDEX(SCOPES!$K$5:$K$2000,MATCH(F944,SCOPES!$A$5:$A$2000,0)),"UNMATCHED"))</f>
        <v/>
      </c>
    </row>
    <row r="945" ht="21.75" customHeight="1" s="130">
      <c r="J945" s="107">
        <f>IF(OR(B945&lt;&gt;"WorkPackage",D945&lt;&gt;"tracks_scope",E945&lt;&gt;"Scope",F945=""),"",IFERROR(INDEX(SCOPES!$K$5:$K$2000,MATCH(F945,SCOPES!$A$5:$A$2000,0)),"UNMATCHED"))</f>
        <v/>
      </c>
    </row>
    <row r="946" ht="21.75" customHeight="1" s="130">
      <c r="J946" s="107">
        <f>IF(OR(B946&lt;&gt;"WorkPackage",D946&lt;&gt;"tracks_scope",E946&lt;&gt;"Scope",F946=""),"",IFERROR(INDEX(SCOPES!$K$5:$K$2000,MATCH(F946,SCOPES!$A$5:$A$2000,0)),"UNMATCHED"))</f>
        <v/>
      </c>
    </row>
    <row r="947" ht="21.75" customHeight="1" s="130">
      <c r="J947" s="107">
        <f>IF(OR(B947&lt;&gt;"WorkPackage",D947&lt;&gt;"tracks_scope",E947&lt;&gt;"Scope",F947=""),"",IFERROR(INDEX(SCOPES!$K$5:$K$2000,MATCH(F947,SCOPES!$A$5:$A$2000,0)),"UNMATCHED"))</f>
        <v/>
      </c>
    </row>
    <row r="948" ht="21.75" customHeight="1" s="130">
      <c r="J948" s="107">
        <f>IF(OR(B948&lt;&gt;"WorkPackage",D948&lt;&gt;"tracks_scope",E948&lt;&gt;"Scope",F948=""),"",IFERROR(INDEX(SCOPES!$K$5:$K$2000,MATCH(F948,SCOPES!$A$5:$A$2000,0)),"UNMATCHED"))</f>
        <v/>
      </c>
    </row>
    <row r="949" ht="21.75" customHeight="1" s="130">
      <c r="J949" s="107">
        <f>IF(OR(B949&lt;&gt;"WorkPackage",D949&lt;&gt;"tracks_scope",E949&lt;&gt;"Scope",F949=""),"",IFERROR(INDEX(SCOPES!$K$5:$K$2000,MATCH(F949,SCOPES!$A$5:$A$2000,0)),"UNMATCHED"))</f>
        <v/>
      </c>
    </row>
    <row r="950" ht="21.75" customHeight="1" s="130">
      <c r="J950" s="107">
        <f>IF(OR(B950&lt;&gt;"WorkPackage",D950&lt;&gt;"tracks_scope",E950&lt;&gt;"Scope",F950=""),"",IFERROR(INDEX(SCOPES!$K$5:$K$2000,MATCH(F950,SCOPES!$A$5:$A$2000,0)),"UNMATCHED"))</f>
        <v/>
      </c>
    </row>
    <row r="951" ht="21.75" customHeight="1" s="130">
      <c r="J951" s="107">
        <f>IF(OR(B951&lt;&gt;"WorkPackage",D951&lt;&gt;"tracks_scope",E951&lt;&gt;"Scope",F951=""),"",IFERROR(INDEX(SCOPES!$K$5:$K$2000,MATCH(F951,SCOPES!$A$5:$A$2000,0)),"UNMATCHED"))</f>
        <v/>
      </c>
    </row>
    <row r="952" ht="21.75" customHeight="1" s="130">
      <c r="J952" s="107">
        <f>IF(OR(B952&lt;&gt;"WorkPackage",D952&lt;&gt;"tracks_scope",E952&lt;&gt;"Scope",F952=""),"",IFERROR(INDEX(SCOPES!$K$5:$K$2000,MATCH(F952,SCOPES!$A$5:$A$2000,0)),"UNMATCHED"))</f>
        <v/>
      </c>
    </row>
    <row r="953" ht="21.75" customHeight="1" s="130">
      <c r="J953" s="107">
        <f>IF(OR(B953&lt;&gt;"WorkPackage",D953&lt;&gt;"tracks_scope",E953&lt;&gt;"Scope",F953=""),"",IFERROR(INDEX(SCOPES!$K$5:$K$2000,MATCH(F953,SCOPES!$A$5:$A$2000,0)),"UNMATCHED"))</f>
        <v/>
      </c>
    </row>
    <row r="954" ht="21.75" customHeight="1" s="130">
      <c r="J954" s="107">
        <f>IF(OR(B954&lt;&gt;"WorkPackage",D954&lt;&gt;"tracks_scope",E954&lt;&gt;"Scope",F954=""),"",IFERROR(INDEX(SCOPES!$K$5:$K$2000,MATCH(F954,SCOPES!$A$5:$A$2000,0)),"UNMATCHED"))</f>
        <v/>
      </c>
    </row>
    <row r="955" ht="21.75" customHeight="1" s="130">
      <c r="J955" s="107">
        <f>IF(OR(B955&lt;&gt;"WorkPackage",D955&lt;&gt;"tracks_scope",E955&lt;&gt;"Scope",F955=""),"",IFERROR(INDEX(SCOPES!$K$5:$K$2000,MATCH(F955,SCOPES!$A$5:$A$2000,0)),"UNMATCHED"))</f>
        <v/>
      </c>
    </row>
    <row r="956" ht="21.75" customHeight="1" s="130">
      <c r="J956" s="107">
        <f>IF(OR(B956&lt;&gt;"WorkPackage",D956&lt;&gt;"tracks_scope",E956&lt;&gt;"Scope",F956=""),"",IFERROR(INDEX(SCOPES!$K$5:$K$2000,MATCH(F956,SCOPES!$A$5:$A$2000,0)),"UNMATCHED"))</f>
        <v/>
      </c>
    </row>
    <row r="957" ht="21.75" customHeight="1" s="130">
      <c r="J957" s="107">
        <f>IF(OR(B957&lt;&gt;"WorkPackage",D957&lt;&gt;"tracks_scope",E957&lt;&gt;"Scope",F957=""),"",IFERROR(INDEX(SCOPES!$K$5:$K$2000,MATCH(F957,SCOPES!$A$5:$A$2000,0)),"UNMATCHED"))</f>
        <v/>
      </c>
    </row>
    <row r="958" ht="21.75" customHeight="1" s="130">
      <c r="J958" s="107">
        <f>IF(OR(B958&lt;&gt;"WorkPackage",D958&lt;&gt;"tracks_scope",E958&lt;&gt;"Scope",F958=""),"",IFERROR(INDEX(SCOPES!$K$5:$K$2000,MATCH(F958,SCOPES!$A$5:$A$2000,0)),"UNMATCHED"))</f>
        <v/>
      </c>
    </row>
    <row r="959" ht="21.75" customHeight="1" s="130">
      <c r="J959" s="107">
        <f>IF(OR(B959&lt;&gt;"WorkPackage",D959&lt;&gt;"tracks_scope",E959&lt;&gt;"Scope",F959=""),"",IFERROR(INDEX(SCOPES!$K$5:$K$2000,MATCH(F959,SCOPES!$A$5:$A$2000,0)),"UNMATCHED"))</f>
        <v/>
      </c>
    </row>
    <row r="960" ht="21.75" customHeight="1" s="130">
      <c r="J960" s="107">
        <f>IF(OR(B960&lt;&gt;"WorkPackage",D960&lt;&gt;"tracks_scope",E960&lt;&gt;"Scope",F960=""),"",IFERROR(INDEX(SCOPES!$K$5:$K$2000,MATCH(F960,SCOPES!$A$5:$A$2000,0)),"UNMATCHED"))</f>
        <v/>
      </c>
    </row>
    <row r="961" ht="21.75" customHeight="1" s="130">
      <c r="J961" s="107">
        <f>IF(OR(B961&lt;&gt;"WorkPackage",D961&lt;&gt;"tracks_scope",E961&lt;&gt;"Scope",F961=""),"",IFERROR(INDEX(SCOPES!$K$5:$K$2000,MATCH(F961,SCOPES!$A$5:$A$2000,0)),"UNMATCHED"))</f>
        <v/>
      </c>
    </row>
    <row r="962" ht="21.75" customHeight="1" s="130">
      <c r="J962" s="107">
        <f>IF(OR(B962&lt;&gt;"WorkPackage",D962&lt;&gt;"tracks_scope",E962&lt;&gt;"Scope",F962=""),"",IFERROR(INDEX(SCOPES!$K$5:$K$2000,MATCH(F962,SCOPES!$A$5:$A$2000,0)),"UNMATCHED"))</f>
        <v/>
      </c>
    </row>
    <row r="963" ht="21.75" customHeight="1" s="130">
      <c r="J963" s="107">
        <f>IF(OR(B963&lt;&gt;"WorkPackage",D963&lt;&gt;"tracks_scope",E963&lt;&gt;"Scope",F963=""),"",IFERROR(INDEX(SCOPES!$K$5:$K$2000,MATCH(F963,SCOPES!$A$5:$A$2000,0)),"UNMATCHED"))</f>
        <v/>
      </c>
    </row>
    <row r="964" ht="21.75" customHeight="1" s="130">
      <c r="J964" s="107">
        <f>IF(OR(B964&lt;&gt;"WorkPackage",D964&lt;&gt;"tracks_scope",E964&lt;&gt;"Scope",F964=""),"",IFERROR(INDEX(SCOPES!$K$5:$K$2000,MATCH(F964,SCOPES!$A$5:$A$2000,0)),"UNMATCHED"))</f>
        <v/>
      </c>
    </row>
    <row r="965" ht="21.75" customHeight="1" s="130">
      <c r="J965" s="107">
        <f>IF(OR(B965&lt;&gt;"WorkPackage",D965&lt;&gt;"tracks_scope",E965&lt;&gt;"Scope",F965=""),"",IFERROR(INDEX(SCOPES!$K$5:$K$2000,MATCH(F965,SCOPES!$A$5:$A$2000,0)),"UNMATCHED"))</f>
        <v/>
      </c>
    </row>
    <row r="966" ht="21.75" customHeight="1" s="130">
      <c r="J966" s="107">
        <f>IF(OR(B966&lt;&gt;"WorkPackage",D966&lt;&gt;"tracks_scope",E966&lt;&gt;"Scope",F966=""),"",IFERROR(INDEX(SCOPES!$K$5:$K$2000,MATCH(F966,SCOPES!$A$5:$A$2000,0)),"UNMATCHED"))</f>
        <v/>
      </c>
    </row>
    <row r="967" ht="21.75" customHeight="1" s="130">
      <c r="J967" s="107">
        <f>IF(OR(B967&lt;&gt;"WorkPackage",D967&lt;&gt;"tracks_scope",E967&lt;&gt;"Scope",F967=""),"",IFERROR(INDEX(SCOPES!$K$5:$K$2000,MATCH(F967,SCOPES!$A$5:$A$2000,0)),"UNMATCHED"))</f>
        <v/>
      </c>
    </row>
    <row r="968" ht="21.75" customHeight="1" s="130">
      <c r="J968" s="107">
        <f>IF(OR(B968&lt;&gt;"WorkPackage",D968&lt;&gt;"tracks_scope",E968&lt;&gt;"Scope",F968=""),"",IFERROR(INDEX(SCOPES!$K$5:$K$2000,MATCH(F968,SCOPES!$A$5:$A$2000,0)),"UNMATCHED"))</f>
        <v/>
      </c>
    </row>
    <row r="969" ht="21.75" customHeight="1" s="130">
      <c r="J969" s="107">
        <f>IF(OR(B969&lt;&gt;"WorkPackage",D969&lt;&gt;"tracks_scope",E969&lt;&gt;"Scope",F969=""),"",IFERROR(INDEX(SCOPES!$K$5:$K$2000,MATCH(F969,SCOPES!$A$5:$A$2000,0)),"UNMATCHED"))</f>
        <v/>
      </c>
    </row>
    <row r="970" ht="21.75" customHeight="1" s="130">
      <c r="J970" s="107">
        <f>IF(OR(B970&lt;&gt;"WorkPackage",D970&lt;&gt;"tracks_scope",E970&lt;&gt;"Scope",F970=""),"",IFERROR(INDEX(SCOPES!$K$5:$K$2000,MATCH(F970,SCOPES!$A$5:$A$2000,0)),"UNMATCHED"))</f>
        <v/>
      </c>
    </row>
    <row r="971" ht="21.75" customHeight="1" s="130">
      <c r="J971" s="107">
        <f>IF(OR(B971&lt;&gt;"WorkPackage",D971&lt;&gt;"tracks_scope",E971&lt;&gt;"Scope",F971=""),"",IFERROR(INDEX(SCOPES!$K$5:$K$2000,MATCH(F971,SCOPES!$A$5:$A$2000,0)),"UNMATCHED"))</f>
        <v/>
      </c>
    </row>
    <row r="972" ht="21.75" customHeight="1" s="130">
      <c r="J972" s="107">
        <f>IF(OR(B972&lt;&gt;"WorkPackage",D972&lt;&gt;"tracks_scope",E972&lt;&gt;"Scope",F972=""),"",IFERROR(INDEX(SCOPES!$K$5:$K$2000,MATCH(F972,SCOPES!$A$5:$A$2000,0)),"UNMATCHED"))</f>
        <v/>
      </c>
    </row>
    <row r="973" ht="21.75" customHeight="1" s="130">
      <c r="J973" s="107">
        <f>IF(OR(B973&lt;&gt;"WorkPackage",D973&lt;&gt;"tracks_scope",E973&lt;&gt;"Scope",F973=""),"",IFERROR(INDEX(SCOPES!$K$5:$K$2000,MATCH(F973,SCOPES!$A$5:$A$2000,0)),"UNMATCHED"))</f>
        <v/>
      </c>
    </row>
    <row r="974" ht="21.75" customHeight="1" s="130">
      <c r="J974" s="107">
        <f>IF(OR(B974&lt;&gt;"WorkPackage",D974&lt;&gt;"tracks_scope",E974&lt;&gt;"Scope",F974=""),"",IFERROR(INDEX(SCOPES!$K$5:$K$2000,MATCH(F974,SCOPES!$A$5:$A$2000,0)),"UNMATCHED"))</f>
        <v/>
      </c>
    </row>
    <row r="975" ht="21.75" customHeight="1" s="130">
      <c r="J975" s="107">
        <f>IF(OR(B975&lt;&gt;"WorkPackage",D975&lt;&gt;"tracks_scope",E975&lt;&gt;"Scope",F975=""),"",IFERROR(INDEX(SCOPES!$K$5:$K$2000,MATCH(F975,SCOPES!$A$5:$A$2000,0)),"UNMATCHED"))</f>
        <v/>
      </c>
    </row>
    <row r="976" ht="21.75" customHeight="1" s="130">
      <c r="J976" s="107">
        <f>IF(OR(B976&lt;&gt;"WorkPackage",D976&lt;&gt;"tracks_scope",E976&lt;&gt;"Scope",F976=""),"",IFERROR(INDEX(SCOPES!$K$5:$K$2000,MATCH(F976,SCOPES!$A$5:$A$2000,0)),"UNMATCHED"))</f>
        <v/>
      </c>
    </row>
    <row r="977" ht="21.75" customHeight="1" s="130">
      <c r="J977" s="107">
        <f>IF(OR(B977&lt;&gt;"WorkPackage",D977&lt;&gt;"tracks_scope",E977&lt;&gt;"Scope",F977=""),"",IFERROR(INDEX(SCOPES!$K$5:$K$2000,MATCH(F977,SCOPES!$A$5:$A$2000,0)),"UNMATCHED"))</f>
        <v/>
      </c>
    </row>
    <row r="978" ht="21.75" customHeight="1" s="130">
      <c r="J978" s="107">
        <f>IF(OR(B978&lt;&gt;"WorkPackage",D978&lt;&gt;"tracks_scope",E978&lt;&gt;"Scope",F978=""),"",IFERROR(INDEX(SCOPES!$K$5:$K$2000,MATCH(F978,SCOPES!$A$5:$A$2000,0)),"UNMATCHED"))</f>
        <v/>
      </c>
    </row>
    <row r="979" ht="21.75" customHeight="1" s="130">
      <c r="J979" s="107">
        <f>IF(OR(B979&lt;&gt;"WorkPackage",D979&lt;&gt;"tracks_scope",E979&lt;&gt;"Scope",F979=""),"",IFERROR(INDEX(SCOPES!$K$5:$K$2000,MATCH(F979,SCOPES!$A$5:$A$2000,0)),"UNMATCHED"))</f>
        <v/>
      </c>
    </row>
    <row r="980" ht="21.75" customHeight="1" s="130">
      <c r="J980" s="107">
        <f>IF(OR(B980&lt;&gt;"WorkPackage",D980&lt;&gt;"tracks_scope",E980&lt;&gt;"Scope",F980=""),"",IFERROR(INDEX(SCOPES!$K$5:$K$2000,MATCH(F980,SCOPES!$A$5:$A$2000,0)),"UNMATCHED"))</f>
        <v/>
      </c>
    </row>
    <row r="981" ht="21.75" customHeight="1" s="130">
      <c r="J981" s="107">
        <f>IF(OR(B981&lt;&gt;"WorkPackage",D981&lt;&gt;"tracks_scope",E981&lt;&gt;"Scope",F981=""),"",IFERROR(INDEX(SCOPES!$K$5:$K$2000,MATCH(F981,SCOPES!$A$5:$A$2000,0)),"UNMATCHED"))</f>
        <v/>
      </c>
    </row>
    <row r="982" ht="21.75" customHeight="1" s="130">
      <c r="J982" s="107">
        <f>IF(OR(B982&lt;&gt;"WorkPackage",D982&lt;&gt;"tracks_scope",E982&lt;&gt;"Scope",F982=""),"",IFERROR(INDEX(SCOPES!$K$5:$K$2000,MATCH(F982,SCOPES!$A$5:$A$2000,0)),"UNMATCHED"))</f>
        <v/>
      </c>
    </row>
    <row r="983" ht="21.75" customHeight="1" s="130">
      <c r="J983" s="107">
        <f>IF(OR(B983&lt;&gt;"WorkPackage",D983&lt;&gt;"tracks_scope",E983&lt;&gt;"Scope",F983=""),"",IFERROR(INDEX(SCOPES!$K$5:$K$2000,MATCH(F983,SCOPES!$A$5:$A$2000,0)),"UNMATCHED"))</f>
        <v/>
      </c>
    </row>
    <row r="984" ht="21.75" customHeight="1" s="130">
      <c r="J984" s="107">
        <f>IF(OR(B984&lt;&gt;"WorkPackage",D984&lt;&gt;"tracks_scope",E984&lt;&gt;"Scope",F984=""),"",IFERROR(INDEX(SCOPES!$K$5:$K$2000,MATCH(F984,SCOPES!$A$5:$A$2000,0)),"UNMATCHED"))</f>
        <v/>
      </c>
    </row>
    <row r="985" ht="21.75" customHeight="1" s="130">
      <c r="J985" s="107">
        <f>IF(OR(B985&lt;&gt;"WorkPackage",D985&lt;&gt;"tracks_scope",E985&lt;&gt;"Scope",F985=""),"",IFERROR(INDEX(SCOPES!$K$5:$K$2000,MATCH(F985,SCOPES!$A$5:$A$2000,0)),"UNMATCHED"))</f>
        <v/>
      </c>
    </row>
    <row r="986" ht="21.75" customHeight="1" s="130">
      <c r="J986" s="107">
        <f>IF(OR(B986&lt;&gt;"WorkPackage",D986&lt;&gt;"tracks_scope",E986&lt;&gt;"Scope",F986=""),"",IFERROR(INDEX(SCOPES!$K$5:$K$2000,MATCH(F986,SCOPES!$A$5:$A$2000,0)),"UNMATCHED"))</f>
        <v/>
      </c>
    </row>
    <row r="987" ht="21.75" customHeight="1" s="130">
      <c r="J987" s="107">
        <f>IF(OR(B987&lt;&gt;"WorkPackage",D987&lt;&gt;"tracks_scope",E987&lt;&gt;"Scope",F987=""),"",IFERROR(INDEX(SCOPES!$K$5:$K$2000,MATCH(F987,SCOPES!$A$5:$A$2000,0)),"UNMATCHED"))</f>
        <v/>
      </c>
    </row>
    <row r="988" ht="21.75" customHeight="1" s="130">
      <c r="J988" s="107">
        <f>IF(OR(B988&lt;&gt;"WorkPackage",D988&lt;&gt;"tracks_scope",E988&lt;&gt;"Scope",F988=""),"",IFERROR(INDEX(SCOPES!$K$5:$K$2000,MATCH(F988,SCOPES!$A$5:$A$2000,0)),"UNMATCHED"))</f>
        <v/>
      </c>
    </row>
    <row r="989" ht="21.75" customHeight="1" s="130">
      <c r="J989" s="107">
        <f>IF(OR(B989&lt;&gt;"WorkPackage",D989&lt;&gt;"tracks_scope",E989&lt;&gt;"Scope",F989=""),"",IFERROR(INDEX(SCOPES!$K$5:$K$2000,MATCH(F989,SCOPES!$A$5:$A$2000,0)),"UNMATCHED"))</f>
        <v/>
      </c>
    </row>
    <row r="990" ht="21.75" customHeight="1" s="130">
      <c r="J990" s="107">
        <f>IF(OR(B990&lt;&gt;"WorkPackage",D990&lt;&gt;"tracks_scope",E990&lt;&gt;"Scope",F990=""),"",IFERROR(INDEX(SCOPES!$K$5:$K$2000,MATCH(F990,SCOPES!$A$5:$A$2000,0)),"UNMATCHED"))</f>
        <v/>
      </c>
    </row>
    <row r="991" ht="21.75" customHeight="1" s="130">
      <c r="J991" s="107">
        <f>IF(OR(B991&lt;&gt;"WorkPackage",D991&lt;&gt;"tracks_scope",E991&lt;&gt;"Scope",F991=""),"",IFERROR(INDEX(SCOPES!$K$5:$K$2000,MATCH(F991,SCOPES!$A$5:$A$2000,0)),"UNMATCHED"))</f>
        <v/>
      </c>
    </row>
    <row r="992" ht="21.75" customHeight="1" s="130">
      <c r="J992" s="107">
        <f>IF(OR(B992&lt;&gt;"WorkPackage",D992&lt;&gt;"tracks_scope",E992&lt;&gt;"Scope",F992=""),"",IFERROR(INDEX(SCOPES!$K$5:$K$2000,MATCH(F992,SCOPES!$A$5:$A$2000,0)),"UNMATCHED"))</f>
        <v/>
      </c>
    </row>
    <row r="993" ht="21.75" customHeight="1" s="130">
      <c r="J993" s="107">
        <f>IF(OR(B993&lt;&gt;"WorkPackage",D993&lt;&gt;"tracks_scope",E993&lt;&gt;"Scope",F993=""),"",IFERROR(INDEX(SCOPES!$K$5:$K$2000,MATCH(F993,SCOPES!$A$5:$A$2000,0)),"UNMATCHED"))</f>
        <v/>
      </c>
    </row>
    <row r="994" ht="21.75" customHeight="1" s="130">
      <c r="J994" s="107">
        <f>IF(OR(B994&lt;&gt;"WorkPackage",D994&lt;&gt;"tracks_scope",E994&lt;&gt;"Scope",F994=""),"",IFERROR(INDEX(SCOPES!$K$5:$K$2000,MATCH(F994,SCOPES!$A$5:$A$2000,0)),"UNMATCHED"))</f>
        <v/>
      </c>
    </row>
    <row r="995" ht="21.75" customHeight="1" s="130">
      <c r="J995" s="107">
        <f>IF(OR(B995&lt;&gt;"WorkPackage",D995&lt;&gt;"tracks_scope",E995&lt;&gt;"Scope",F995=""),"",IFERROR(INDEX(SCOPES!$K$5:$K$2000,MATCH(F995,SCOPES!$A$5:$A$2000,0)),"UNMATCHED"))</f>
        <v/>
      </c>
    </row>
    <row r="996" ht="21.75" customHeight="1" s="130">
      <c r="J996" s="107">
        <f>IF(OR(B996&lt;&gt;"WorkPackage",D996&lt;&gt;"tracks_scope",E996&lt;&gt;"Scope",F996=""),"",IFERROR(INDEX(SCOPES!$K$5:$K$2000,MATCH(F996,SCOPES!$A$5:$A$2000,0)),"UNMATCHED"))</f>
        <v/>
      </c>
    </row>
    <row r="997" ht="21.75" customHeight="1" s="130">
      <c r="J997" s="107">
        <f>IF(OR(B997&lt;&gt;"WorkPackage",D997&lt;&gt;"tracks_scope",E997&lt;&gt;"Scope",F997=""),"",IFERROR(INDEX(SCOPES!$K$5:$K$2000,MATCH(F997,SCOPES!$A$5:$A$2000,0)),"UNMATCHED"))</f>
        <v/>
      </c>
    </row>
    <row r="998" ht="21.75" customHeight="1" s="130">
      <c r="J998" s="107">
        <f>IF(OR(B998&lt;&gt;"WorkPackage",D998&lt;&gt;"tracks_scope",E998&lt;&gt;"Scope",F998=""),"",IFERROR(INDEX(SCOPES!$K$5:$K$2000,MATCH(F998,SCOPES!$A$5:$A$2000,0)),"UNMATCHED"))</f>
        <v/>
      </c>
    </row>
    <row r="999" ht="21.75" customHeight="1" s="130">
      <c r="J999" s="107">
        <f>IF(OR(B999&lt;&gt;"WorkPackage",D999&lt;&gt;"tracks_scope",E999&lt;&gt;"Scope",F999=""),"",IFERROR(INDEX(SCOPES!$K$5:$K$2000,MATCH(F999,SCOPES!$A$5:$A$2000,0)),"UNMATCHED"))</f>
        <v/>
      </c>
    </row>
    <row r="1000" ht="21.75" customHeight="1" s="130">
      <c r="J1000" s="107">
        <f>IF(OR(B1000&lt;&gt;"WorkPackage",D1000&lt;&gt;"tracks_scope",E1000&lt;&gt;"Scope",F1000=""),"",IFERROR(INDEX(SCOPES!$K$5:$K$2000,MATCH(F1000,SCOPES!$A$5:$A$2000,0)),"UNMATCHED"))</f>
        <v/>
      </c>
    </row>
    <row r="1001" ht="21.75" customHeight="1" s="130">
      <c r="J1001" s="107">
        <f>IF(OR(B1001&lt;&gt;"WorkPackage",D1001&lt;&gt;"tracks_scope",E1001&lt;&gt;"Scope",F1001=""),"",IFERROR(INDEX(SCOPES!$K$5:$K$2000,MATCH(F1001,SCOPES!$A$5:$A$2000,0)),"UNMATCHED"))</f>
        <v/>
      </c>
    </row>
    <row r="1002" ht="21.75" customHeight="1" s="130">
      <c r="J1002" s="107">
        <f>IF(OR(B1002&lt;&gt;"WorkPackage",D1002&lt;&gt;"tracks_scope",E1002&lt;&gt;"Scope",F1002=""),"",IFERROR(INDEX(SCOPES!$K$5:$K$2000,MATCH(F1002,SCOPES!$A$5:$A$2000,0)),"UNMATCHED"))</f>
        <v/>
      </c>
    </row>
    <row r="1003" ht="21.75" customHeight="1" s="130">
      <c r="J1003" s="107">
        <f>IF(OR(B1003&lt;&gt;"WorkPackage",D1003&lt;&gt;"tracks_scope",E1003&lt;&gt;"Scope",F1003=""),"",IFERROR(INDEX(SCOPES!$K$5:$K$2000,MATCH(F1003,SCOPES!$A$5:$A$2000,0)),"UNMATCHED"))</f>
        <v/>
      </c>
    </row>
    <row r="1004" ht="21.75" customHeight="1" s="130">
      <c r="J1004" s="107">
        <f>IF(OR(B1004&lt;&gt;"WorkPackage",D1004&lt;&gt;"tracks_scope",E1004&lt;&gt;"Scope",F1004=""),"",IFERROR(INDEX(SCOPES!$K$5:$K$2000,MATCH(F1004,SCOPES!$A$5:$A$2000,0)),"UNMATCHED"))</f>
        <v/>
      </c>
    </row>
    <row r="1005" ht="21.75" customHeight="1" s="130">
      <c r="J1005" s="107">
        <f>IF(OR(B1005&lt;&gt;"WorkPackage",D1005&lt;&gt;"tracks_scope",E1005&lt;&gt;"Scope",F1005=""),"",IFERROR(INDEX(SCOPES!$K$5:$K$2000,MATCH(F1005,SCOPES!$A$5:$A$2000,0)),"UNMATCHED"))</f>
        <v/>
      </c>
    </row>
    <row r="1006" ht="21.75" customHeight="1" s="130">
      <c r="J1006" s="107">
        <f>IF(OR(B1006&lt;&gt;"WorkPackage",D1006&lt;&gt;"tracks_scope",E1006&lt;&gt;"Scope",F1006=""),"",IFERROR(INDEX(SCOPES!$K$5:$K$2000,MATCH(F1006,SCOPES!$A$5:$A$2000,0)),"UNMATCHED"))</f>
        <v/>
      </c>
    </row>
    <row r="1007" ht="21.75" customHeight="1" s="130">
      <c r="J1007" s="107">
        <f>IF(OR(B1007&lt;&gt;"WorkPackage",D1007&lt;&gt;"tracks_scope",E1007&lt;&gt;"Scope",F1007=""),"",IFERROR(INDEX(SCOPES!$K$5:$K$2000,MATCH(F1007,SCOPES!$A$5:$A$2000,0)),"UNMATCHED"))</f>
        <v/>
      </c>
    </row>
    <row r="1008" ht="21.75" customHeight="1" s="130">
      <c r="J1008" s="107">
        <f>IF(OR(B1008&lt;&gt;"WorkPackage",D1008&lt;&gt;"tracks_scope",E1008&lt;&gt;"Scope",F1008=""),"",IFERROR(INDEX(SCOPES!$K$5:$K$2000,MATCH(F1008,SCOPES!$A$5:$A$2000,0)),"UNMATCHED"))</f>
        <v/>
      </c>
    </row>
    <row r="1009" ht="21.75" customHeight="1" s="130">
      <c r="J1009" s="107">
        <f>IF(OR(B1009&lt;&gt;"WorkPackage",D1009&lt;&gt;"tracks_scope",E1009&lt;&gt;"Scope",F1009=""),"",IFERROR(INDEX(SCOPES!$K$5:$K$2000,MATCH(F1009,SCOPES!$A$5:$A$2000,0)),"UNMATCHED"))</f>
        <v/>
      </c>
    </row>
    <row r="1010" ht="21.75" customHeight="1" s="130">
      <c r="J1010" s="107">
        <f>IF(OR(B1010&lt;&gt;"WorkPackage",D1010&lt;&gt;"tracks_scope",E1010&lt;&gt;"Scope",F1010=""),"",IFERROR(INDEX(SCOPES!$K$5:$K$2000,MATCH(F1010,SCOPES!$A$5:$A$2000,0)),"UNMATCHED"))</f>
        <v/>
      </c>
    </row>
    <row r="1011" ht="21.75" customHeight="1" s="130">
      <c r="J1011" s="107">
        <f>IF(OR(B1011&lt;&gt;"WorkPackage",D1011&lt;&gt;"tracks_scope",E1011&lt;&gt;"Scope",F1011=""),"",IFERROR(INDEX(SCOPES!$K$5:$K$2000,MATCH(F1011,SCOPES!$A$5:$A$2000,0)),"UNMATCHED"))</f>
        <v/>
      </c>
    </row>
    <row r="1012" ht="21.75" customHeight="1" s="130">
      <c r="J1012" s="107">
        <f>IF(OR(B1012&lt;&gt;"WorkPackage",D1012&lt;&gt;"tracks_scope",E1012&lt;&gt;"Scope",F1012=""),"",IFERROR(INDEX(SCOPES!$K$5:$K$2000,MATCH(F1012,SCOPES!$A$5:$A$2000,0)),"UNMATCHED"))</f>
        <v/>
      </c>
    </row>
    <row r="1013" ht="21.75" customHeight="1" s="130">
      <c r="J1013" s="107">
        <f>IF(OR(B1013&lt;&gt;"WorkPackage",D1013&lt;&gt;"tracks_scope",E1013&lt;&gt;"Scope",F1013=""),"",IFERROR(INDEX(SCOPES!$K$5:$K$2000,MATCH(F1013,SCOPES!$A$5:$A$2000,0)),"UNMATCHED"))</f>
        <v/>
      </c>
    </row>
    <row r="1014" ht="21.75" customHeight="1" s="130">
      <c r="J1014" s="107">
        <f>IF(OR(B1014&lt;&gt;"WorkPackage",D1014&lt;&gt;"tracks_scope",E1014&lt;&gt;"Scope",F1014=""),"",IFERROR(INDEX(SCOPES!$K$5:$K$2000,MATCH(F1014,SCOPES!$A$5:$A$2000,0)),"UNMATCHED"))</f>
        <v/>
      </c>
    </row>
    <row r="1015" ht="21.75" customHeight="1" s="130">
      <c r="J1015" s="107">
        <f>IF(OR(B1015&lt;&gt;"WorkPackage",D1015&lt;&gt;"tracks_scope",E1015&lt;&gt;"Scope",F1015=""),"",IFERROR(INDEX(SCOPES!$K$5:$K$2000,MATCH(F1015,SCOPES!$A$5:$A$2000,0)),"UNMATCHED"))</f>
        <v/>
      </c>
    </row>
    <row r="1016" ht="21.75" customHeight="1" s="130">
      <c r="J1016" s="107">
        <f>IF(OR(B1016&lt;&gt;"WorkPackage",D1016&lt;&gt;"tracks_scope",E1016&lt;&gt;"Scope",F1016=""),"",IFERROR(INDEX(SCOPES!$K$5:$K$2000,MATCH(F1016,SCOPES!$A$5:$A$2000,0)),"UNMATCHED"))</f>
        <v/>
      </c>
    </row>
    <row r="1017" ht="21.75" customHeight="1" s="130">
      <c r="J1017" s="107">
        <f>IF(OR(B1017&lt;&gt;"WorkPackage",D1017&lt;&gt;"tracks_scope",E1017&lt;&gt;"Scope",F1017=""),"",IFERROR(INDEX(SCOPES!$K$5:$K$2000,MATCH(F1017,SCOPES!$A$5:$A$2000,0)),"UNMATCHED"))</f>
        <v/>
      </c>
    </row>
    <row r="1018" ht="21.75" customHeight="1" s="130">
      <c r="J1018" s="107">
        <f>IF(OR(B1018&lt;&gt;"WorkPackage",D1018&lt;&gt;"tracks_scope",E1018&lt;&gt;"Scope",F1018=""),"",IFERROR(INDEX(SCOPES!$K$5:$K$2000,MATCH(F1018,SCOPES!$A$5:$A$2000,0)),"UNMATCHED"))</f>
        <v/>
      </c>
    </row>
    <row r="1019" ht="21.75" customHeight="1" s="130">
      <c r="J1019" s="107">
        <f>IF(OR(B1019&lt;&gt;"WorkPackage",D1019&lt;&gt;"tracks_scope",E1019&lt;&gt;"Scope",F1019=""),"",IFERROR(INDEX(SCOPES!$K$5:$K$2000,MATCH(F1019,SCOPES!$A$5:$A$2000,0)),"UNMATCHED"))</f>
        <v/>
      </c>
    </row>
    <row r="1020" ht="21.75" customHeight="1" s="130">
      <c r="J1020" s="107">
        <f>IF(OR(B1020&lt;&gt;"WorkPackage",D1020&lt;&gt;"tracks_scope",E1020&lt;&gt;"Scope",F1020=""),"",IFERROR(INDEX(SCOPES!$K$5:$K$2000,MATCH(F1020,SCOPES!$A$5:$A$2000,0)),"UNMATCHED"))</f>
        <v/>
      </c>
    </row>
    <row r="1021" ht="21.75" customHeight="1" s="130">
      <c r="J1021" s="107">
        <f>IF(OR(B1021&lt;&gt;"WorkPackage",D1021&lt;&gt;"tracks_scope",E1021&lt;&gt;"Scope",F1021=""),"",IFERROR(INDEX(SCOPES!$K$5:$K$2000,MATCH(F1021,SCOPES!$A$5:$A$2000,0)),"UNMATCHED"))</f>
        <v/>
      </c>
    </row>
    <row r="1022" ht="21.75" customHeight="1" s="130">
      <c r="J1022" s="107">
        <f>IF(OR(B1022&lt;&gt;"WorkPackage",D1022&lt;&gt;"tracks_scope",E1022&lt;&gt;"Scope",F1022=""),"",IFERROR(INDEX(SCOPES!$K$5:$K$2000,MATCH(F1022,SCOPES!$A$5:$A$2000,0)),"UNMATCHED"))</f>
        <v/>
      </c>
    </row>
    <row r="1023" ht="21.75" customHeight="1" s="130">
      <c r="J1023" s="107">
        <f>IF(OR(B1023&lt;&gt;"WorkPackage",D1023&lt;&gt;"tracks_scope",E1023&lt;&gt;"Scope",F1023=""),"",IFERROR(INDEX(SCOPES!$K$5:$K$2000,MATCH(F1023,SCOPES!$A$5:$A$2000,0)),"UNMATCHED"))</f>
        <v/>
      </c>
    </row>
    <row r="1024" ht="21.75" customHeight="1" s="130">
      <c r="J1024" s="107">
        <f>IF(OR(B1024&lt;&gt;"WorkPackage",D1024&lt;&gt;"tracks_scope",E1024&lt;&gt;"Scope",F1024=""),"",IFERROR(INDEX(SCOPES!$K$5:$K$2000,MATCH(F1024,SCOPES!$A$5:$A$2000,0)),"UNMATCHED"))</f>
        <v/>
      </c>
    </row>
    <row r="1025" ht="21.75" customHeight="1" s="130">
      <c r="J1025" s="107">
        <f>IF(OR(B1025&lt;&gt;"WorkPackage",D1025&lt;&gt;"tracks_scope",E1025&lt;&gt;"Scope",F1025=""),"",IFERROR(INDEX(SCOPES!$K$5:$K$2000,MATCH(F1025,SCOPES!$A$5:$A$2000,0)),"UNMATCHED"))</f>
        <v/>
      </c>
    </row>
    <row r="1026" ht="21.75" customHeight="1" s="130">
      <c r="J1026" s="107">
        <f>IF(OR(B1026&lt;&gt;"WorkPackage",D1026&lt;&gt;"tracks_scope",E1026&lt;&gt;"Scope",F1026=""),"",IFERROR(INDEX(SCOPES!$K$5:$K$2000,MATCH(F1026,SCOPES!$A$5:$A$2000,0)),"UNMATCHED"))</f>
        <v/>
      </c>
    </row>
    <row r="1027" ht="21.75" customHeight="1" s="130">
      <c r="J1027" s="107">
        <f>IF(OR(B1027&lt;&gt;"WorkPackage",D1027&lt;&gt;"tracks_scope",E1027&lt;&gt;"Scope",F1027=""),"",IFERROR(INDEX(SCOPES!$K$5:$K$2000,MATCH(F1027,SCOPES!$A$5:$A$2000,0)),"UNMATCHED"))</f>
        <v/>
      </c>
    </row>
    <row r="1028" ht="21.75" customHeight="1" s="130">
      <c r="J1028" s="107">
        <f>IF(OR(B1028&lt;&gt;"WorkPackage",D1028&lt;&gt;"tracks_scope",E1028&lt;&gt;"Scope",F1028=""),"",IFERROR(INDEX(SCOPES!$K$5:$K$2000,MATCH(F1028,SCOPES!$A$5:$A$2000,0)),"UNMATCHED"))</f>
        <v/>
      </c>
    </row>
    <row r="1029" ht="21.75" customHeight="1" s="130">
      <c r="J1029" s="107">
        <f>IF(OR(B1029&lt;&gt;"WorkPackage",D1029&lt;&gt;"tracks_scope",E1029&lt;&gt;"Scope",F1029=""),"",IFERROR(INDEX(SCOPES!$K$5:$K$2000,MATCH(F1029,SCOPES!$A$5:$A$2000,0)),"UNMATCHED"))</f>
        <v/>
      </c>
    </row>
    <row r="1030" ht="21.75" customHeight="1" s="130">
      <c r="J1030" s="107">
        <f>IF(OR(B1030&lt;&gt;"WorkPackage",D1030&lt;&gt;"tracks_scope",E1030&lt;&gt;"Scope",F1030=""),"",IFERROR(INDEX(SCOPES!$K$5:$K$2000,MATCH(F1030,SCOPES!$A$5:$A$2000,0)),"UNMATCHED"))</f>
        <v/>
      </c>
    </row>
    <row r="1031" ht="21.75" customHeight="1" s="130">
      <c r="J1031" s="107">
        <f>IF(OR(B1031&lt;&gt;"WorkPackage",D1031&lt;&gt;"tracks_scope",E1031&lt;&gt;"Scope",F1031=""),"",IFERROR(INDEX(SCOPES!$K$5:$K$2000,MATCH(F1031,SCOPES!$A$5:$A$2000,0)),"UNMATCHED"))</f>
        <v/>
      </c>
    </row>
    <row r="1032" ht="21.75" customHeight="1" s="130">
      <c r="J1032" s="107">
        <f>IF(OR(B1032&lt;&gt;"WorkPackage",D1032&lt;&gt;"tracks_scope",E1032&lt;&gt;"Scope",F1032=""),"",IFERROR(INDEX(SCOPES!$K$5:$K$2000,MATCH(F1032,SCOPES!$A$5:$A$2000,0)),"UNMATCHED"))</f>
        <v/>
      </c>
    </row>
    <row r="1033" ht="21.75" customHeight="1" s="130">
      <c r="J1033" s="107">
        <f>IF(OR(B1033&lt;&gt;"WorkPackage",D1033&lt;&gt;"tracks_scope",E1033&lt;&gt;"Scope",F1033=""),"",IFERROR(INDEX(SCOPES!$K$5:$K$2000,MATCH(F1033,SCOPES!$A$5:$A$2000,0)),"UNMATCHED"))</f>
        <v/>
      </c>
    </row>
    <row r="1034" ht="21.75" customHeight="1" s="130">
      <c r="J1034" s="107">
        <f>IF(OR(B1034&lt;&gt;"WorkPackage",D1034&lt;&gt;"tracks_scope",E1034&lt;&gt;"Scope",F1034=""),"",IFERROR(INDEX(SCOPES!$K$5:$K$2000,MATCH(F1034,SCOPES!$A$5:$A$2000,0)),"UNMATCHED"))</f>
        <v/>
      </c>
    </row>
    <row r="1035" ht="21.75" customHeight="1" s="130">
      <c r="J1035" s="107">
        <f>IF(OR(B1035&lt;&gt;"WorkPackage",D1035&lt;&gt;"tracks_scope",E1035&lt;&gt;"Scope",F1035=""),"",IFERROR(INDEX(SCOPES!$K$5:$K$2000,MATCH(F1035,SCOPES!$A$5:$A$2000,0)),"UNMATCHED"))</f>
        <v/>
      </c>
    </row>
    <row r="1036" ht="21.75" customHeight="1" s="130">
      <c r="J1036" s="107">
        <f>IF(OR(B1036&lt;&gt;"WorkPackage",D1036&lt;&gt;"tracks_scope",E1036&lt;&gt;"Scope",F1036=""),"",IFERROR(INDEX(SCOPES!$K$5:$K$2000,MATCH(F1036,SCOPES!$A$5:$A$2000,0)),"UNMATCHED"))</f>
        <v/>
      </c>
    </row>
    <row r="1037" ht="21.75" customHeight="1" s="130">
      <c r="J1037" s="107">
        <f>IF(OR(B1037&lt;&gt;"WorkPackage",D1037&lt;&gt;"tracks_scope",E1037&lt;&gt;"Scope",F1037=""),"",IFERROR(INDEX(SCOPES!$K$5:$K$2000,MATCH(F1037,SCOPES!$A$5:$A$2000,0)),"UNMATCHED"))</f>
        <v/>
      </c>
    </row>
    <row r="1038" ht="21.75" customHeight="1" s="130">
      <c r="J1038" s="107">
        <f>IF(OR(B1038&lt;&gt;"WorkPackage",D1038&lt;&gt;"tracks_scope",E1038&lt;&gt;"Scope",F1038=""),"",IFERROR(INDEX(SCOPES!$K$5:$K$2000,MATCH(F1038,SCOPES!$A$5:$A$2000,0)),"UNMATCHED"))</f>
        <v/>
      </c>
    </row>
    <row r="1039" ht="21.75" customHeight="1" s="130">
      <c r="J1039" s="107">
        <f>IF(OR(B1039&lt;&gt;"WorkPackage",D1039&lt;&gt;"tracks_scope",E1039&lt;&gt;"Scope",F1039=""),"",IFERROR(INDEX(SCOPES!$K$5:$K$2000,MATCH(F1039,SCOPES!$A$5:$A$2000,0)),"UNMATCHED"))</f>
        <v/>
      </c>
    </row>
    <row r="1040" ht="21.75" customHeight="1" s="130">
      <c r="J1040" s="107">
        <f>IF(OR(B1040&lt;&gt;"WorkPackage",D1040&lt;&gt;"tracks_scope",E1040&lt;&gt;"Scope",F1040=""),"",IFERROR(INDEX(SCOPES!$K$5:$K$2000,MATCH(F1040,SCOPES!$A$5:$A$2000,0)),"UNMATCHED"))</f>
        <v/>
      </c>
    </row>
    <row r="1041" ht="21.75" customHeight="1" s="130">
      <c r="J1041" s="107">
        <f>IF(OR(B1041&lt;&gt;"WorkPackage",D1041&lt;&gt;"tracks_scope",E1041&lt;&gt;"Scope",F1041=""),"",IFERROR(INDEX(SCOPES!$K$5:$K$2000,MATCH(F1041,SCOPES!$A$5:$A$2000,0)),"UNMATCHED"))</f>
        <v/>
      </c>
    </row>
    <row r="1042" ht="21.75" customHeight="1" s="130">
      <c r="J1042" s="107">
        <f>IF(OR(B1042&lt;&gt;"WorkPackage",D1042&lt;&gt;"tracks_scope",E1042&lt;&gt;"Scope",F1042=""),"",IFERROR(INDEX(SCOPES!$K$5:$K$2000,MATCH(F1042,SCOPES!$A$5:$A$2000,0)),"UNMATCHED"))</f>
        <v/>
      </c>
    </row>
    <row r="1043" ht="21.75" customHeight="1" s="130">
      <c r="J1043" s="107">
        <f>IF(OR(B1043&lt;&gt;"WorkPackage",D1043&lt;&gt;"tracks_scope",E1043&lt;&gt;"Scope",F1043=""),"",IFERROR(INDEX(SCOPES!$K$5:$K$2000,MATCH(F1043,SCOPES!$A$5:$A$2000,0)),"UNMATCHED"))</f>
        <v/>
      </c>
    </row>
    <row r="1044" ht="21.75" customHeight="1" s="130">
      <c r="J1044" s="107">
        <f>IF(OR(B1044&lt;&gt;"WorkPackage",D1044&lt;&gt;"tracks_scope",E1044&lt;&gt;"Scope",F1044=""),"",IFERROR(INDEX(SCOPES!$K$5:$K$2000,MATCH(F1044,SCOPES!$A$5:$A$2000,0)),"UNMATCHED"))</f>
        <v/>
      </c>
    </row>
    <row r="1045" ht="21.75" customHeight="1" s="130">
      <c r="J1045" s="107">
        <f>IF(OR(B1045&lt;&gt;"WorkPackage",D1045&lt;&gt;"tracks_scope",E1045&lt;&gt;"Scope",F1045=""),"",IFERROR(INDEX(SCOPES!$K$5:$K$2000,MATCH(F1045,SCOPES!$A$5:$A$2000,0)),"UNMATCHED"))</f>
        <v/>
      </c>
    </row>
    <row r="1046" ht="21.75" customHeight="1" s="130">
      <c r="J1046" s="107">
        <f>IF(OR(B1046&lt;&gt;"WorkPackage",D1046&lt;&gt;"tracks_scope",E1046&lt;&gt;"Scope",F1046=""),"",IFERROR(INDEX(SCOPES!$K$5:$K$2000,MATCH(F1046,SCOPES!$A$5:$A$2000,0)),"UNMATCHED"))</f>
        <v/>
      </c>
    </row>
    <row r="1047" ht="21.75" customHeight="1" s="130">
      <c r="J1047" s="107">
        <f>IF(OR(B1047&lt;&gt;"WorkPackage",D1047&lt;&gt;"tracks_scope",E1047&lt;&gt;"Scope",F1047=""),"",IFERROR(INDEX(SCOPES!$K$5:$K$2000,MATCH(F1047,SCOPES!$A$5:$A$2000,0)),"UNMATCHED"))</f>
        <v/>
      </c>
    </row>
    <row r="1048" ht="21.75" customHeight="1" s="130">
      <c r="J1048" s="107">
        <f>IF(OR(B1048&lt;&gt;"WorkPackage",D1048&lt;&gt;"tracks_scope",E1048&lt;&gt;"Scope",F1048=""),"",IFERROR(INDEX(SCOPES!$K$5:$K$2000,MATCH(F1048,SCOPES!$A$5:$A$2000,0)),"UNMATCHED"))</f>
        <v/>
      </c>
    </row>
    <row r="1049" ht="21.75" customHeight="1" s="130">
      <c r="J1049" s="107">
        <f>IF(OR(B1049&lt;&gt;"WorkPackage",D1049&lt;&gt;"tracks_scope",E1049&lt;&gt;"Scope",F1049=""),"",IFERROR(INDEX(SCOPES!$K$5:$K$2000,MATCH(F1049,SCOPES!$A$5:$A$2000,0)),"UNMATCHED"))</f>
        <v/>
      </c>
    </row>
    <row r="1050" ht="21.75" customHeight="1" s="130">
      <c r="J1050" s="107">
        <f>IF(OR(B1050&lt;&gt;"WorkPackage",D1050&lt;&gt;"tracks_scope",E1050&lt;&gt;"Scope",F1050=""),"",IFERROR(INDEX(SCOPES!$K$5:$K$2000,MATCH(F1050,SCOPES!$A$5:$A$2000,0)),"UNMATCHED"))</f>
        <v/>
      </c>
    </row>
    <row r="1051" ht="21.75" customHeight="1" s="130">
      <c r="J1051" s="107">
        <f>IF(OR(B1051&lt;&gt;"WorkPackage",D1051&lt;&gt;"tracks_scope",E1051&lt;&gt;"Scope",F1051=""),"",IFERROR(INDEX(SCOPES!$K$5:$K$2000,MATCH(F1051,SCOPES!$A$5:$A$2000,0)),"UNMATCHED"))</f>
        <v/>
      </c>
    </row>
    <row r="1052" ht="21.75" customHeight="1" s="130">
      <c r="J1052" s="107">
        <f>IF(OR(B1052&lt;&gt;"WorkPackage",D1052&lt;&gt;"tracks_scope",E1052&lt;&gt;"Scope",F1052=""),"",IFERROR(INDEX(SCOPES!$K$5:$K$2000,MATCH(F1052,SCOPES!$A$5:$A$2000,0)),"UNMATCHED"))</f>
        <v/>
      </c>
    </row>
    <row r="1053" ht="21.75" customHeight="1" s="130">
      <c r="J1053" s="107">
        <f>IF(OR(B1053&lt;&gt;"WorkPackage",D1053&lt;&gt;"tracks_scope",E1053&lt;&gt;"Scope",F1053=""),"",IFERROR(INDEX(SCOPES!$K$5:$K$2000,MATCH(F1053,SCOPES!$A$5:$A$2000,0)),"UNMATCHED"))</f>
        <v/>
      </c>
    </row>
    <row r="1054" ht="21.75" customHeight="1" s="130">
      <c r="J1054" s="107">
        <f>IF(OR(B1054&lt;&gt;"WorkPackage",D1054&lt;&gt;"tracks_scope",E1054&lt;&gt;"Scope",F1054=""),"",IFERROR(INDEX(SCOPES!$K$5:$K$2000,MATCH(F1054,SCOPES!$A$5:$A$2000,0)),"UNMATCHED"))</f>
        <v/>
      </c>
    </row>
    <row r="1055" ht="21.75" customHeight="1" s="130">
      <c r="J1055" s="107">
        <f>IF(OR(B1055&lt;&gt;"WorkPackage",D1055&lt;&gt;"tracks_scope",E1055&lt;&gt;"Scope",F1055=""),"",IFERROR(INDEX(SCOPES!$K$5:$K$2000,MATCH(F1055,SCOPES!$A$5:$A$2000,0)),"UNMATCHED"))</f>
        <v/>
      </c>
    </row>
    <row r="1056" ht="21.75" customHeight="1" s="130">
      <c r="J1056" s="107">
        <f>IF(OR(B1056&lt;&gt;"WorkPackage",D1056&lt;&gt;"tracks_scope",E1056&lt;&gt;"Scope",F1056=""),"",IFERROR(INDEX(SCOPES!$K$5:$K$2000,MATCH(F1056,SCOPES!$A$5:$A$2000,0)),"UNMATCHED"))</f>
        <v/>
      </c>
    </row>
    <row r="1057" ht="21.75" customHeight="1" s="130">
      <c r="J1057" s="107">
        <f>IF(OR(B1057&lt;&gt;"WorkPackage",D1057&lt;&gt;"tracks_scope",E1057&lt;&gt;"Scope",F1057=""),"",IFERROR(INDEX(SCOPES!$K$5:$K$2000,MATCH(F1057,SCOPES!$A$5:$A$2000,0)),"UNMATCHED"))</f>
        <v/>
      </c>
    </row>
    <row r="1058" ht="21.75" customHeight="1" s="130">
      <c r="J1058" s="107">
        <f>IF(OR(B1058&lt;&gt;"WorkPackage",D1058&lt;&gt;"tracks_scope",E1058&lt;&gt;"Scope",F1058=""),"",IFERROR(INDEX(SCOPES!$K$5:$K$2000,MATCH(F1058,SCOPES!$A$5:$A$2000,0)),"UNMATCHED"))</f>
        <v/>
      </c>
    </row>
    <row r="1059" ht="21.75" customHeight="1" s="130">
      <c r="J1059" s="107">
        <f>IF(OR(B1059&lt;&gt;"WorkPackage",D1059&lt;&gt;"tracks_scope",E1059&lt;&gt;"Scope",F1059=""),"",IFERROR(INDEX(SCOPES!$K$5:$K$2000,MATCH(F1059,SCOPES!$A$5:$A$2000,0)),"UNMATCHED"))</f>
        <v/>
      </c>
    </row>
    <row r="1060" ht="21.75" customHeight="1" s="130">
      <c r="J1060" s="107">
        <f>IF(OR(B1060&lt;&gt;"WorkPackage",D1060&lt;&gt;"tracks_scope",E1060&lt;&gt;"Scope",F1060=""),"",IFERROR(INDEX(SCOPES!$K$5:$K$2000,MATCH(F1060,SCOPES!$A$5:$A$2000,0)),"UNMATCHED"))</f>
        <v/>
      </c>
    </row>
    <row r="1061" ht="21.75" customHeight="1" s="130">
      <c r="J1061" s="107">
        <f>IF(OR(B1061&lt;&gt;"WorkPackage",D1061&lt;&gt;"tracks_scope",E1061&lt;&gt;"Scope",F1061=""),"",IFERROR(INDEX(SCOPES!$K$5:$K$2000,MATCH(F1061,SCOPES!$A$5:$A$2000,0)),"UNMATCHED"))</f>
        <v/>
      </c>
    </row>
    <row r="1062" ht="21.75" customHeight="1" s="130">
      <c r="J1062" s="107">
        <f>IF(OR(B1062&lt;&gt;"WorkPackage",D1062&lt;&gt;"tracks_scope",E1062&lt;&gt;"Scope",F1062=""),"",IFERROR(INDEX(SCOPES!$K$5:$K$2000,MATCH(F1062,SCOPES!$A$5:$A$2000,0)),"UNMATCHED"))</f>
        <v/>
      </c>
    </row>
    <row r="1063" ht="21.75" customHeight="1" s="130">
      <c r="J1063" s="107">
        <f>IF(OR(B1063&lt;&gt;"WorkPackage",D1063&lt;&gt;"tracks_scope",E1063&lt;&gt;"Scope",F1063=""),"",IFERROR(INDEX(SCOPES!$K$5:$K$2000,MATCH(F1063,SCOPES!$A$5:$A$2000,0)),"UNMATCHED"))</f>
        <v/>
      </c>
    </row>
    <row r="1064" ht="21.75" customHeight="1" s="130">
      <c r="J1064" s="107">
        <f>IF(OR(B1064&lt;&gt;"WorkPackage",D1064&lt;&gt;"tracks_scope",E1064&lt;&gt;"Scope",F1064=""),"",IFERROR(INDEX(SCOPES!$K$5:$K$2000,MATCH(F1064,SCOPES!$A$5:$A$2000,0)),"UNMATCHED"))</f>
        <v/>
      </c>
    </row>
    <row r="1065" ht="21.75" customHeight="1" s="130">
      <c r="J1065" s="107">
        <f>IF(OR(B1065&lt;&gt;"WorkPackage",D1065&lt;&gt;"tracks_scope",E1065&lt;&gt;"Scope",F1065=""),"",IFERROR(INDEX(SCOPES!$K$5:$K$2000,MATCH(F1065,SCOPES!$A$5:$A$2000,0)),"UNMATCHED"))</f>
        <v/>
      </c>
    </row>
    <row r="1066" ht="21.75" customHeight="1" s="130">
      <c r="J1066" s="107">
        <f>IF(OR(B1066&lt;&gt;"WorkPackage",D1066&lt;&gt;"tracks_scope",E1066&lt;&gt;"Scope",F1066=""),"",IFERROR(INDEX(SCOPES!$K$5:$K$2000,MATCH(F1066,SCOPES!$A$5:$A$2000,0)),"UNMATCHED"))</f>
        <v/>
      </c>
    </row>
    <row r="1067" ht="21.75" customHeight="1" s="130">
      <c r="J1067" s="107">
        <f>IF(OR(B1067&lt;&gt;"WorkPackage",D1067&lt;&gt;"tracks_scope",E1067&lt;&gt;"Scope",F1067=""),"",IFERROR(INDEX(SCOPES!$K$5:$K$2000,MATCH(F1067,SCOPES!$A$5:$A$2000,0)),"UNMATCHED"))</f>
        <v/>
      </c>
    </row>
    <row r="1068" ht="21.75" customHeight="1" s="130">
      <c r="J1068" s="107">
        <f>IF(OR(B1068&lt;&gt;"WorkPackage",D1068&lt;&gt;"tracks_scope",E1068&lt;&gt;"Scope",F1068=""),"",IFERROR(INDEX(SCOPES!$K$5:$K$2000,MATCH(F1068,SCOPES!$A$5:$A$2000,0)),"UNMATCHED"))</f>
        <v/>
      </c>
    </row>
    <row r="1069" ht="21.75" customHeight="1" s="130">
      <c r="J1069" s="107">
        <f>IF(OR(B1069&lt;&gt;"WorkPackage",D1069&lt;&gt;"tracks_scope",E1069&lt;&gt;"Scope",F1069=""),"",IFERROR(INDEX(SCOPES!$K$5:$K$2000,MATCH(F1069,SCOPES!$A$5:$A$2000,0)),"UNMATCHED"))</f>
        <v/>
      </c>
    </row>
    <row r="1070" ht="21.75" customHeight="1" s="130">
      <c r="J1070" s="107">
        <f>IF(OR(B1070&lt;&gt;"WorkPackage",D1070&lt;&gt;"tracks_scope",E1070&lt;&gt;"Scope",F1070=""),"",IFERROR(INDEX(SCOPES!$K$5:$K$2000,MATCH(F1070,SCOPES!$A$5:$A$2000,0)),"UNMATCHED"))</f>
        <v/>
      </c>
    </row>
    <row r="1071" ht="21.75" customHeight="1" s="130">
      <c r="J1071" s="107">
        <f>IF(OR(B1071&lt;&gt;"WorkPackage",D1071&lt;&gt;"tracks_scope",E1071&lt;&gt;"Scope",F1071=""),"",IFERROR(INDEX(SCOPES!$K$5:$K$2000,MATCH(F1071,SCOPES!$A$5:$A$2000,0)),"UNMATCHED"))</f>
        <v/>
      </c>
    </row>
    <row r="1072" ht="21.75" customHeight="1" s="130">
      <c r="J1072" s="107">
        <f>IF(OR(B1072&lt;&gt;"WorkPackage",D1072&lt;&gt;"tracks_scope",E1072&lt;&gt;"Scope",F1072=""),"",IFERROR(INDEX(SCOPES!$K$5:$K$2000,MATCH(F1072,SCOPES!$A$5:$A$2000,0)),"UNMATCHED"))</f>
        <v/>
      </c>
    </row>
    <row r="1073" ht="21.75" customHeight="1" s="130">
      <c r="J1073" s="107">
        <f>IF(OR(B1073&lt;&gt;"WorkPackage",D1073&lt;&gt;"tracks_scope",E1073&lt;&gt;"Scope",F1073=""),"",IFERROR(INDEX(SCOPES!$K$5:$K$2000,MATCH(F1073,SCOPES!$A$5:$A$2000,0)),"UNMATCHED"))</f>
        <v/>
      </c>
    </row>
    <row r="1074" ht="21.75" customHeight="1" s="130">
      <c r="J1074" s="107">
        <f>IF(OR(B1074&lt;&gt;"WorkPackage",D1074&lt;&gt;"tracks_scope",E1074&lt;&gt;"Scope",F1074=""),"",IFERROR(INDEX(SCOPES!$K$5:$K$2000,MATCH(F1074,SCOPES!$A$5:$A$2000,0)),"UNMATCHED"))</f>
        <v/>
      </c>
    </row>
    <row r="1075" ht="21.75" customHeight="1" s="130">
      <c r="J1075" s="107">
        <f>IF(OR(B1075&lt;&gt;"WorkPackage",D1075&lt;&gt;"tracks_scope",E1075&lt;&gt;"Scope",F1075=""),"",IFERROR(INDEX(SCOPES!$K$5:$K$2000,MATCH(F1075,SCOPES!$A$5:$A$2000,0)),"UNMATCHED"))</f>
        <v/>
      </c>
    </row>
    <row r="1076" ht="21.75" customHeight="1" s="130">
      <c r="J1076" s="107">
        <f>IF(OR(B1076&lt;&gt;"WorkPackage",D1076&lt;&gt;"tracks_scope",E1076&lt;&gt;"Scope",F1076=""),"",IFERROR(INDEX(SCOPES!$K$5:$K$2000,MATCH(F1076,SCOPES!$A$5:$A$2000,0)),"UNMATCHED"))</f>
        <v/>
      </c>
    </row>
    <row r="1077" ht="21.75" customHeight="1" s="130">
      <c r="J1077" s="107">
        <f>IF(OR(B1077&lt;&gt;"WorkPackage",D1077&lt;&gt;"tracks_scope",E1077&lt;&gt;"Scope",F1077=""),"",IFERROR(INDEX(SCOPES!$K$5:$K$2000,MATCH(F1077,SCOPES!$A$5:$A$2000,0)),"UNMATCHED"))</f>
        <v/>
      </c>
    </row>
    <row r="1078" ht="21.75" customHeight="1" s="130">
      <c r="J1078" s="107">
        <f>IF(OR(B1078&lt;&gt;"WorkPackage",D1078&lt;&gt;"tracks_scope",E1078&lt;&gt;"Scope",F1078=""),"",IFERROR(INDEX(SCOPES!$K$5:$K$2000,MATCH(F1078,SCOPES!$A$5:$A$2000,0)),"UNMATCHED"))</f>
        <v/>
      </c>
    </row>
    <row r="1079" ht="21.75" customHeight="1" s="130">
      <c r="J1079" s="107">
        <f>IF(OR(B1079&lt;&gt;"WorkPackage",D1079&lt;&gt;"tracks_scope",E1079&lt;&gt;"Scope",F1079=""),"",IFERROR(INDEX(SCOPES!$K$5:$K$2000,MATCH(F1079,SCOPES!$A$5:$A$2000,0)),"UNMATCHED"))</f>
        <v/>
      </c>
    </row>
    <row r="1080" ht="21.75" customHeight="1" s="130">
      <c r="J1080" s="107">
        <f>IF(OR(B1080&lt;&gt;"WorkPackage",D1080&lt;&gt;"tracks_scope",E1080&lt;&gt;"Scope",F1080=""),"",IFERROR(INDEX(SCOPES!$K$5:$K$2000,MATCH(F1080,SCOPES!$A$5:$A$2000,0)),"UNMATCHED"))</f>
        <v/>
      </c>
    </row>
    <row r="1081" ht="21.75" customHeight="1" s="130">
      <c r="J1081" s="107">
        <f>IF(OR(B1081&lt;&gt;"WorkPackage",D1081&lt;&gt;"tracks_scope",E1081&lt;&gt;"Scope",F1081=""),"",IFERROR(INDEX(SCOPES!$K$5:$K$2000,MATCH(F1081,SCOPES!$A$5:$A$2000,0)),"UNMATCHED"))</f>
        <v/>
      </c>
    </row>
    <row r="1082" ht="21.75" customHeight="1" s="130">
      <c r="J1082" s="107">
        <f>IF(OR(B1082&lt;&gt;"WorkPackage",D1082&lt;&gt;"tracks_scope",E1082&lt;&gt;"Scope",F1082=""),"",IFERROR(INDEX(SCOPES!$K$5:$K$2000,MATCH(F1082,SCOPES!$A$5:$A$2000,0)),"UNMATCHED"))</f>
        <v/>
      </c>
    </row>
    <row r="1083" ht="21.75" customHeight="1" s="130">
      <c r="J1083" s="107">
        <f>IF(OR(B1083&lt;&gt;"WorkPackage",D1083&lt;&gt;"tracks_scope",E1083&lt;&gt;"Scope",F1083=""),"",IFERROR(INDEX(SCOPES!$K$5:$K$2000,MATCH(F1083,SCOPES!$A$5:$A$2000,0)),"UNMATCHED"))</f>
        <v/>
      </c>
    </row>
    <row r="1084" ht="21.75" customHeight="1" s="130">
      <c r="J1084" s="107">
        <f>IF(OR(B1084&lt;&gt;"WorkPackage",D1084&lt;&gt;"tracks_scope",E1084&lt;&gt;"Scope",F1084=""),"",IFERROR(INDEX(SCOPES!$K$5:$K$2000,MATCH(F1084,SCOPES!$A$5:$A$2000,0)),"UNMATCHED"))</f>
        <v/>
      </c>
    </row>
    <row r="1085" ht="21.75" customHeight="1" s="130">
      <c r="J1085" s="107">
        <f>IF(OR(B1085&lt;&gt;"WorkPackage",D1085&lt;&gt;"tracks_scope",E1085&lt;&gt;"Scope",F1085=""),"",IFERROR(INDEX(SCOPES!$K$5:$K$2000,MATCH(F1085,SCOPES!$A$5:$A$2000,0)),"UNMATCHED"))</f>
        <v/>
      </c>
    </row>
    <row r="1086" ht="21.75" customHeight="1" s="130">
      <c r="J1086" s="107">
        <f>IF(OR(B1086&lt;&gt;"WorkPackage",D1086&lt;&gt;"tracks_scope",E1086&lt;&gt;"Scope",F1086=""),"",IFERROR(INDEX(SCOPES!$K$5:$K$2000,MATCH(F1086,SCOPES!$A$5:$A$2000,0)),"UNMATCHED"))</f>
        <v/>
      </c>
    </row>
    <row r="1087" ht="21.75" customHeight="1" s="130">
      <c r="J1087" s="107">
        <f>IF(OR(B1087&lt;&gt;"WorkPackage",D1087&lt;&gt;"tracks_scope",E1087&lt;&gt;"Scope",F1087=""),"",IFERROR(INDEX(SCOPES!$K$5:$K$2000,MATCH(F1087,SCOPES!$A$5:$A$2000,0)),"UNMATCHED"))</f>
        <v/>
      </c>
    </row>
    <row r="1088" ht="21.75" customHeight="1" s="130">
      <c r="J1088" s="107">
        <f>IF(OR(B1088&lt;&gt;"WorkPackage",D1088&lt;&gt;"tracks_scope",E1088&lt;&gt;"Scope",F1088=""),"",IFERROR(INDEX(SCOPES!$K$5:$K$2000,MATCH(F1088,SCOPES!$A$5:$A$2000,0)),"UNMATCHED"))</f>
        <v/>
      </c>
    </row>
    <row r="1089" ht="21.75" customHeight="1" s="130">
      <c r="J1089" s="107">
        <f>IF(OR(B1089&lt;&gt;"WorkPackage",D1089&lt;&gt;"tracks_scope",E1089&lt;&gt;"Scope",F1089=""),"",IFERROR(INDEX(SCOPES!$K$5:$K$2000,MATCH(F1089,SCOPES!$A$5:$A$2000,0)),"UNMATCHED"))</f>
        <v/>
      </c>
    </row>
    <row r="1090" ht="21.75" customHeight="1" s="130">
      <c r="J1090" s="107">
        <f>IF(OR(B1090&lt;&gt;"WorkPackage",D1090&lt;&gt;"tracks_scope",E1090&lt;&gt;"Scope",F1090=""),"",IFERROR(INDEX(SCOPES!$K$5:$K$2000,MATCH(F1090,SCOPES!$A$5:$A$2000,0)),"UNMATCHED"))</f>
        <v/>
      </c>
    </row>
    <row r="1091" ht="21.75" customHeight="1" s="130">
      <c r="J1091" s="107">
        <f>IF(OR(B1091&lt;&gt;"WorkPackage",D1091&lt;&gt;"tracks_scope",E1091&lt;&gt;"Scope",F1091=""),"",IFERROR(INDEX(SCOPES!$K$5:$K$2000,MATCH(F1091,SCOPES!$A$5:$A$2000,0)),"UNMATCHED"))</f>
        <v/>
      </c>
    </row>
    <row r="1092" ht="21.75" customHeight="1" s="130">
      <c r="J1092" s="107">
        <f>IF(OR(B1092&lt;&gt;"WorkPackage",D1092&lt;&gt;"tracks_scope",E1092&lt;&gt;"Scope",F1092=""),"",IFERROR(INDEX(SCOPES!$K$5:$K$2000,MATCH(F1092,SCOPES!$A$5:$A$2000,0)),"UNMATCHED"))</f>
        <v/>
      </c>
    </row>
    <row r="1093" ht="21.75" customHeight="1" s="130">
      <c r="J1093" s="107">
        <f>IF(OR(B1093&lt;&gt;"WorkPackage",D1093&lt;&gt;"tracks_scope",E1093&lt;&gt;"Scope",F1093=""),"",IFERROR(INDEX(SCOPES!$K$5:$K$2000,MATCH(F1093,SCOPES!$A$5:$A$2000,0)),"UNMATCHED"))</f>
        <v/>
      </c>
    </row>
    <row r="1094" ht="21.75" customHeight="1" s="130">
      <c r="J1094" s="107">
        <f>IF(OR(B1094&lt;&gt;"WorkPackage",D1094&lt;&gt;"tracks_scope",E1094&lt;&gt;"Scope",F1094=""),"",IFERROR(INDEX(SCOPES!$K$5:$K$2000,MATCH(F1094,SCOPES!$A$5:$A$2000,0)),"UNMATCHED"))</f>
        <v/>
      </c>
    </row>
    <row r="1095" ht="21.75" customHeight="1" s="130">
      <c r="J1095" s="107">
        <f>IF(OR(B1095&lt;&gt;"WorkPackage",D1095&lt;&gt;"tracks_scope",E1095&lt;&gt;"Scope",F1095=""),"",IFERROR(INDEX(SCOPES!$K$5:$K$2000,MATCH(F1095,SCOPES!$A$5:$A$2000,0)),"UNMATCHED"))</f>
        <v/>
      </c>
    </row>
    <row r="1096" ht="21.75" customHeight="1" s="130">
      <c r="J1096" s="107">
        <f>IF(OR(B1096&lt;&gt;"WorkPackage",D1096&lt;&gt;"tracks_scope",E1096&lt;&gt;"Scope",F1096=""),"",IFERROR(INDEX(SCOPES!$K$5:$K$2000,MATCH(F1096,SCOPES!$A$5:$A$2000,0)),"UNMATCHED"))</f>
        <v/>
      </c>
    </row>
    <row r="1097" ht="21.75" customHeight="1" s="130">
      <c r="J1097" s="107">
        <f>IF(OR(B1097&lt;&gt;"WorkPackage",D1097&lt;&gt;"tracks_scope",E1097&lt;&gt;"Scope",F1097=""),"",IFERROR(INDEX(SCOPES!$K$5:$K$2000,MATCH(F1097,SCOPES!$A$5:$A$2000,0)),"UNMATCHED"))</f>
        <v/>
      </c>
    </row>
    <row r="1098" ht="21.75" customHeight="1" s="130">
      <c r="J1098" s="107">
        <f>IF(OR(B1098&lt;&gt;"WorkPackage",D1098&lt;&gt;"tracks_scope",E1098&lt;&gt;"Scope",F1098=""),"",IFERROR(INDEX(SCOPES!$K$5:$K$2000,MATCH(F1098,SCOPES!$A$5:$A$2000,0)),"UNMATCHED"))</f>
        <v/>
      </c>
    </row>
    <row r="1099" ht="21.75" customHeight="1" s="130">
      <c r="J1099" s="107">
        <f>IF(OR(B1099&lt;&gt;"WorkPackage",D1099&lt;&gt;"tracks_scope",E1099&lt;&gt;"Scope",F1099=""),"",IFERROR(INDEX(SCOPES!$K$5:$K$2000,MATCH(F1099,SCOPES!$A$5:$A$2000,0)),"UNMATCHED"))</f>
        <v/>
      </c>
    </row>
    <row r="1100" ht="21.75" customHeight="1" s="130">
      <c r="J1100" s="107">
        <f>IF(OR(B1100&lt;&gt;"WorkPackage",D1100&lt;&gt;"tracks_scope",E1100&lt;&gt;"Scope",F1100=""),"",IFERROR(INDEX(SCOPES!$K$5:$K$2000,MATCH(F1100,SCOPES!$A$5:$A$2000,0)),"UNMATCHED"))</f>
        <v/>
      </c>
    </row>
    <row r="1101" ht="21.75" customHeight="1" s="130">
      <c r="J1101" s="107">
        <f>IF(OR(B1101&lt;&gt;"WorkPackage",D1101&lt;&gt;"tracks_scope",E1101&lt;&gt;"Scope",F1101=""),"",IFERROR(INDEX(SCOPES!$K$5:$K$2000,MATCH(F1101,SCOPES!$A$5:$A$2000,0)),"UNMATCHED"))</f>
        <v/>
      </c>
    </row>
    <row r="1102" ht="21.75" customHeight="1" s="130">
      <c r="J1102" s="107">
        <f>IF(OR(B1102&lt;&gt;"WorkPackage",D1102&lt;&gt;"tracks_scope",E1102&lt;&gt;"Scope",F1102=""),"",IFERROR(INDEX(SCOPES!$K$5:$K$2000,MATCH(F1102,SCOPES!$A$5:$A$2000,0)),"UNMATCHED"))</f>
        <v/>
      </c>
    </row>
    <row r="1103" ht="21.75" customHeight="1" s="130">
      <c r="J1103" s="107">
        <f>IF(OR(B1103&lt;&gt;"WorkPackage",D1103&lt;&gt;"tracks_scope",E1103&lt;&gt;"Scope",F1103=""),"",IFERROR(INDEX(SCOPES!$K$5:$K$2000,MATCH(F1103,SCOPES!$A$5:$A$2000,0)),"UNMATCHED"))</f>
        <v/>
      </c>
    </row>
    <row r="1104" ht="21.75" customHeight="1" s="130">
      <c r="J1104" s="107">
        <f>IF(OR(B1104&lt;&gt;"WorkPackage",D1104&lt;&gt;"tracks_scope",E1104&lt;&gt;"Scope",F1104=""),"",IFERROR(INDEX(SCOPES!$K$5:$K$2000,MATCH(F1104,SCOPES!$A$5:$A$2000,0)),"UNMATCHED"))</f>
        <v/>
      </c>
    </row>
    <row r="1105" ht="21.75" customHeight="1" s="130">
      <c r="J1105" s="107">
        <f>IF(OR(B1105&lt;&gt;"WorkPackage",D1105&lt;&gt;"tracks_scope",E1105&lt;&gt;"Scope",F1105=""),"",IFERROR(INDEX(SCOPES!$K$5:$K$2000,MATCH(F1105,SCOPES!$A$5:$A$2000,0)),"UNMATCHED"))</f>
        <v/>
      </c>
    </row>
    <row r="1106" ht="21.75" customHeight="1" s="130">
      <c r="J1106" s="107">
        <f>IF(OR(B1106&lt;&gt;"WorkPackage",D1106&lt;&gt;"tracks_scope",E1106&lt;&gt;"Scope",F1106=""),"",IFERROR(INDEX(SCOPES!$K$5:$K$2000,MATCH(F1106,SCOPES!$A$5:$A$2000,0)),"UNMATCHED"))</f>
        <v/>
      </c>
    </row>
    <row r="1107" ht="21.75" customHeight="1" s="130">
      <c r="J1107" s="107">
        <f>IF(OR(B1107&lt;&gt;"WorkPackage",D1107&lt;&gt;"tracks_scope",E1107&lt;&gt;"Scope",F1107=""),"",IFERROR(INDEX(SCOPES!$K$5:$K$2000,MATCH(F1107,SCOPES!$A$5:$A$2000,0)),"UNMATCHED"))</f>
        <v/>
      </c>
    </row>
    <row r="1108" ht="21.75" customHeight="1" s="130">
      <c r="J1108" s="107">
        <f>IF(OR(B1108&lt;&gt;"WorkPackage",D1108&lt;&gt;"tracks_scope",E1108&lt;&gt;"Scope",F1108=""),"",IFERROR(INDEX(SCOPES!$K$5:$K$2000,MATCH(F1108,SCOPES!$A$5:$A$2000,0)),"UNMATCHED"))</f>
        <v/>
      </c>
    </row>
    <row r="1109" ht="21.75" customHeight="1" s="130">
      <c r="J1109" s="107">
        <f>IF(OR(B1109&lt;&gt;"WorkPackage",D1109&lt;&gt;"tracks_scope",E1109&lt;&gt;"Scope",F1109=""),"",IFERROR(INDEX(SCOPES!$K$5:$K$2000,MATCH(F1109,SCOPES!$A$5:$A$2000,0)),"UNMATCHED"))</f>
        <v/>
      </c>
    </row>
    <row r="1110" ht="21.75" customHeight="1" s="130">
      <c r="J1110" s="107">
        <f>IF(OR(B1110&lt;&gt;"WorkPackage",D1110&lt;&gt;"tracks_scope",E1110&lt;&gt;"Scope",F1110=""),"",IFERROR(INDEX(SCOPES!$K$5:$K$2000,MATCH(F1110,SCOPES!$A$5:$A$2000,0)),"UNMATCHED"))</f>
        <v/>
      </c>
    </row>
    <row r="1111" ht="21.75" customHeight="1" s="130">
      <c r="J1111" s="107">
        <f>IF(OR(B1111&lt;&gt;"WorkPackage",D1111&lt;&gt;"tracks_scope",E1111&lt;&gt;"Scope",F1111=""),"",IFERROR(INDEX(SCOPES!$K$5:$K$2000,MATCH(F1111,SCOPES!$A$5:$A$2000,0)),"UNMATCHED"))</f>
        <v/>
      </c>
    </row>
    <row r="1112" ht="21.75" customHeight="1" s="130">
      <c r="J1112" s="107">
        <f>IF(OR(B1112&lt;&gt;"WorkPackage",D1112&lt;&gt;"tracks_scope",E1112&lt;&gt;"Scope",F1112=""),"",IFERROR(INDEX(SCOPES!$K$5:$K$2000,MATCH(F1112,SCOPES!$A$5:$A$2000,0)),"UNMATCHED"))</f>
        <v/>
      </c>
    </row>
    <row r="1113" ht="21.75" customHeight="1" s="130">
      <c r="J1113" s="107">
        <f>IF(OR(B1113&lt;&gt;"WorkPackage",D1113&lt;&gt;"tracks_scope",E1113&lt;&gt;"Scope",F1113=""),"",IFERROR(INDEX(SCOPES!$K$5:$K$2000,MATCH(F1113,SCOPES!$A$5:$A$2000,0)),"UNMATCHED"))</f>
        <v/>
      </c>
    </row>
    <row r="1114" ht="21.75" customHeight="1" s="130">
      <c r="J1114" s="107">
        <f>IF(OR(B1114&lt;&gt;"WorkPackage",D1114&lt;&gt;"tracks_scope",E1114&lt;&gt;"Scope",F1114=""),"",IFERROR(INDEX(SCOPES!$K$5:$K$2000,MATCH(F1114,SCOPES!$A$5:$A$2000,0)),"UNMATCHED"))</f>
        <v/>
      </c>
    </row>
    <row r="1115" ht="21.75" customHeight="1" s="130">
      <c r="J1115" s="107">
        <f>IF(OR(B1115&lt;&gt;"WorkPackage",D1115&lt;&gt;"tracks_scope",E1115&lt;&gt;"Scope",F1115=""),"",IFERROR(INDEX(SCOPES!$K$5:$K$2000,MATCH(F1115,SCOPES!$A$5:$A$2000,0)),"UNMATCHED"))</f>
        <v/>
      </c>
    </row>
    <row r="1116" ht="21.75" customHeight="1" s="130">
      <c r="J1116" s="107">
        <f>IF(OR(B1116&lt;&gt;"WorkPackage",D1116&lt;&gt;"tracks_scope",E1116&lt;&gt;"Scope",F1116=""),"",IFERROR(INDEX(SCOPES!$K$5:$K$2000,MATCH(F1116,SCOPES!$A$5:$A$2000,0)),"UNMATCHED"))</f>
        <v/>
      </c>
    </row>
    <row r="1117" ht="21.75" customHeight="1" s="130">
      <c r="J1117" s="107">
        <f>IF(OR(B1117&lt;&gt;"WorkPackage",D1117&lt;&gt;"tracks_scope",E1117&lt;&gt;"Scope",F1117=""),"",IFERROR(INDEX(SCOPES!$K$5:$K$2000,MATCH(F1117,SCOPES!$A$5:$A$2000,0)),"UNMATCHED"))</f>
        <v/>
      </c>
    </row>
    <row r="1118" ht="21.75" customHeight="1" s="130">
      <c r="J1118" s="107">
        <f>IF(OR(B1118&lt;&gt;"WorkPackage",D1118&lt;&gt;"tracks_scope",E1118&lt;&gt;"Scope",F1118=""),"",IFERROR(INDEX(SCOPES!$K$5:$K$2000,MATCH(F1118,SCOPES!$A$5:$A$2000,0)),"UNMATCHED"))</f>
        <v/>
      </c>
    </row>
    <row r="1119" ht="21.75" customHeight="1" s="130">
      <c r="J1119" s="107">
        <f>IF(OR(B1119&lt;&gt;"WorkPackage",D1119&lt;&gt;"tracks_scope",E1119&lt;&gt;"Scope",F1119=""),"",IFERROR(INDEX(SCOPES!$K$5:$K$2000,MATCH(F1119,SCOPES!$A$5:$A$2000,0)),"UNMATCHED"))</f>
        <v/>
      </c>
    </row>
    <row r="1120" ht="21.75" customHeight="1" s="130">
      <c r="J1120" s="107">
        <f>IF(OR(B1120&lt;&gt;"WorkPackage",D1120&lt;&gt;"tracks_scope",E1120&lt;&gt;"Scope",F1120=""),"",IFERROR(INDEX(SCOPES!$K$5:$K$2000,MATCH(F1120,SCOPES!$A$5:$A$2000,0)),"UNMATCHED"))</f>
        <v/>
      </c>
    </row>
    <row r="1121" ht="21.75" customHeight="1" s="130">
      <c r="J1121" s="107">
        <f>IF(OR(B1121&lt;&gt;"WorkPackage",D1121&lt;&gt;"tracks_scope",E1121&lt;&gt;"Scope",F1121=""),"",IFERROR(INDEX(SCOPES!$K$5:$K$2000,MATCH(F1121,SCOPES!$A$5:$A$2000,0)),"UNMATCHED"))</f>
        <v/>
      </c>
    </row>
    <row r="1122" ht="21.75" customHeight="1" s="130">
      <c r="J1122" s="107">
        <f>IF(OR(B1122&lt;&gt;"WorkPackage",D1122&lt;&gt;"tracks_scope",E1122&lt;&gt;"Scope",F1122=""),"",IFERROR(INDEX(SCOPES!$K$5:$K$2000,MATCH(F1122,SCOPES!$A$5:$A$2000,0)),"UNMATCHED"))</f>
        <v/>
      </c>
    </row>
    <row r="1123" ht="21.75" customHeight="1" s="130">
      <c r="J1123" s="107">
        <f>IF(OR(B1123&lt;&gt;"WorkPackage",D1123&lt;&gt;"tracks_scope",E1123&lt;&gt;"Scope",F1123=""),"",IFERROR(INDEX(SCOPES!$K$5:$K$2000,MATCH(F1123,SCOPES!$A$5:$A$2000,0)),"UNMATCHED"))</f>
        <v/>
      </c>
    </row>
    <row r="1124" ht="21.75" customHeight="1" s="130">
      <c r="J1124" s="107">
        <f>IF(OR(B1124&lt;&gt;"WorkPackage",D1124&lt;&gt;"tracks_scope",E1124&lt;&gt;"Scope",F1124=""),"",IFERROR(INDEX(SCOPES!$K$5:$K$2000,MATCH(F1124,SCOPES!$A$5:$A$2000,0)),"UNMATCHED"))</f>
        <v/>
      </c>
    </row>
    <row r="1125" ht="21.75" customHeight="1" s="130">
      <c r="J1125" s="107">
        <f>IF(OR(B1125&lt;&gt;"WorkPackage",D1125&lt;&gt;"tracks_scope",E1125&lt;&gt;"Scope",F1125=""),"",IFERROR(INDEX(SCOPES!$K$5:$K$2000,MATCH(F1125,SCOPES!$A$5:$A$2000,0)),"UNMATCHED"))</f>
        <v/>
      </c>
    </row>
    <row r="1126" ht="21.75" customHeight="1" s="130">
      <c r="J1126" s="107">
        <f>IF(OR(B1126&lt;&gt;"WorkPackage",D1126&lt;&gt;"tracks_scope",E1126&lt;&gt;"Scope",F1126=""),"",IFERROR(INDEX(SCOPES!$K$5:$K$2000,MATCH(F1126,SCOPES!$A$5:$A$2000,0)),"UNMATCHED"))</f>
        <v/>
      </c>
    </row>
    <row r="1127" ht="21.75" customHeight="1" s="130">
      <c r="J1127" s="107">
        <f>IF(OR(B1127&lt;&gt;"WorkPackage",D1127&lt;&gt;"tracks_scope",E1127&lt;&gt;"Scope",F1127=""),"",IFERROR(INDEX(SCOPES!$K$5:$K$2000,MATCH(F1127,SCOPES!$A$5:$A$2000,0)),"UNMATCHED"))</f>
        <v/>
      </c>
    </row>
    <row r="1128" ht="21.75" customHeight="1" s="130">
      <c r="J1128" s="107">
        <f>IF(OR(B1128&lt;&gt;"WorkPackage",D1128&lt;&gt;"tracks_scope",E1128&lt;&gt;"Scope",F1128=""),"",IFERROR(INDEX(SCOPES!$K$5:$K$2000,MATCH(F1128,SCOPES!$A$5:$A$2000,0)),"UNMATCHED"))</f>
        <v/>
      </c>
    </row>
    <row r="1129" ht="21.75" customHeight="1" s="130">
      <c r="J1129" s="107">
        <f>IF(OR(B1129&lt;&gt;"WorkPackage",D1129&lt;&gt;"tracks_scope",E1129&lt;&gt;"Scope",F1129=""),"",IFERROR(INDEX(SCOPES!$K$5:$K$2000,MATCH(F1129,SCOPES!$A$5:$A$2000,0)),"UNMATCHED"))</f>
        <v/>
      </c>
    </row>
    <row r="1130" ht="21.75" customHeight="1" s="130">
      <c r="J1130" s="107">
        <f>IF(OR(B1130&lt;&gt;"WorkPackage",D1130&lt;&gt;"tracks_scope",E1130&lt;&gt;"Scope",F1130=""),"",IFERROR(INDEX(SCOPES!$K$5:$K$2000,MATCH(F1130,SCOPES!$A$5:$A$2000,0)),"UNMATCHED"))</f>
        <v/>
      </c>
    </row>
    <row r="1131" ht="21.75" customHeight="1" s="130">
      <c r="J1131" s="107">
        <f>IF(OR(B1131&lt;&gt;"WorkPackage",D1131&lt;&gt;"tracks_scope",E1131&lt;&gt;"Scope",F1131=""),"",IFERROR(INDEX(SCOPES!$K$5:$K$2000,MATCH(F1131,SCOPES!$A$5:$A$2000,0)),"UNMATCHED"))</f>
        <v/>
      </c>
    </row>
    <row r="1132" ht="21.75" customHeight="1" s="130">
      <c r="J1132" s="107">
        <f>IF(OR(B1132&lt;&gt;"WorkPackage",D1132&lt;&gt;"tracks_scope",E1132&lt;&gt;"Scope",F1132=""),"",IFERROR(INDEX(SCOPES!$K$5:$K$2000,MATCH(F1132,SCOPES!$A$5:$A$2000,0)),"UNMATCHED"))</f>
        <v/>
      </c>
    </row>
    <row r="1133" ht="21.75" customHeight="1" s="130">
      <c r="J1133" s="107">
        <f>IF(OR(B1133&lt;&gt;"WorkPackage",D1133&lt;&gt;"tracks_scope",E1133&lt;&gt;"Scope",F1133=""),"",IFERROR(INDEX(SCOPES!$K$5:$K$2000,MATCH(F1133,SCOPES!$A$5:$A$2000,0)),"UNMATCHED"))</f>
        <v/>
      </c>
    </row>
    <row r="1134" ht="21.75" customHeight="1" s="130">
      <c r="J1134" s="107">
        <f>IF(OR(B1134&lt;&gt;"WorkPackage",D1134&lt;&gt;"tracks_scope",E1134&lt;&gt;"Scope",F1134=""),"",IFERROR(INDEX(SCOPES!$K$5:$K$2000,MATCH(F1134,SCOPES!$A$5:$A$2000,0)),"UNMATCHED"))</f>
        <v/>
      </c>
    </row>
    <row r="1135" ht="21.75" customHeight="1" s="130">
      <c r="J1135" s="107">
        <f>IF(OR(B1135&lt;&gt;"WorkPackage",D1135&lt;&gt;"tracks_scope",E1135&lt;&gt;"Scope",F1135=""),"",IFERROR(INDEX(SCOPES!$K$5:$K$2000,MATCH(F1135,SCOPES!$A$5:$A$2000,0)),"UNMATCHED"))</f>
        <v/>
      </c>
    </row>
    <row r="1136" ht="21.75" customHeight="1" s="130">
      <c r="J1136" s="107">
        <f>IF(OR(B1136&lt;&gt;"WorkPackage",D1136&lt;&gt;"tracks_scope",E1136&lt;&gt;"Scope",F1136=""),"",IFERROR(INDEX(SCOPES!$K$5:$K$2000,MATCH(F1136,SCOPES!$A$5:$A$2000,0)),"UNMATCHED"))</f>
        <v/>
      </c>
    </row>
    <row r="1137" ht="21.75" customHeight="1" s="130">
      <c r="J1137" s="107">
        <f>IF(OR(B1137&lt;&gt;"WorkPackage",D1137&lt;&gt;"tracks_scope",E1137&lt;&gt;"Scope",F1137=""),"",IFERROR(INDEX(SCOPES!$K$5:$K$2000,MATCH(F1137,SCOPES!$A$5:$A$2000,0)),"UNMATCHED"))</f>
        <v/>
      </c>
    </row>
    <row r="1138" ht="21.75" customHeight="1" s="130">
      <c r="J1138" s="107">
        <f>IF(OR(B1138&lt;&gt;"WorkPackage",D1138&lt;&gt;"tracks_scope",E1138&lt;&gt;"Scope",F1138=""),"",IFERROR(INDEX(SCOPES!$K$5:$K$2000,MATCH(F1138,SCOPES!$A$5:$A$2000,0)),"UNMATCHED"))</f>
        <v/>
      </c>
    </row>
    <row r="1139" ht="21.75" customHeight="1" s="130">
      <c r="J1139" s="107">
        <f>IF(OR(B1139&lt;&gt;"WorkPackage",D1139&lt;&gt;"tracks_scope",E1139&lt;&gt;"Scope",F1139=""),"",IFERROR(INDEX(SCOPES!$K$5:$K$2000,MATCH(F1139,SCOPES!$A$5:$A$2000,0)),"UNMATCHED"))</f>
        <v/>
      </c>
    </row>
    <row r="1140" ht="21.75" customHeight="1" s="130">
      <c r="J1140" s="107">
        <f>IF(OR(B1140&lt;&gt;"WorkPackage",D1140&lt;&gt;"tracks_scope",E1140&lt;&gt;"Scope",F1140=""),"",IFERROR(INDEX(SCOPES!$K$5:$K$2000,MATCH(F1140,SCOPES!$A$5:$A$2000,0)),"UNMATCHED"))</f>
        <v/>
      </c>
    </row>
    <row r="1141" ht="21.75" customHeight="1" s="130">
      <c r="J1141" s="107">
        <f>IF(OR(B1141&lt;&gt;"WorkPackage",D1141&lt;&gt;"tracks_scope",E1141&lt;&gt;"Scope",F1141=""),"",IFERROR(INDEX(SCOPES!$K$5:$K$2000,MATCH(F1141,SCOPES!$A$5:$A$2000,0)),"UNMATCHED"))</f>
        <v/>
      </c>
    </row>
    <row r="1142" ht="21.75" customHeight="1" s="130">
      <c r="J1142" s="107">
        <f>IF(OR(B1142&lt;&gt;"WorkPackage",D1142&lt;&gt;"tracks_scope",E1142&lt;&gt;"Scope",F1142=""),"",IFERROR(INDEX(SCOPES!$K$5:$K$2000,MATCH(F1142,SCOPES!$A$5:$A$2000,0)),"UNMATCHED"))</f>
        <v/>
      </c>
    </row>
    <row r="1143" ht="21.75" customHeight="1" s="130">
      <c r="J1143" s="107">
        <f>IF(OR(B1143&lt;&gt;"WorkPackage",D1143&lt;&gt;"tracks_scope",E1143&lt;&gt;"Scope",F1143=""),"",IFERROR(INDEX(SCOPES!$K$5:$K$2000,MATCH(F1143,SCOPES!$A$5:$A$2000,0)),"UNMATCHED"))</f>
        <v/>
      </c>
    </row>
    <row r="1144" ht="21.75" customHeight="1" s="130">
      <c r="J1144" s="107">
        <f>IF(OR(B1144&lt;&gt;"WorkPackage",D1144&lt;&gt;"tracks_scope",E1144&lt;&gt;"Scope",F1144=""),"",IFERROR(INDEX(SCOPES!$K$5:$K$2000,MATCH(F1144,SCOPES!$A$5:$A$2000,0)),"UNMATCHED"))</f>
        <v/>
      </c>
    </row>
    <row r="1145" ht="21.75" customHeight="1" s="130">
      <c r="J1145" s="107">
        <f>IF(OR(B1145&lt;&gt;"WorkPackage",D1145&lt;&gt;"tracks_scope",E1145&lt;&gt;"Scope",F1145=""),"",IFERROR(INDEX(SCOPES!$K$5:$K$2000,MATCH(F1145,SCOPES!$A$5:$A$2000,0)),"UNMATCHED"))</f>
        <v/>
      </c>
    </row>
    <row r="1146" ht="21.75" customHeight="1" s="130">
      <c r="J1146" s="107">
        <f>IF(OR(B1146&lt;&gt;"WorkPackage",D1146&lt;&gt;"tracks_scope",E1146&lt;&gt;"Scope",F1146=""),"",IFERROR(INDEX(SCOPES!$K$5:$K$2000,MATCH(F1146,SCOPES!$A$5:$A$2000,0)),"UNMATCHED"))</f>
        <v/>
      </c>
    </row>
    <row r="1147" ht="21.75" customHeight="1" s="130">
      <c r="J1147" s="107">
        <f>IF(OR(B1147&lt;&gt;"WorkPackage",D1147&lt;&gt;"tracks_scope",E1147&lt;&gt;"Scope",F1147=""),"",IFERROR(INDEX(SCOPES!$K$5:$K$2000,MATCH(F1147,SCOPES!$A$5:$A$2000,0)),"UNMATCHED"))</f>
        <v/>
      </c>
    </row>
    <row r="1148" ht="21.75" customHeight="1" s="130">
      <c r="J1148" s="107">
        <f>IF(OR(B1148&lt;&gt;"WorkPackage",D1148&lt;&gt;"tracks_scope",E1148&lt;&gt;"Scope",F1148=""),"",IFERROR(INDEX(SCOPES!$K$5:$K$2000,MATCH(F1148,SCOPES!$A$5:$A$2000,0)),"UNMATCHED"))</f>
        <v/>
      </c>
    </row>
    <row r="1149" ht="21.75" customHeight="1" s="130">
      <c r="J1149" s="107">
        <f>IF(OR(B1149&lt;&gt;"WorkPackage",D1149&lt;&gt;"tracks_scope",E1149&lt;&gt;"Scope",F1149=""),"",IFERROR(INDEX(SCOPES!$K$5:$K$2000,MATCH(F1149,SCOPES!$A$5:$A$2000,0)),"UNMATCHED"))</f>
        <v/>
      </c>
    </row>
    <row r="1150" ht="21.75" customHeight="1" s="130">
      <c r="J1150" s="107">
        <f>IF(OR(B1150&lt;&gt;"WorkPackage",D1150&lt;&gt;"tracks_scope",E1150&lt;&gt;"Scope",F1150=""),"",IFERROR(INDEX(SCOPES!$K$5:$K$2000,MATCH(F1150,SCOPES!$A$5:$A$2000,0)),"UNMATCHED"))</f>
        <v/>
      </c>
    </row>
    <row r="1151" ht="21.75" customHeight="1" s="130">
      <c r="J1151" s="107">
        <f>IF(OR(B1151&lt;&gt;"WorkPackage",D1151&lt;&gt;"tracks_scope",E1151&lt;&gt;"Scope",F1151=""),"",IFERROR(INDEX(SCOPES!$K$5:$K$2000,MATCH(F1151,SCOPES!$A$5:$A$2000,0)),"UNMATCHED"))</f>
        <v/>
      </c>
    </row>
    <row r="1152" ht="21.75" customHeight="1" s="130">
      <c r="J1152" s="107">
        <f>IF(OR(B1152&lt;&gt;"WorkPackage",D1152&lt;&gt;"tracks_scope",E1152&lt;&gt;"Scope",F1152=""),"",IFERROR(INDEX(SCOPES!$K$5:$K$2000,MATCH(F1152,SCOPES!$A$5:$A$2000,0)),"UNMATCHED"))</f>
        <v/>
      </c>
    </row>
    <row r="1153" ht="21.75" customHeight="1" s="130">
      <c r="J1153" s="107">
        <f>IF(OR(B1153&lt;&gt;"WorkPackage",D1153&lt;&gt;"tracks_scope",E1153&lt;&gt;"Scope",F1153=""),"",IFERROR(INDEX(SCOPES!$K$5:$K$2000,MATCH(F1153,SCOPES!$A$5:$A$2000,0)),"UNMATCHED"))</f>
        <v/>
      </c>
    </row>
    <row r="1154" ht="21.75" customHeight="1" s="130">
      <c r="J1154" s="107">
        <f>IF(OR(B1154&lt;&gt;"WorkPackage",D1154&lt;&gt;"tracks_scope",E1154&lt;&gt;"Scope",F1154=""),"",IFERROR(INDEX(SCOPES!$K$5:$K$2000,MATCH(F1154,SCOPES!$A$5:$A$2000,0)),"UNMATCHED"))</f>
        <v/>
      </c>
    </row>
    <row r="1155" ht="21.75" customHeight="1" s="130">
      <c r="J1155" s="107">
        <f>IF(OR(B1155&lt;&gt;"WorkPackage",D1155&lt;&gt;"tracks_scope",E1155&lt;&gt;"Scope",F1155=""),"",IFERROR(INDEX(SCOPES!$K$5:$K$2000,MATCH(F1155,SCOPES!$A$5:$A$2000,0)),"UNMATCHED"))</f>
        <v/>
      </c>
    </row>
    <row r="1156" ht="21.75" customHeight="1" s="130">
      <c r="J1156" s="107">
        <f>IF(OR(B1156&lt;&gt;"WorkPackage",D1156&lt;&gt;"tracks_scope",E1156&lt;&gt;"Scope",F1156=""),"",IFERROR(INDEX(SCOPES!$K$5:$K$2000,MATCH(F1156,SCOPES!$A$5:$A$2000,0)),"UNMATCHED"))</f>
        <v/>
      </c>
    </row>
    <row r="1157" ht="21.75" customHeight="1" s="130">
      <c r="J1157" s="107">
        <f>IF(OR(B1157&lt;&gt;"WorkPackage",D1157&lt;&gt;"tracks_scope",E1157&lt;&gt;"Scope",F1157=""),"",IFERROR(INDEX(SCOPES!$K$5:$K$2000,MATCH(F1157,SCOPES!$A$5:$A$2000,0)),"UNMATCHED"))</f>
        <v/>
      </c>
    </row>
    <row r="1158" ht="21.75" customHeight="1" s="130">
      <c r="J1158" s="107">
        <f>IF(OR(B1158&lt;&gt;"WorkPackage",D1158&lt;&gt;"tracks_scope",E1158&lt;&gt;"Scope",F1158=""),"",IFERROR(INDEX(SCOPES!$K$5:$K$2000,MATCH(F1158,SCOPES!$A$5:$A$2000,0)),"UNMATCHED"))</f>
        <v/>
      </c>
    </row>
    <row r="1159" ht="21.75" customHeight="1" s="130">
      <c r="J1159" s="107">
        <f>IF(OR(B1159&lt;&gt;"WorkPackage",D1159&lt;&gt;"tracks_scope",E1159&lt;&gt;"Scope",F1159=""),"",IFERROR(INDEX(SCOPES!$K$5:$K$2000,MATCH(F1159,SCOPES!$A$5:$A$2000,0)),"UNMATCHED"))</f>
        <v/>
      </c>
    </row>
    <row r="1160" ht="21.75" customHeight="1" s="130">
      <c r="J1160" s="107">
        <f>IF(OR(B1160&lt;&gt;"WorkPackage",D1160&lt;&gt;"tracks_scope",E1160&lt;&gt;"Scope",F1160=""),"",IFERROR(INDEX(SCOPES!$K$5:$K$2000,MATCH(F1160,SCOPES!$A$5:$A$2000,0)),"UNMATCHED"))</f>
        <v/>
      </c>
    </row>
    <row r="1161" ht="21.75" customHeight="1" s="130">
      <c r="J1161" s="107">
        <f>IF(OR(B1161&lt;&gt;"WorkPackage",D1161&lt;&gt;"tracks_scope",E1161&lt;&gt;"Scope",F1161=""),"",IFERROR(INDEX(SCOPES!$K$5:$K$2000,MATCH(F1161,SCOPES!$A$5:$A$2000,0)),"UNMATCHED"))</f>
        <v/>
      </c>
    </row>
    <row r="1162" ht="21.75" customHeight="1" s="130">
      <c r="J1162" s="107">
        <f>IF(OR(B1162&lt;&gt;"WorkPackage",D1162&lt;&gt;"tracks_scope",E1162&lt;&gt;"Scope",F1162=""),"",IFERROR(INDEX(SCOPES!$K$5:$K$2000,MATCH(F1162,SCOPES!$A$5:$A$2000,0)),"UNMATCHED"))</f>
        <v/>
      </c>
    </row>
    <row r="1163" ht="21.75" customHeight="1" s="130">
      <c r="J1163" s="107">
        <f>IF(OR(B1163&lt;&gt;"WorkPackage",D1163&lt;&gt;"tracks_scope",E1163&lt;&gt;"Scope",F1163=""),"",IFERROR(INDEX(SCOPES!$K$5:$K$2000,MATCH(F1163,SCOPES!$A$5:$A$2000,0)),"UNMATCHED"))</f>
        <v/>
      </c>
    </row>
    <row r="1164" ht="21.75" customHeight="1" s="130">
      <c r="J1164" s="107">
        <f>IF(OR(B1164&lt;&gt;"WorkPackage",D1164&lt;&gt;"tracks_scope",E1164&lt;&gt;"Scope",F1164=""),"",IFERROR(INDEX(SCOPES!$K$5:$K$2000,MATCH(F1164,SCOPES!$A$5:$A$2000,0)),"UNMATCHED"))</f>
        <v/>
      </c>
    </row>
    <row r="1165" ht="21.75" customHeight="1" s="130">
      <c r="J1165" s="107">
        <f>IF(OR(B1165&lt;&gt;"WorkPackage",D1165&lt;&gt;"tracks_scope",E1165&lt;&gt;"Scope",F1165=""),"",IFERROR(INDEX(SCOPES!$K$5:$K$2000,MATCH(F1165,SCOPES!$A$5:$A$2000,0)),"UNMATCHED"))</f>
        <v/>
      </c>
    </row>
    <row r="1166" ht="21.75" customHeight="1" s="130">
      <c r="J1166" s="107">
        <f>IF(OR(B1166&lt;&gt;"WorkPackage",D1166&lt;&gt;"tracks_scope",E1166&lt;&gt;"Scope",F1166=""),"",IFERROR(INDEX(SCOPES!$K$5:$K$2000,MATCH(F1166,SCOPES!$A$5:$A$2000,0)),"UNMATCHED"))</f>
        <v/>
      </c>
    </row>
    <row r="1167" ht="21.75" customHeight="1" s="130">
      <c r="J1167" s="107">
        <f>IF(OR(B1167&lt;&gt;"WorkPackage",D1167&lt;&gt;"tracks_scope",E1167&lt;&gt;"Scope",F1167=""),"",IFERROR(INDEX(SCOPES!$K$5:$K$2000,MATCH(F1167,SCOPES!$A$5:$A$2000,0)),"UNMATCHED"))</f>
        <v/>
      </c>
    </row>
    <row r="1168" ht="21.75" customHeight="1" s="130">
      <c r="J1168" s="107">
        <f>IF(OR(B1168&lt;&gt;"WorkPackage",D1168&lt;&gt;"tracks_scope",E1168&lt;&gt;"Scope",F1168=""),"",IFERROR(INDEX(SCOPES!$K$5:$K$2000,MATCH(F1168,SCOPES!$A$5:$A$2000,0)),"UNMATCHED"))</f>
        <v/>
      </c>
    </row>
    <row r="1169" ht="21.75" customHeight="1" s="130">
      <c r="J1169" s="107">
        <f>IF(OR(B1169&lt;&gt;"WorkPackage",D1169&lt;&gt;"tracks_scope",E1169&lt;&gt;"Scope",F1169=""),"",IFERROR(INDEX(SCOPES!$K$5:$K$2000,MATCH(F1169,SCOPES!$A$5:$A$2000,0)),"UNMATCHED"))</f>
        <v/>
      </c>
    </row>
    <row r="1170" ht="21.75" customHeight="1" s="130">
      <c r="J1170" s="107">
        <f>IF(OR(B1170&lt;&gt;"WorkPackage",D1170&lt;&gt;"tracks_scope",E1170&lt;&gt;"Scope",F1170=""),"",IFERROR(INDEX(SCOPES!$K$5:$K$2000,MATCH(F1170,SCOPES!$A$5:$A$2000,0)),"UNMATCHED"))</f>
        <v/>
      </c>
    </row>
    <row r="1171" ht="21.75" customHeight="1" s="130">
      <c r="J1171" s="107">
        <f>IF(OR(B1171&lt;&gt;"WorkPackage",D1171&lt;&gt;"tracks_scope",E1171&lt;&gt;"Scope",F1171=""),"",IFERROR(INDEX(SCOPES!$K$5:$K$2000,MATCH(F1171,SCOPES!$A$5:$A$2000,0)),"UNMATCHED"))</f>
        <v/>
      </c>
    </row>
    <row r="1172" ht="21.75" customHeight="1" s="130">
      <c r="J1172" s="107">
        <f>IF(OR(B1172&lt;&gt;"WorkPackage",D1172&lt;&gt;"tracks_scope",E1172&lt;&gt;"Scope",F1172=""),"",IFERROR(INDEX(SCOPES!$K$5:$K$2000,MATCH(F1172,SCOPES!$A$5:$A$2000,0)),"UNMATCHED"))</f>
        <v/>
      </c>
    </row>
    <row r="1173" ht="21.75" customHeight="1" s="130">
      <c r="J1173" s="107">
        <f>IF(OR(B1173&lt;&gt;"WorkPackage",D1173&lt;&gt;"tracks_scope",E1173&lt;&gt;"Scope",F1173=""),"",IFERROR(INDEX(SCOPES!$K$5:$K$2000,MATCH(F1173,SCOPES!$A$5:$A$2000,0)),"UNMATCHED"))</f>
        <v/>
      </c>
    </row>
    <row r="1174" ht="21.75" customHeight="1" s="130">
      <c r="J1174" s="107">
        <f>IF(OR(B1174&lt;&gt;"WorkPackage",D1174&lt;&gt;"tracks_scope",E1174&lt;&gt;"Scope",F1174=""),"",IFERROR(INDEX(SCOPES!$K$5:$K$2000,MATCH(F1174,SCOPES!$A$5:$A$2000,0)),"UNMATCHED"))</f>
        <v/>
      </c>
    </row>
    <row r="1175" ht="21.75" customHeight="1" s="130">
      <c r="J1175" s="107">
        <f>IF(OR(B1175&lt;&gt;"WorkPackage",D1175&lt;&gt;"tracks_scope",E1175&lt;&gt;"Scope",F1175=""),"",IFERROR(INDEX(SCOPES!$K$5:$K$2000,MATCH(F1175,SCOPES!$A$5:$A$2000,0)),"UNMATCHED"))</f>
        <v/>
      </c>
    </row>
    <row r="1176" ht="21.75" customHeight="1" s="130">
      <c r="J1176" s="107">
        <f>IF(OR(B1176&lt;&gt;"WorkPackage",D1176&lt;&gt;"tracks_scope",E1176&lt;&gt;"Scope",F1176=""),"",IFERROR(INDEX(SCOPES!$K$5:$K$2000,MATCH(F1176,SCOPES!$A$5:$A$2000,0)),"UNMATCHED"))</f>
        <v/>
      </c>
    </row>
    <row r="1177" ht="21.75" customHeight="1" s="130">
      <c r="J1177" s="107">
        <f>IF(OR(B1177&lt;&gt;"WorkPackage",D1177&lt;&gt;"tracks_scope",E1177&lt;&gt;"Scope",F1177=""),"",IFERROR(INDEX(SCOPES!$K$5:$K$2000,MATCH(F1177,SCOPES!$A$5:$A$2000,0)),"UNMATCHED"))</f>
        <v/>
      </c>
    </row>
    <row r="1178" ht="21.75" customHeight="1" s="130">
      <c r="J1178" s="107">
        <f>IF(OR(B1178&lt;&gt;"WorkPackage",D1178&lt;&gt;"tracks_scope",E1178&lt;&gt;"Scope",F1178=""),"",IFERROR(INDEX(SCOPES!$K$5:$K$2000,MATCH(F1178,SCOPES!$A$5:$A$2000,0)),"UNMATCHED"))</f>
        <v/>
      </c>
    </row>
    <row r="1179" ht="21.75" customHeight="1" s="130">
      <c r="J1179" s="107">
        <f>IF(OR(B1179&lt;&gt;"WorkPackage",D1179&lt;&gt;"tracks_scope",E1179&lt;&gt;"Scope",F1179=""),"",IFERROR(INDEX(SCOPES!$K$5:$K$2000,MATCH(F1179,SCOPES!$A$5:$A$2000,0)),"UNMATCHED"))</f>
        <v/>
      </c>
    </row>
    <row r="1180" ht="21.75" customHeight="1" s="130">
      <c r="J1180" s="107">
        <f>IF(OR(B1180&lt;&gt;"WorkPackage",D1180&lt;&gt;"tracks_scope",E1180&lt;&gt;"Scope",F1180=""),"",IFERROR(INDEX(SCOPES!$K$5:$K$2000,MATCH(F1180,SCOPES!$A$5:$A$2000,0)),"UNMATCHED"))</f>
        <v/>
      </c>
    </row>
    <row r="1181" ht="21.75" customHeight="1" s="130">
      <c r="J1181" s="107">
        <f>IF(OR(B1181&lt;&gt;"WorkPackage",D1181&lt;&gt;"tracks_scope",E1181&lt;&gt;"Scope",F1181=""),"",IFERROR(INDEX(SCOPES!$K$5:$K$2000,MATCH(F1181,SCOPES!$A$5:$A$2000,0)),"UNMATCHED"))</f>
        <v/>
      </c>
    </row>
    <row r="1182" ht="21.75" customHeight="1" s="130">
      <c r="J1182" s="107">
        <f>IF(OR(B1182&lt;&gt;"WorkPackage",D1182&lt;&gt;"tracks_scope",E1182&lt;&gt;"Scope",F1182=""),"",IFERROR(INDEX(SCOPES!$K$5:$K$2000,MATCH(F1182,SCOPES!$A$5:$A$2000,0)),"UNMATCHED"))</f>
        <v/>
      </c>
    </row>
    <row r="1183" ht="21.75" customHeight="1" s="130">
      <c r="J1183" s="107">
        <f>IF(OR(B1183&lt;&gt;"WorkPackage",D1183&lt;&gt;"tracks_scope",E1183&lt;&gt;"Scope",F1183=""),"",IFERROR(INDEX(SCOPES!$K$5:$K$2000,MATCH(F1183,SCOPES!$A$5:$A$2000,0)),"UNMATCHED"))</f>
        <v/>
      </c>
    </row>
    <row r="1184" ht="21.75" customHeight="1" s="130">
      <c r="J1184" s="107">
        <f>IF(OR(B1184&lt;&gt;"WorkPackage",D1184&lt;&gt;"tracks_scope",E1184&lt;&gt;"Scope",F1184=""),"",IFERROR(INDEX(SCOPES!$K$5:$K$2000,MATCH(F1184,SCOPES!$A$5:$A$2000,0)),"UNMATCHED"))</f>
        <v/>
      </c>
    </row>
    <row r="1185" ht="21.75" customHeight="1" s="130">
      <c r="J1185" s="107">
        <f>IF(OR(B1185&lt;&gt;"WorkPackage",D1185&lt;&gt;"tracks_scope",E1185&lt;&gt;"Scope",F1185=""),"",IFERROR(INDEX(SCOPES!$K$5:$K$2000,MATCH(F1185,SCOPES!$A$5:$A$2000,0)),"UNMATCHED"))</f>
        <v/>
      </c>
    </row>
    <row r="1186" ht="21.75" customHeight="1" s="130">
      <c r="J1186" s="107">
        <f>IF(OR(B1186&lt;&gt;"WorkPackage",D1186&lt;&gt;"tracks_scope",E1186&lt;&gt;"Scope",F1186=""),"",IFERROR(INDEX(SCOPES!$K$5:$K$2000,MATCH(F1186,SCOPES!$A$5:$A$2000,0)),"UNMATCHED"))</f>
        <v/>
      </c>
    </row>
    <row r="1187" ht="21.75" customHeight="1" s="130">
      <c r="J1187" s="107">
        <f>IF(OR(B1187&lt;&gt;"WorkPackage",D1187&lt;&gt;"tracks_scope",E1187&lt;&gt;"Scope",F1187=""),"",IFERROR(INDEX(SCOPES!$K$5:$K$2000,MATCH(F1187,SCOPES!$A$5:$A$2000,0)),"UNMATCHED"))</f>
        <v/>
      </c>
    </row>
    <row r="1188" ht="21.75" customHeight="1" s="130">
      <c r="J1188" s="107">
        <f>IF(OR(B1188&lt;&gt;"WorkPackage",D1188&lt;&gt;"tracks_scope",E1188&lt;&gt;"Scope",F1188=""),"",IFERROR(INDEX(SCOPES!$K$5:$K$2000,MATCH(F1188,SCOPES!$A$5:$A$2000,0)),"UNMATCHED"))</f>
        <v/>
      </c>
    </row>
    <row r="1189" ht="21.75" customHeight="1" s="130">
      <c r="J1189" s="107">
        <f>IF(OR(B1189&lt;&gt;"WorkPackage",D1189&lt;&gt;"tracks_scope",E1189&lt;&gt;"Scope",F1189=""),"",IFERROR(INDEX(SCOPES!$K$5:$K$2000,MATCH(F1189,SCOPES!$A$5:$A$2000,0)),"UNMATCHED"))</f>
        <v/>
      </c>
    </row>
    <row r="1190" ht="21.75" customHeight="1" s="130">
      <c r="J1190" s="107">
        <f>IF(OR(B1190&lt;&gt;"WorkPackage",D1190&lt;&gt;"tracks_scope",E1190&lt;&gt;"Scope",F1190=""),"",IFERROR(INDEX(SCOPES!$K$5:$K$2000,MATCH(F1190,SCOPES!$A$5:$A$2000,0)),"UNMATCHED"))</f>
        <v/>
      </c>
    </row>
    <row r="1191" ht="21.75" customHeight="1" s="130">
      <c r="J1191" s="107">
        <f>IF(OR(B1191&lt;&gt;"WorkPackage",D1191&lt;&gt;"tracks_scope",E1191&lt;&gt;"Scope",F1191=""),"",IFERROR(INDEX(SCOPES!$K$5:$K$2000,MATCH(F1191,SCOPES!$A$5:$A$2000,0)),"UNMATCHED"))</f>
        <v/>
      </c>
    </row>
    <row r="1192" ht="21.75" customHeight="1" s="130">
      <c r="J1192" s="107">
        <f>IF(OR(B1192&lt;&gt;"WorkPackage",D1192&lt;&gt;"tracks_scope",E1192&lt;&gt;"Scope",F1192=""),"",IFERROR(INDEX(SCOPES!$K$5:$K$2000,MATCH(F1192,SCOPES!$A$5:$A$2000,0)),"UNMATCHED"))</f>
        <v/>
      </c>
    </row>
    <row r="1193" ht="21.75" customHeight="1" s="130">
      <c r="J1193" s="107">
        <f>IF(OR(B1193&lt;&gt;"WorkPackage",D1193&lt;&gt;"tracks_scope",E1193&lt;&gt;"Scope",F1193=""),"",IFERROR(INDEX(SCOPES!$K$5:$K$2000,MATCH(F1193,SCOPES!$A$5:$A$2000,0)),"UNMATCHED"))</f>
        <v/>
      </c>
    </row>
    <row r="1194" ht="21.75" customHeight="1" s="130">
      <c r="J1194" s="107">
        <f>IF(OR(B1194&lt;&gt;"WorkPackage",D1194&lt;&gt;"tracks_scope",E1194&lt;&gt;"Scope",F1194=""),"",IFERROR(INDEX(SCOPES!$K$5:$K$2000,MATCH(F1194,SCOPES!$A$5:$A$2000,0)),"UNMATCHED"))</f>
        <v/>
      </c>
    </row>
    <row r="1195" ht="21.75" customHeight="1" s="130">
      <c r="J1195" s="107">
        <f>IF(OR(B1195&lt;&gt;"WorkPackage",D1195&lt;&gt;"tracks_scope",E1195&lt;&gt;"Scope",F1195=""),"",IFERROR(INDEX(SCOPES!$K$5:$K$2000,MATCH(F1195,SCOPES!$A$5:$A$2000,0)),"UNMATCHED"))</f>
        <v/>
      </c>
    </row>
    <row r="1196" ht="21.75" customHeight="1" s="130">
      <c r="J1196" s="107">
        <f>IF(OR(B1196&lt;&gt;"WorkPackage",D1196&lt;&gt;"tracks_scope",E1196&lt;&gt;"Scope",F1196=""),"",IFERROR(INDEX(SCOPES!$K$5:$K$2000,MATCH(F1196,SCOPES!$A$5:$A$2000,0)),"UNMATCHED"))</f>
        <v/>
      </c>
    </row>
    <row r="1197" ht="21.75" customHeight="1" s="130">
      <c r="J1197" s="107">
        <f>IF(OR(B1197&lt;&gt;"WorkPackage",D1197&lt;&gt;"tracks_scope",E1197&lt;&gt;"Scope",F1197=""),"",IFERROR(INDEX(SCOPES!$K$5:$K$2000,MATCH(F1197,SCOPES!$A$5:$A$2000,0)),"UNMATCHED"))</f>
        <v/>
      </c>
    </row>
    <row r="1198" ht="21.75" customHeight="1" s="130">
      <c r="J1198" s="107">
        <f>IF(OR(B1198&lt;&gt;"WorkPackage",D1198&lt;&gt;"tracks_scope",E1198&lt;&gt;"Scope",F1198=""),"",IFERROR(INDEX(SCOPES!$K$5:$K$2000,MATCH(F1198,SCOPES!$A$5:$A$2000,0)),"UNMATCHED"))</f>
        <v/>
      </c>
    </row>
    <row r="1199" ht="21.75" customHeight="1" s="130">
      <c r="J1199" s="107">
        <f>IF(OR(B1199&lt;&gt;"WorkPackage",D1199&lt;&gt;"tracks_scope",E1199&lt;&gt;"Scope",F1199=""),"",IFERROR(INDEX(SCOPES!$K$5:$K$2000,MATCH(F1199,SCOPES!$A$5:$A$2000,0)),"UNMATCHED"))</f>
        <v/>
      </c>
    </row>
    <row r="1200" ht="21.75" customHeight="1" s="130">
      <c r="J1200" s="107">
        <f>IF(OR(B1200&lt;&gt;"WorkPackage",D1200&lt;&gt;"tracks_scope",E1200&lt;&gt;"Scope",F1200=""),"",IFERROR(INDEX(SCOPES!$K$5:$K$2000,MATCH(F1200,SCOPES!$A$5:$A$2000,0)),"UNMATCHED"))</f>
        <v/>
      </c>
    </row>
    <row r="1201" ht="21.75" customHeight="1" s="130">
      <c r="J1201" s="107">
        <f>IF(OR(B1201&lt;&gt;"WorkPackage",D1201&lt;&gt;"tracks_scope",E1201&lt;&gt;"Scope",F1201=""),"",IFERROR(INDEX(SCOPES!$K$5:$K$2000,MATCH(F1201,SCOPES!$A$5:$A$2000,0)),"UNMATCHED"))</f>
        <v/>
      </c>
    </row>
    <row r="1202" ht="21.75" customHeight="1" s="130">
      <c r="J1202" s="107">
        <f>IF(OR(B1202&lt;&gt;"WorkPackage",D1202&lt;&gt;"tracks_scope",E1202&lt;&gt;"Scope",F1202=""),"",IFERROR(INDEX(SCOPES!$K$5:$K$2000,MATCH(F1202,SCOPES!$A$5:$A$2000,0)),"UNMATCHED"))</f>
        <v/>
      </c>
    </row>
    <row r="1203" ht="21.75" customHeight="1" s="130">
      <c r="J1203" s="107">
        <f>IF(OR(B1203&lt;&gt;"WorkPackage",D1203&lt;&gt;"tracks_scope",E1203&lt;&gt;"Scope",F1203=""),"",IFERROR(INDEX(SCOPES!$K$5:$K$2000,MATCH(F1203,SCOPES!$A$5:$A$2000,0)),"UNMATCHED"))</f>
        <v/>
      </c>
    </row>
    <row r="1204" ht="21.75" customHeight="1" s="130">
      <c r="J1204" s="107">
        <f>IF(OR(B1204&lt;&gt;"WorkPackage",D1204&lt;&gt;"tracks_scope",E1204&lt;&gt;"Scope",F1204=""),"",IFERROR(INDEX(SCOPES!$K$5:$K$2000,MATCH(F1204,SCOPES!$A$5:$A$2000,0)),"UNMATCHED"))</f>
        <v/>
      </c>
    </row>
    <row r="1205" ht="21.75" customHeight="1" s="130">
      <c r="J1205" s="107">
        <f>IF(OR(B1205&lt;&gt;"WorkPackage",D1205&lt;&gt;"tracks_scope",E1205&lt;&gt;"Scope",F1205=""),"",IFERROR(INDEX(SCOPES!$K$5:$K$2000,MATCH(F1205,SCOPES!$A$5:$A$2000,0)),"UNMATCHED"))</f>
        <v/>
      </c>
    </row>
    <row r="1206" ht="21.75" customHeight="1" s="130">
      <c r="J1206" s="107">
        <f>IF(OR(B1206&lt;&gt;"WorkPackage",D1206&lt;&gt;"tracks_scope",E1206&lt;&gt;"Scope",F1206=""),"",IFERROR(INDEX(SCOPES!$K$5:$K$2000,MATCH(F1206,SCOPES!$A$5:$A$2000,0)),"UNMATCHED"))</f>
        <v/>
      </c>
    </row>
    <row r="1207" ht="21.75" customHeight="1" s="130">
      <c r="J1207" s="107">
        <f>IF(OR(B1207&lt;&gt;"WorkPackage",D1207&lt;&gt;"tracks_scope",E1207&lt;&gt;"Scope",F1207=""),"",IFERROR(INDEX(SCOPES!$K$5:$K$2000,MATCH(F1207,SCOPES!$A$5:$A$2000,0)),"UNMATCHED"))</f>
        <v/>
      </c>
    </row>
    <row r="1208" ht="21.75" customHeight="1" s="130">
      <c r="J1208" s="107">
        <f>IF(OR(B1208&lt;&gt;"WorkPackage",D1208&lt;&gt;"tracks_scope",E1208&lt;&gt;"Scope",F1208=""),"",IFERROR(INDEX(SCOPES!$K$5:$K$2000,MATCH(F1208,SCOPES!$A$5:$A$2000,0)),"UNMATCHED"))</f>
        <v/>
      </c>
    </row>
    <row r="1209" ht="21.75" customHeight="1" s="130">
      <c r="J1209" s="107">
        <f>IF(OR(B1209&lt;&gt;"WorkPackage",D1209&lt;&gt;"tracks_scope",E1209&lt;&gt;"Scope",F1209=""),"",IFERROR(INDEX(SCOPES!$K$5:$K$2000,MATCH(F1209,SCOPES!$A$5:$A$2000,0)),"UNMATCHED"))</f>
        <v/>
      </c>
    </row>
    <row r="1210" ht="21.75" customHeight="1" s="130">
      <c r="J1210" s="107">
        <f>IF(OR(B1210&lt;&gt;"WorkPackage",D1210&lt;&gt;"tracks_scope",E1210&lt;&gt;"Scope",F1210=""),"",IFERROR(INDEX(SCOPES!$K$5:$K$2000,MATCH(F1210,SCOPES!$A$5:$A$2000,0)),"UNMATCHED"))</f>
        <v/>
      </c>
    </row>
    <row r="1211" ht="21.75" customHeight="1" s="130">
      <c r="J1211" s="107">
        <f>IF(OR(B1211&lt;&gt;"WorkPackage",D1211&lt;&gt;"tracks_scope",E1211&lt;&gt;"Scope",F1211=""),"",IFERROR(INDEX(SCOPES!$K$5:$K$2000,MATCH(F1211,SCOPES!$A$5:$A$2000,0)),"UNMATCHED"))</f>
        <v/>
      </c>
    </row>
    <row r="1212" ht="21.75" customHeight="1" s="130">
      <c r="J1212" s="107">
        <f>IF(OR(B1212&lt;&gt;"WorkPackage",D1212&lt;&gt;"tracks_scope",E1212&lt;&gt;"Scope",F1212=""),"",IFERROR(INDEX(SCOPES!$K$5:$K$2000,MATCH(F1212,SCOPES!$A$5:$A$2000,0)),"UNMATCHED"))</f>
        <v/>
      </c>
    </row>
    <row r="1213" ht="21.75" customHeight="1" s="130">
      <c r="J1213" s="107">
        <f>IF(OR(B1213&lt;&gt;"WorkPackage",D1213&lt;&gt;"tracks_scope",E1213&lt;&gt;"Scope",F1213=""),"",IFERROR(INDEX(SCOPES!$K$5:$K$2000,MATCH(F1213,SCOPES!$A$5:$A$2000,0)),"UNMATCHED"))</f>
        <v/>
      </c>
    </row>
    <row r="1214" ht="21.75" customHeight="1" s="130">
      <c r="J1214" s="107">
        <f>IF(OR(B1214&lt;&gt;"WorkPackage",D1214&lt;&gt;"tracks_scope",E1214&lt;&gt;"Scope",F1214=""),"",IFERROR(INDEX(SCOPES!$K$5:$K$2000,MATCH(F1214,SCOPES!$A$5:$A$2000,0)),"UNMATCHED"))</f>
        <v/>
      </c>
    </row>
    <row r="1215" ht="21.75" customHeight="1" s="130">
      <c r="J1215" s="107">
        <f>IF(OR(B1215&lt;&gt;"WorkPackage",D1215&lt;&gt;"tracks_scope",E1215&lt;&gt;"Scope",F1215=""),"",IFERROR(INDEX(SCOPES!$K$5:$K$2000,MATCH(F1215,SCOPES!$A$5:$A$2000,0)),"UNMATCHED"))</f>
        <v/>
      </c>
    </row>
    <row r="1216" ht="21.75" customHeight="1" s="130">
      <c r="J1216" s="107">
        <f>IF(OR(B1216&lt;&gt;"WorkPackage",D1216&lt;&gt;"tracks_scope",E1216&lt;&gt;"Scope",F1216=""),"",IFERROR(INDEX(SCOPES!$K$5:$K$2000,MATCH(F1216,SCOPES!$A$5:$A$2000,0)),"UNMATCHED"))</f>
        <v/>
      </c>
    </row>
    <row r="1217" ht="21.75" customHeight="1" s="130">
      <c r="J1217" s="107">
        <f>IF(OR(B1217&lt;&gt;"WorkPackage",D1217&lt;&gt;"tracks_scope",E1217&lt;&gt;"Scope",F1217=""),"",IFERROR(INDEX(SCOPES!$K$5:$K$2000,MATCH(F1217,SCOPES!$A$5:$A$2000,0)),"UNMATCHED"))</f>
        <v/>
      </c>
    </row>
    <row r="1218" ht="21.75" customHeight="1" s="130">
      <c r="J1218" s="107">
        <f>IF(OR(B1218&lt;&gt;"WorkPackage",D1218&lt;&gt;"tracks_scope",E1218&lt;&gt;"Scope",F1218=""),"",IFERROR(INDEX(SCOPES!$K$5:$K$2000,MATCH(F1218,SCOPES!$A$5:$A$2000,0)),"UNMATCHED"))</f>
        <v/>
      </c>
    </row>
    <row r="1219" ht="21.75" customHeight="1" s="130">
      <c r="J1219" s="107">
        <f>IF(OR(B1219&lt;&gt;"WorkPackage",D1219&lt;&gt;"tracks_scope",E1219&lt;&gt;"Scope",F1219=""),"",IFERROR(INDEX(SCOPES!$K$5:$K$2000,MATCH(F1219,SCOPES!$A$5:$A$2000,0)),"UNMATCHED"))</f>
        <v/>
      </c>
    </row>
    <row r="1220" ht="21.75" customHeight="1" s="130">
      <c r="J1220" s="107">
        <f>IF(OR(B1220&lt;&gt;"WorkPackage",D1220&lt;&gt;"tracks_scope",E1220&lt;&gt;"Scope",F1220=""),"",IFERROR(INDEX(SCOPES!$K$5:$K$2000,MATCH(F1220,SCOPES!$A$5:$A$2000,0)),"UNMATCHED"))</f>
        <v/>
      </c>
    </row>
    <row r="1221" ht="21.75" customHeight="1" s="130">
      <c r="J1221" s="107">
        <f>IF(OR(B1221&lt;&gt;"WorkPackage",D1221&lt;&gt;"tracks_scope",E1221&lt;&gt;"Scope",F1221=""),"",IFERROR(INDEX(SCOPES!$K$5:$K$2000,MATCH(F1221,SCOPES!$A$5:$A$2000,0)),"UNMATCHED"))</f>
        <v/>
      </c>
    </row>
    <row r="1222" ht="21.75" customHeight="1" s="130">
      <c r="J1222" s="107">
        <f>IF(OR(B1222&lt;&gt;"WorkPackage",D1222&lt;&gt;"tracks_scope",E1222&lt;&gt;"Scope",F1222=""),"",IFERROR(INDEX(SCOPES!$K$5:$K$2000,MATCH(F1222,SCOPES!$A$5:$A$2000,0)),"UNMATCHED"))</f>
        <v/>
      </c>
    </row>
    <row r="1223" ht="21.75" customHeight="1" s="130">
      <c r="J1223" s="107">
        <f>IF(OR(B1223&lt;&gt;"WorkPackage",D1223&lt;&gt;"tracks_scope",E1223&lt;&gt;"Scope",F1223=""),"",IFERROR(INDEX(SCOPES!$K$5:$K$2000,MATCH(F1223,SCOPES!$A$5:$A$2000,0)),"UNMATCHED"))</f>
        <v/>
      </c>
    </row>
    <row r="1224" ht="21.75" customHeight="1" s="130">
      <c r="J1224" s="107">
        <f>IF(OR(B1224&lt;&gt;"WorkPackage",D1224&lt;&gt;"tracks_scope",E1224&lt;&gt;"Scope",F1224=""),"",IFERROR(INDEX(SCOPES!$K$5:$K$2000,MATCH(F1224,SCOPES!$A$5:$A$2000,0)),"UNMATCHED"))</f>
        <v/>
      </c>
    </row>
    <row r="1225" ht="21.75" customHeight="1" s="130">
      <c r="J1225" s="107">
        <f>IF(OR(B1225&lt;&gt;"WorkPackage",D1225&lt;&gt;"tracks_scope",E1225&lt;&gt;"Scope",F1225=""),"",IFERROR(INDEX(SCOPES!$K$5:$K$2000,MATCH(F1225,SCOPES!$A$5:$A$2000,0)),"UNMATCHED"))</f>
        <v/>
      </c>
    </row>
    <row r="1226" ht="21.75" customHeight="1" s="130">
      <c r="J1226" s="107">
        <f>IF(OR(B1226&lt;&gt;"WorkPackage",D1226&lt;&gt;"tracks_scope",E1226&lt;&gt;"Scope",F1226=""),"",IFERROR(INDEX(SCOPES!$K$5:$K$2000,MATCH(F1226,SCOPES!$A$5:$A$2000,0)),"UNMATCHED"))</f>
        <v/>
      </c>
    </row>
    <row r="1227" ht="21.75" customHeight="1" s="130">
      <c r="J1227" s="107">
        <f>IF(OR(B1227&lt;&gt;"WorkPackage",D1227&lt;&gt;"tracks_scope",E1227&lt;&gt;"Scope",F1227=""),"",IFERROR(INDEX(SCOPES!$K$5:$K$2000,MATCH(F1227,SCOPES!$A$5:$A$2000,0)),"UNMATCHED"))</f>
        <v/>
      </c>
    </row>
    <row r="1228" ht="21.75" customHeight="1" s="130">
      <c r="J1228" s="107">
        <f>IF(OR(B1228&lt;&gt;"WorkPackage",D1228&lt;&gt;"tracks_scope",E1228&lt;&gt;"Scope",F1228=""),"",IFERROR(INDEX(SCOPES!$K$5:$K$2000,MATCH(F1228,SCOPES!$A$5:$A$2000,0)),"UNMATCHED"))</f>
        <v/>
      </c>
    </row>
    <row r="1229" ht="21.75" customHeight="1" s="130">
      <c r="J1229" s="107">
        <f>IF(OR(B1229&lt;&gt;"WorkPackage",D1229&lt;&gt;"tracks_scope",E1229&lt;&gt;"Scope",F1229=""),"",IFERROR(INDEX(SCOPES!$K$5:$K$2000,MATCH(F1229,SCOPES!$A$5:$A$2000,0)),"UNMATCHED"))</f>
        <v/>
      </c>
    </row>
    <row r="1230" ht="21.75" customHeight="1" s="130">
      <c r="J1230" s="107">
        <f>IF(OR(B1230&lt;&gt;"WorkPackage",D1230&lt;&gt;"tracks_scope",E1230&lt;&gt;"Scope",F1230=""),"",IFERROR(INDEX(SCOPES!$K$5:$K$2000,MATCH(F1230,SCOPES!$A$5:$A$2000,0)),"UNMATCHED"))</f>
        <v/>
      </c>
    </row>
    <row r="1231" ht="21.75" customHeight="1" s="130">
      <c r="J1231" s="107">
        <f>IF(OR(B1231&lt;&gt;"WorkPackage",D1231&lt;&gt;"tracks_scope",E1231&lt;&gt;"Scope",F1231=""),"",IFERROR(INDEX(SCOPES!$K$5:$K$2000,MATCH(F1231,SCOPES!$A$5:$A$2000,0)),"UNMATCHED"))</f>
        <v/>
      </c>
    </row>
    <row r="1232" ht="21.75" customHeight="1" s="130">
      <c r="J1232" s="107">
        <f>IF(OR(B1232&lt;&gt;"WorkPackage",D1232&lt;&gt;"tracks_scope",E1232&lt;&gt;"Scope",F1232=""),"",IFERROR(INDEX(SCOPES!$K$5:$K$2000,MATCH(F1232,SCOPES!$A$5:$A$2000,0)),"UNMATCHED"))</f>
        <v/>
      </c>
    </row>
    <row r="1233" ht="21.75" customHeight="1" s="130">
      <c r="J1233" s="107">
        <f>IF(OR(B1233&lt;&gt;"WorkPackage",D1233&lt;&gt;"tracks_scope",E1233&lt;&gt;"Scope",F1233=""),"",IFERROR(INDEX(SCOPES!$K$5:$K$2000,MATCH(F1233,SCOPES!$A$5:$A$2000,0)),"UNMATCHED"))</f>
        <v/>
      </c>
    </row>
    <row r="1234" ht="21.75" customHeight="1" s="130">
      <c r="J1234" s="107">
        <f>IF(OR(B1234&lt;&gt;"WorkPackage",D1234&lt;&gt;"tracks_scope",E1234&lt;&gt;"Scope",F1234=""),"",IFERROR(INDEX(SCOPES!$K$5:$K$2000,MATCH(F1234,SCOPES!$A$5:$A$2000,0)),"UNMATCHED"))</f>
        <v/>
      </c>
    </row>
    <row r="1235" ht="21.75" customHeight="1" s="130">
      <c r="J1235" s="107">
        <f>IF(OR(B1235&lt;&gt;"WorkPackage",D1235&lt;&gt;"tracks_scope",E1235&lt;&gt;"Scope",F1235=""),"",IFERROR(INDEX(SCOPES!$K$5:$K$2000,MATCH(F1235,SCOPES!$A$5:$A$2000,0)),"UNMATCHED"))</f>
        <v/>
      </c>
    </row>
    <row r="1236" ht="21.75" customHeight="1" s="130">
      <c r="J1236" s="107">
        <f>IF(OR(B1236&lt;&gt;"WorkPackage",D1236&lt;&gt;"tracks_scope",E1236&lt;&gt;"Scope",F1236=""),"",IFERROR(INDEX(SCOPES!$K$5:$K$2000,MATCH(F1236,SCOPES!$A$5:$A$2000,0)),"UNMATCHED"))</f>
        <v/>
      </c>
    </row>
    <row r="1237" ht="21.75" customHeight="1" s="130">
      <c r="J1237" s="107">
        <f>IF(OR(B1237&lt;&gt;"WorkPackage",D1237&lt;&gt;"tracks_scope",E1237&lt;&gt;"Scope",F1237=""),"",IFERROR(INDEX(SCOPES!$K$5:$K$2000,MATCH(F1237,SCOPES!$A$5:$A$2000,0)),"UNMATCHED"))</f>
        <v/>
      </c>
    </row>
    <row r="1238" ht="21.75" customHeight="1" s="130">
      <c r="J1238" s="107">
        <f>IF(OR(B1238&lt;&gt;"WorkPackage",D1238&lt;&gt;"tracks_scope",E1238&lt;&gt;"Scope",F1238=""),"",IFERROR(INDEX(SCOPES!$K$5:$K$2000,MATCH(F1238,SCOPES!$A$5:$A$2000,0)),"UNMATCHED"))</f>
        <v/>
      </c>
    </row>
    <row r="1239" ht="21.75" customHeight="1" s="130">
      <c r="J1239" s="107">
        <f>IF(OR(B1239&lt;&gt;"WorkPackage",D1239&lt;&gt;"tracks_scope",E1239&lt;&gt;"Scope",F1239=""),"",IFERROR(INDEX(SCOPES!$K$5:$K$2000,MATCH(F1239,SCOPES!$A$5:$A$2000,0)),"UNMATCHED"))</f>
        <v/>
      </c>
    </row>
    <row r="1240" ht="21.75" customHeight="1" s="130">
      <c r="J1240" s="107">
        <f>IF(OR(B1240&lt;&gt;"WorkPackage",D1240&lt;&gt;"tracks_scope",E1240&lt;&gt;"Scope",F1240=""),"",IFERROR(INDEX(SCOPES!$K$5:$K$2000,MATCH(F1240,SCOPES!$A$5:$A$2000,0)),"UNMATCHED"))</f>
        <v/>
      </c>
    </row>
    <row r="1241" ht="21.75" customHeight="1" s="130">
      <c r="J1241" s="107">
        <f>IF(OR(B1241&lt;&gt;"WorkPackage",D1241&lt;&gt;"tracks_scope",E1241&lt;&gt;"Scope",F1241=""),"",IFERROR(INDEX(SCOPES!$K$5:$K$2000,MATCH(F1241,SCOPES!$A$5:$A$2000,0)),"UNMATCHED"))</f>
        <v/>
      </c>
    </row>
    <row r="1242" ht="21.75" customHeight="1" s="130">
      <c r="J1242" s="107">
        <f>IF(OR(B1242&lt;&gt;"WorkPackage",D1242&lt;&gt;"tracks_scope",E1242&lt;&gt;"Scope",F1242=""),"",IFERROR(INDEX(SCOPES!$K$5:$K$2000,MATCH(F1242,SCOPES!$A$5:$A$2000,0)),"UNMATCHED"))</f>
        <v/>
      </c>
    </row>
    <row r="1243" ht="21.75" customHeight="1" s="130">
      <c r="J1243" s="107">
        <f>IF(OR(B1243&lt;&gt;"WorkPackage",D1243&lt;&gt;"tracks_scope",E1243&lt;&gt;"Scope",F1243=""),"",IFERROR(INDEX(SCOPES!$K$5:$K$2000,MATCH(F1243,SCOPES!$A$5:$A$2000,0)),"UNMATCHED"))</f>
        <v/>
      </c>
    </row>
    <row r="1244" ht="21.75" customHeight="1" s="130">
      <c r="J1244" s="107">
        <f>IF(OR(B1244&lt;&gt;"WorkPackage",D1244&lt;&gt;"tracks_scope",E1244&lt;&gt;"Scope",F1244=""),"",IFERROR(INDEX(SCOPES!$K$5:$K$2000,MATCH(F1244,SCOPES!$A$5:$A$2000,0)),"UNMATCHED"))</f>
        <v/>
      </c>
    </row>
    <row r="1245" ht="21.75" customHeight="1" s="130">
      <c r="J1245" s="107">
        <f>IF(OR(B1245&lt;&gt;"WorkPackage",D1245&lt;&gt;"tracks_scope",E1245&lt;&gt;"Scope",F1245=""),"",IFERROR(INDEX(SCOPES!$K$5:$K$2000,MATCH(F1245,SCOPES!$A$5:$A$2000,0)),"UNMATCHED"))</f>
        <v/>
      </c>
    </row>
    <row r="1246" ht="21.75" customHeight="1" s="130">
      <c r="J1246" s="107">
        <f>IF(OR(B1246&lt;&gt;"WorkPackage",D1246&lt;&gt;"tracks_scope",E1246&lt;&gt;"Scope",F1246=""),"",IFERROR(INDEX(SCOPES!$K$5:$K$2000,MATCH(F1246,SCOPES!$A$5:$A$2000,0)),"UNMATCHED"))</f>
        <v/>
      </c>
    </row>
    <row r="1247" ht="21.75" customHeight="1" s="130">
      <c r="J1247" s="107">
        <f>IF(OR(B1247&lt;&gt;"WorkPackage",D1247&lt;&gt;"tracks_scope",E1247&lt;&gt;"Scope",F1247=""),"",IFERROR(INDEX(SCOPES!$K$5:$K$2000,MATCH(F1247,SCOPES!$A$5:$A$2000,0)),"UNMATCHED"))</f>
        <v/>
      </c>
    </row>
    <row r="1248" ht="21.75" customHeight="1" s="130">
      <c r="J1248" s="107">
        <f>IF(OR(B1248&lt;&gt;"WorkPackage",D1248&lt;&gt;"tracks_scope",E1248&lt;&gt;"Scope",F1248=""),"",IFERROR(INDEX(SCOPES!$K$5:$K$2000,MATCH(F1248,SCOPES!$A$5:$A$2000,0)),"UNMATCHED"))</f>
        <v/>
      </c>
    </row>
    <row r="1249" ht="21.75" customHeight="1" s="130">
      <c r="J1249" s="107">
        <f>IF(OR(B1249&lt;&gt;"WorkPackage",D1249&lt;&gt;"tracks_scope",E1249&lt;&gt;"Scope",F1249=""),"",IFERROR(INDEX(SCOPES!$K$5:$K$2000,MATCH(F1249,SCOPES!$A$5:$A$2000,0)),"UNMATCHED"))</f>
        <v/>
      </c>
    </row>
    <row r="1250" ht="21.75" customHeight="1" s="130">
      <c r="J1250" s="107">
        <f>IF(OR(B1250&lt;&gt;"WorkPackage",D1250&lt;&gt;"tracks_scope",E1250&lt;&gt;"Scope",F1250=""),"",IFERROR(INDEX(SCOPES!$K$5:$K$2000,MATCH(F1250,SCOPES!$A$5:$A$2000,0)),"UNMATCHED"))</f>
        <v/>
      </c>
    </row>
    <row r="1251" ht="21.75" customHeight="1" s="130">
      <c r="J1251" s="107">
        <f>IF(OR(B1251&lt;&gt;"WorkPackage",D1251&lt;&gt;"tracks_scope",E1251&lt;&gt;"Scope",F1251=""),"",IFERROR(INDEX(SCOPES!$K$5:$K$2000,MATCH(F1251,SCOPES!$A$5:$A$2000,0)),"UNMATCHED"))</f>
        <v/>
      </c>
    </row>
    <row r="1252" ht="21.75" customHeight="1" s="130">
      <c r="J1252" s="107">
        <f>IF(OR(B1252&lt;&gt;"WorkPackage",D1252&lt;&gt;"tracks_scope",E1252&lt;&gt;"Scope",F1252=""),"",IFERROR(INDEX(SCOPES!$K$5:$K$2000,MATCH(F1252,SCOPES!$A$5:$A$2000,0)),"UNMATCHED"))</f>
        <v/>
      </c>
    </row>
    <row r="1253" ht="21.75" customHeight="1" s="130">
      <c r="J1253" s="107">
        <f>IF(OR(B1253&lt;&gt;"WorkPackage",D1253&lt;&gt;"tracks_scope",E1253&lt;&gt;"Scope",F1253=""),"",IFERROR(INDEX(SCOPES!$K$5:$K$2000,MATCH(F1253,SCOPES!$A$5:$A$2000,0)),"UNMATCHED"))</f>
        <v/>
      </c>
    </row>
    <row r="1254" ht="21.75" customHeight="1" s="130">
      <c r="J1254" s="107">
        <f>IF(OR(B1254&lt;&gt;"WorkPackage",D1254&lt;&gt;"tracks_scope",E1254&lt;&gt;"Scope",F1254=""),"",IFERROR(INDEX(SCOPES!$K$5:$K$2000,MATCH(F1254,SCOPES!$A$5:$A$2000,0)),"UNMATCHED"))</f>
        <v/>
      </c>
    </row>
    <row r="1255" ht="21.75" customHeight="1" s="130">
      <c r="J1255" s="107">
        <f>IF(OR(B1255&lt;&gt;"WorkPackage",D1255&lt;&gt;"tracks_scope",E1255&lt;&gt;"Scope",F1255=""),"",IFERROR(INDEX(SCOPES!$K$5:$K$2000,MATCH(F1255,SCOPES!$A$5:$A$2000,0)),"UNMATCHED"))</f>
        <v/>
      </c>
    </row>
    <row r="1256" ht="21.75" customHeight="1" s="130">
      <c r="J1256" s="107">
        <f>IF(OR(B1256&lt;&gt;"WorkPackage",D1256&lt;&gt;"tracks_scope",E1256&lt;&gt;"Scope",F1256=""),"",IFERROR(INDEX(SCOPES!$K$5:$K$2000,MATCH(F1256,SCOPES!$A$5:$A$2000,0)),"UNMATCHED"))</f>
        <v/>
      </c>
    </row>
    <row r="1257" ht="21.75" customHeight="1" s="130">
      <c r="J1257" s="107">
        <f>IF(OR(B1257&lt;&gt;"WorkPackage",D1257&lt;&gt;"tracks_scope",E1257&lt;&gt;"Scope",F1257=""),"",IFERROR(INDEX(SCOPES!$K$5:$K$2000,MATCH(F1257,SCOPES!$A$5:$A$2000,0)),"UNMATCHED"))</f>
        <v/>
      </c>
    </row>
    <row r="1258" ht="21.75" customHeight="1" s="130">
      <c r="J1258" s="107">
        <f>IF(OR(B1258&lt;&gt;"WorkPackage",D1258&lt;&gt;"tracks_scope",E1258&lt;&gt;"Scope",F1258=""),"",IFERROR(INDEX(SCOPES!$K$5:$K$2000,MATCH(F1258,SCOPES!$A$5:$A$2000,0)),"UNMATCHED"))</f>
        <v/>
      </c>
    </row>
    <row r="1259" ht="21.75" customHeight="1" s="130">
      <c r="J1259" s="107">
        <f>IF(OR(B1259&lt;&gt;"WorkPackage",D1259&lt;&gt;"tracks_scope",E1259&lt;&gt;"Scope",F1259=""),"",IFERROR(INDEX(SCOPES!$K$5:$K$2000,MATCH(F1259,SCOPES!$A$5:$A$2000,0)),"UNMATCHED"))</f>
        <v/>
      </c>
    </row>
    <row r="1260" ht="21.75" customHeight="1" s="130">
      <c r="J1260" s="107">
        <f>IF(OR(B1260&lt;&gt;"WorkPackage",D1260&lt;&gt;"tracks_scope",E1260&lt;&gt;"Scope",F1260=""),"",IFERROR(INDEX(SCOPES!$K$5:$K$2000,MATCH(F1260,SCOPES!$A$5:$A$2000,0)),"UNMATCHED"))</f>
        <v/>
      </c>
    </row>
    <row r="1261" ht="21.75" customHeight="1" s="130">
      <c r="J1261" s="107">
        <f>IF(OR(B1261&lt;&gt;"WorkPackage",D1261&lt;&gt;"tracks_scope",E1261&lt;&gt;"Scope",F1261=""),"",IFERROR(INDEX(SCOPES!$K$5:$K$2000,MATCH(F1261,SCOPES!$A$5:$A$2000,0)),"UNMATCHED"))</f>
        <v/>
      </c>
    </row>
    <row r="1262" ht="21.75" customHeight="1" s="130">
      <c r="J1262" s="107">
        <f>IF(OR(B1262&lt;&gt;"WorkPackage",D1262&lt;&gt;"tracks_scope",E1262&lt;&gt;"Scope",F1262=""),"",IFERROR(INDEX(SCOPES!$K$5:$K$2000,MATCH(F1262,SCOPES!$A$5:$A$2000,0)),"UNMATCHED"))</f>
        <v/>
      </c>
    </row>
    <row r="1263" ht="21.75" customHeight="1" s="130">
      <c r="J1263" s="107">
        <f>IF(OR(B1263&lt;&gt;"WorkPackage",D1263&lt;&gt;"tracks_scope",E1263&lt;&gt;"Scope",F1263=""),"",IFERROR(INDEX(SCOPES!$K$5:$K$2000,MATCH(F1263,SCOPES!$A$5:$A$2000,0)),"UNMATCHED"))</f>
        <v/>
      </c>
    </row>
    <row r="1264" ht="21.75" customHeight="1" s="130">
      <c r="J1264" s="107">
        <f>IF(OR(B1264&lt;&gt;"WorkPackage",D1264&lt;&gt;"tracks_scope",E1264&lt;&gt;"Scope",F1264=""),"",IFERROR(INDEX(SCOPES!$K$5:$K$2000,MATCH(F1264,SCOPES!$A$5:$A$2000,0)),"UNMATCHED"))</f>
        <v/>
      </c>
    </row>
    <row r="1265" ht="21.75" customHeight="1" s="130">
      <c r="J1265" s="107">
        <f>IF(OR(B1265&lt;&gt;"WorkPackage",D1265&lt;&gt;"tracks_scope",E1265&lt;&gt;"Scope",F1265=""),"",IFERROR(INDEX(SCOPES!$K$5:$K$2000,MATCH(F1265,SCOPES!$A$5:$A$2000,0)),"UNMATCHED"))</f>
        <v/>
      </c>
    </row>
    <row r="1266" ht="21.75" customHeight="1" s="130">
      <c r="J1266" s="107">
        <f>IF(OR(B1266&lt;&gt;"WorkPackage",D1266&lt;&gt;"tracks_scope",E1266&lt;&gt;"Scope",F1266=""),"",IFERROR(INDEX(SCOPES!$K$5:$K$2000,MATCH(F1266,SCOPES!$A$5:$A$2000,0)),"UNMATCHED"))</f>
        <v/>
      </c>
    </row>
    <row r="1267" ht="21.75" customHeight="1" s="130">
      <c r="J1267" s="107">
        <f>IF(OR(B1267&lt;&gt;"WorkPackage",D1267&lt;&gt;"tracks_scope",E1267&lt;&gt;"Scope",F1267=""),"",IFERROR(INDEX(SCOPES!$K$5:$K$2000,MATCH(F1267,SCOPES!$A$5:$A$2000,0)),"UNMATCHED"))</f>
        <v/>
      </c>
    </row>
    <row r="1268" ht="21.75" customHeight="1" s="130">
      <c r="J1268" s="107">
        <f>IF(OR(B1268&lt;&gt;"WorkPackage",D1268&lt;&gt;"tracks_scope",E1268&lt;&gt;"Scope",F1268=""),"",IFERROR(INDEX(SCOPES!$K$5:$K$2000,MATCH(F1268,SCOPES!$A$5:$A$2000,0)),"UNMATCHED"))</f>
        <v/>
      </c>
    </row>
    <row r="1269" ht="21.75" customHeight="1" s="130">
      <c r="J1269" s="107">
        <f>IF(OR(B1269&lt;&gt;"WorkPackage",D1269&lt;&gt;"tracks_scope",E1269&lt;&gt;"Scope",F1269=""),"",IFERROR(INDEX(SCOPES!$K$5:$K$2000,MATCH(F1269,SCOPES!$A$5:$A$2000,0)),"UNMATCHED"))</f>
        <v/>
      </c>
    </row>
    <row r="1270" ht="21.75" customHeight="1" s="130">
      <c r="J1270" s="107">
        <f>IF(OR(B1270&lt;&gt;"WorkPackage",D1270&lt;&gt;"tracks_scope",E1270&lt;&gt;"Scope",F1270=""),"",IFERROR(INDEX(SCOPES!$K$5:$K$2000,MATCH(F1270,SCOPES!$A$5:$A$2000,0)),"UNMATCHED"))</f>
        <v/>
      </c>
    </row>
    <row r="1271" ht="21.75" customHeight="1" s="130">
      <c r="J1271" s="107">
        <f>IF(OR(B1271&lt;&gt;"WorkPackage",D1271&lt;&gt;"tracks_scope",E1271&lt;&gt;"Scope",F1271=""),"",IFERROR(INDEX(SCOPES!$K$5:$K$2000,MATCH(F1271,SCOPES!$A$5:$A$2000,0)),"UNMATCHED"))</f>
        <v/>
      </c>
    </row>
    <row r="1272" ht="21.75" customHeight="1" s="130">
      <c r="J1272" s="107">
        <f>IF(OR(B1272&lt;&gt;"WorkPackage",D1272&lt;&gt;"tracks_scope",E1272&lt;&gt;"Scope",F1272=""),"",IFERROR(INDEX(SCOPES!$K$5:$K$2000,MATCH(F1272,SCOPES!$A$5:$A$2000,0)),"UNMATCHED"))</f>
        <v/>
      </c>
    </row>
    <row r="1273" ht="21.75" customHeight="1" s="130">
      <c r="J1273" s="107">
        <f>IF(OR(B1273&lt;&gt;"WorkPackage",D1273&lt;&gt;"tracks_scope",E1273&lt;&gt;"Scope",F1273=""),"",IFERROR(INDEX(SCOPES!$K$5:$K$2000,MATCH(F1273,SCOPES!$A$5:$A$2000,0)),"UNMATCHED"))</f>
        <v/>
      </c>
    </row>
    <row r="1274" ht="21.75" customHeight="1" s="130">
      <c r="J1274" s="107">
        <f>IF(OR(B1274&lt;&gt;"WorkPackage",D1274&lt;&gt;"tracks_scope",E1274&lt;&gt;"Scope",F1274=""),"",IFERROR(INDEX(SCOPES!$K$5:$K$2000,MATCH(F1274,SCOPES!$A$5:$A$2000,0)),"UNMATCHED"))</f>
        <v/>
      </c>
    </row>
    <row r="1275" ht="21.75" customHeight="1" s="130">
      <c r="J1275" s="107">
        <f>IF(OR(B1275&lt;&gt;"WorkPackage",D1275&lt;&gt;"tracks_scope",E1275&lt;&gt;"Scope",F1275=""),"",IFERROR(INDEX(SCOPES!$K$5:$K$2000,MATCH(F1275,SCOPES!$A$5:$A$2000,0)),"UNMATCHED"))</f>
        <v/>
      </c>
    </row>
    <row r="1276" ht="21.75" customHeight="1" s="130">
      <c r="J1276" s="107">
        <f>IF(OR(B1276&lt;&gt;"WorkPackage",D1276&lt;&gt;"tracks_scope",E1276&lt;&gt;"Scope",F1276=""),"",IFERROR(INDEX(SCOPES!$K$5:$K$2000,MATCH(F1276,SCOPES!$A$5:$A$2000,0)),"UNMATCHED"))</f>
        <v/>
      </c>
    </row>
    <row r="1277" ht="21.75" customHeight="1" s="130">
      <c r="J1277" s="107">
        <f>IF(OR(B1277&lt;&gt;"WorkPackage",D1277&lt;&gt;"tracks_scope",E1277&lt;&gt;"Scope",F1277=""),"",IFERROR(INDEX(SCOPES!$K$5:$K$2000,MATCH(F1277,SCOPES!$A$5:$A$2000,0)),"UNMATCHED"))</f>
        <v/>
      </c>
    </row>
    <row r="1278" ht="21.75" customHeight="1" s="130">
      <c r="J1278" s="107">
        <f>IF(OR(B1278&lt;&gt;"WorkPackage",D1278&lt;&gt;"tracks_scope",E1278&lt;&gt;"Scope",F1278=""),"",IFERROR(INDEX(SCOPES!$K$5:$K$2000,MATCH(F1278,SCOPES!$A$5:$A$2000,0)),"UNMATCHED"))</f>
        <v/>
      </c>
    </row>
    <row r="1279" ht="21.75" customHeight="1" s="130">
      <c r="J1279" s="107">
        <f>IF(OR(B1279&lt;&gt;"WorkPackage",D1279&lt;&gt;"tracks_scope",E1279&lt;&gt;"Scope",F1279=""),"",IFERROR(INDEX(SCOPES!$K$5:$K$2000,MATCH(F1279,SCOPES!$A$5:$A$2000,0)),"UNMATCHED"))</f>
        <v/>
      </c>
    </row>
    <row r="1280" ht="21.75" customHeight="1" s="130">
      <c r="J1280" s="107">
        <f>IF(OR(B1280&lt;&gt;"WorkPackage",D1280&lt;&gt;"tracks_scope",E1280&lt;&gt;"Scope",F1280=""),"",IFERROR(INDEX(SCOPES!$K$5:$K$2000,MATCH(F1280,SCOPES!$A$5:$A$2000,0)),"UNMATCHED"))</f>
        <v/>
      </c>
    </row>
    <row r="1281" ht="21.75" customHeight="1" s="130">
      <c r="J1281" s="107">
        <f>IF(OR(B1281&lt;&gt;"WorkPackage",D1281&lt;&gt;"tracks_scope",E1281&lt;&gt;"Scope",F1281=""),"",IFERROR(INDEX(SCOPES!$K$5:$K$2000,MATCH(F1281,SCOPES!$A$5:$A$2000,0)),"UNMATCHED"))</f>
        <v/>
      </c>
    </row>
    <row r="1282" ht="21.75" customHeight="1" s="130">
      <c r="J1282" s="107">
        <f>IF(OR(B1282&lt;&gt;"WorkPackage",D1282&lt;&gt;"tracks_scope",E1282&lt;&gt;"Scope",F1282=""),"",IFERROR(INDEX(SCOPES!$K$5:$K$2000,MATCH(F1282,SCOPES!$A$5:$A$2000,0)),"UNMATCHED"))</f>
        <v/>
      </c>
    </row>
    <row r="1283" ht="21.75" customHeight="1" s="130">
      <c r="J1283" s="107">
        <f>IF(OR(B1283&lt;&gt;"WorkPackage",D1283&lt;&gt;"tracks_scope",E1283&lt;&gt;"Scope",F1283=""),"",IFERROR(INDEX(SCOPES!$K$5:$K$2000,MATCH(F1283,SCOPES!$A$5:$A$2000,0)),"UNMATCHED"))</f>
        <v/>
      </c>
    </row>
    <row r="1284" ht="21.75" customHeight="1" s="130">
      <c r="J1284" s="107">
        <f>IF(OR(B1284&lt;&gt;"WorkPackage",D1284&lt;&gt;"tracks_scope",E1284&lt;&gt;"Scope",F1284=""),"",IFERROR(INDEX(SCOPES!$K$5:$K$2000,MATCH(F1284,SCOPES!$A$5:$A$2000,0)),"UNMATCHED"))</f>
        <v/>
      </c>
    </row>
    <row r="1285" ht="21.75" customHeight="1" s="130">
      <c r="J1285" s="107">
        <f>IF(OR(B1285&lt;&gt;"WorkPackage",D1285&lt;&gt;"tracks_scope",E1285&lt;&gt;"Scope",F1285=""),"",IFERROR(INDEX(SCOPES!$K$5:$K$2000,MATCH(F1285,SCOPES!$A$5:$A$2000,0)),"UNMATCHED"))</f>
        <v/>
      </c>
    </row>
    <row r="1286" ht="21.75" customHeight="1" s="130">
      <c r="J1286" s="107">
        <f>IF(OR(B1286&lt;&gt;"WorkPackage",D1286&lt;&gt;"tracks_scope",E1286&lt;&gt;"Scope",F1286=""),"",IFERROR(INDEX(SCOPES!$K$5:$K$2000,MATCH(F1286,SCOPES!$A$5:$A$2000,0)),"UNMATCHED"))</f>
        <v/>
      </c>
    </row>
    <row r="1287" ht="21.75" customHeight="1" s="130">
      <c r="J1287" s="107">
        <f>IF(OR(B1287&lt;&gt;"WorkPackage",D1287&lt;&gt;"tracks_scope",E1287&lt;&gt;"Scope",F1287=""),"",IFERROR(INDEX(SCOPES!$K$5:$K$2000,MATCH(F1287,SCOPES!$A$5:$A$2000,0)),"UNMATCHED"))</f>
        <v/>
      </c>
    </row>
    <row r="1288" ht="21.75" customHeight="1" s="130">
      <c r="J1288" s="107">
        <f>IF(OR(B1288&lt;&gt;"WorkPackage",D1288&lt;&gt;"tracks_scope",E1288&lt;&gt;"Scope",F1288=""),"",IFERROR(INDEX(SCOPES!$K$5:$K$2000,MATCH(F1288,SCOPES!$A$5:$A$2000,0)),"UNMATCHED"))</f>
        <v/>
      </c>
    </row>
    <row r="1289" ht="21.75" customHeight="1" s="130">
      <c r="J1289" s="107">
        <f>IF(OR(B1289&lt;&gt;"WorkPackage",D1289&lt;&gt;"tracks_scope",E1289&lt;&gt;"Scope",F1289=""),"",IFERROR(INDEX(SCOPES!$K$5:$K$2000,MATCH(F1289,SCOPES!$A$5:$A$2000,0)),"UNMATCHED"))</f>
        <v/>
      </c>
    </row>
    <row r="1290" ht="21.75" customHeight="1" s="130">
      <c r="J1290" s="107">
        <f>IF(OR(B1290&lt;&gt;"WorkPackage",D1290&lt;&gt;"tracks_scope",E1290&lt;&gt;"Scope",F1290=""),"",IFERROR(INDEX(SCOPES!$K$5:$K$2000,MATCH(F1290,SCOPES!$A$5:$A$2000,0)),"UNMATCHED"))</f>
        <v/>
      </c>
    </row>
    <row r="1291" ht="21.75" customHeight="1" s="130">
      <c r="J1291" s="107">
        <f>IF(OR(B1291&lt;&gt;"WorkPackage",D1291&lt;&gt;"tracks_scope",E1291&lt;&gt;"Scope",F1291=""),"",IFERROR(INDEX(SCOPES!$K$5:$K$2000,MATCH(F1291,SCOPES!$A$5:$A$2000,0)),"UNMATCHED"))</f>
        <v/>
      </c>
    </row>
    <row r="1292" ht="21.75" customHeight="1" s="130">
      <c r="J1292" s="107">
        <f>IF(OR(B1292&lt;&gt;"WorkPackage",D1292&lt;&gt;"tracks_scope",E1292&lt;&gt;"Scope",F1292=""),"",IFERROR(INDEX(SCOPES!$K$5:$K$2000,MATCH(F1292,SCOPES!$A$5:$A$2000,0)),"UNMATCHED"))</f>
        <v/>
      </c>
    </row>
    <row r="1293" ht="21.75" customHeight="1" s="130">
      <c r="J1293" s="107">
        <f>IF(OR(B1293&lt;&gt;"WorkPackage",D1293&lt;&gt;"tracks_scope",E1293&lt;&gt;"Scope",F1293=""),"",IFERROR(INDEX(SCOPES!$K$5:$K$2000,MATCH(F1293,SCOPES!$A$5:$A$2000,0)),"UNMATCHED"))</f>
        <v/>
      </c>
    </row>
    <row r="1294" ht="21.75" customHeight="1" s="130">
      <c r="J1294" s="107">
        <f>IF(OR(B1294&lt;&gt;"WorkPackage",D1294&lt;&gt;"tracks_scope",E1294&lt;&gt;"Scope",F1294=""),"",IFERROR(INDEX(SCOPES!$K$5:$K$2000,MATCH(F1294,SCOPES!$A$5:$A$2000,0)),"UNMATCHED"))</f>
        <v/>
      </c>
    </row>
    <row r="1295" ht="21.75" customHeight="1" s="130">
      <c r="J1295" s="107">
        <f>IF(OR(B1295&lt;&gt;"WorkPackage",D1295&lt;&gt;"tracks_scope",E1295&lt;&gt;"Scope",F1295=""),"",IFERROR(INDEX(SCOPES!$K$5:$K$2000,MATCH(F1295,SCOPES!$A$5:$A$2000,0)),"UNMATCHED"))</f>
        <v/>
      </c>
    </row>
    <row r="1296" ht="21.75" customHeight="1" s="130">
      <c r="J1296" s="107">
        <f>IF(OR(B1296&lt;&gt;"WorkPackage",D1296&lt;&gt;"tracks_scope",E1296&lt;&gt;"Scope",F1296=""),"",IFERROR(INDEX(SCOPES!$K$5:$K$2000,MATCH(F1296,SCOPES!$A$5:$A$2000,0)),"UNMATCHED"))</f>
        <v/>
      </c>
    </row>
    <row r="1297" ht="21.75" customHeight="1" s="130">
      <c r="J1297" s="107">
        <f>IF(OR(B1297&lt;&gt;"WorkPackage",D1297&lt;&gt;"tracks_scope",E1297&lt;&gt;"Scope",F1297=""),"",IFERROR(INDEX(SCOPES!$K$5:$K$2000,MATCH(F1297,SCOPES!$A$5:$A$2000,0)),"UNMATCHED"))</f>
        <v/>
      </c>
    </row>
    <row r="1298" ht="21.75" customHeight="1" s="130">
      <c r="J1298" s="107">
        <f>IF(OR(B1298&lt;&gt;"WorkPackage",D1298&lt;&gt;"tracks_scope",E1298&lt;&gt;"Scope",F1298=""),"",IFERROR(INDEX(SCOPES!$K$5:$K$2000,MATCH(F1298,SCOPES!$A$5:$A$2000,0)),"UNMATCHED"))</f>
        <v/>
      </c>
    </row>
    <row r="1299" ht="21.75" customHeight="1" s="130">
      <c r="J1299" s="107">
        <f>IF(OR(B1299&lt;&gt;"WorkPackage",D1299&lt;&gt;"tracks_scope",E1299&lt;&gt;"Scope",F1299=""),"",IFERROR(INDEX(SCOPES!$K$5:$K$2000,MATCH(F1299,SCOPES!$A$5:$A$2000,0)),"UNMATCHED"))</f>
        <v/>
      </c>
    </row>
    <row r="1300" ht="21.75" customHeight="1" s="130">
      <c r="J1300" s="107">
        <f>IF(OR(B1300&lt;&gt;"WorkPackage",D1300&lt;&gt;"tracks_scope",E1300&lt;&gt;"Scope",F1300=""),"",IFERROR(INDEX(SCOPES!$K$5:$K$2000,MATCH(F1300,SCOPES!$A$5:$A$2000,0)),"UNMATCHED"))</f>
        <v/>
      </c>
    </row>
    <row r="1301" ht="21.75" customHeight="1" s="130">
      <c r="J1301" s="107">
        <f>IF(OR(B1301&lt;&gt;"WorkPackage",D1301&lt;&gt;"tracks_scope",E1301&lt;&gt;"Scope",F1301=""),"",IFERROR(INDEX(SCOPES!$K$5:$K$2000,MATCH(F1301,SCOPES!$A$5:$A$2000,0)),"UNMATCHED"))</f>
        <v/>
      </c>
    </row>
    <row r="1302" ht="21.75" customHeight="1" s="130">
      <c r="J1302" s="107">
        <f>IF(OR(B1302&lt;&gt;"WorkPackage",D1302&lt;&gt;"tracks_scope",E1302&lt;&gt;"Scope",F1302=""),"",IFERROR(INDEX(SCOPES!$K$5:$K$2000,MATCH(F1302,SCOPES!$A$5:$A$2000,0)),"UNMATCHED"))</f>
        <v/>
      </c>
    </row>
    <row r="1303" ht="21.75" customHeight="1" s="130">
      <c r="J1303" s="107">
        <f>IF(OR(B1303&lt;&gt;"WorkPackage",D1303&lt;&gt;"tracks_scope",E1303&lt;&gt;"Scope",F1303=""),"",IFERROR(INDEX(SCOPES!$K$5:$K$2000,MATCH(F1303,SCOPES!$A$5:$A$2000,0)),"UNMATCHED"))</f>
        <v/>
      </c>
    </row>
    <row r="1304" ht="21.75" customHeight="1" s="130">
      <c r="J1304" s="107">
        <f>IF(OR(B1304&lt;&gt;"WorkPackage",D1304&lt;&gt;"tracks_scope",E1304&lt;&gt;"Scope",F1304=""),"",IFERROR(INDEX(SCOPES!$K$5:$K$2000,MATCH(F1304,SCOPES!$A$5:$A$2000,0)),"UNMATCHED"))</f>
        <v/>
      </c>
    </row>
    <row r="1305" ht="21.75" customHeight="1" s="130">
      <c r="J1305" s="107">
        <f>IF(OR(B1305&lt;&gt;"WorkPackage",D1305&lt;&gt;"tracks_scope",E1305&lt;&gt;"Scope",F1305=""),"",IFERROR(INDEX(SCOPES!$K$5:$K$2000,MATCH(F1305,SCOPES!$A$5:$A$2000,0)),"UNMATCHED"))</f>
        <v/>
      </c>
    </row>
    <row r="1306" ht="21.75" customHeight="1" s="130">
      <c r="J1306" s="107">
        <f>IF(OR(B1306&lt;&gt;"WorkPackage",D1306&lt;&gt;"tracks_scope",E1306&lt;&gt;"Scope",F1306=""),"",IFERROR(INDEX(SCOPES!$K$5:$K$2000,MATCH(F1306,SCOPES!$A$5:$A$2000,0)),"UNMATCHED"))</f>
        <v/>
      </c>
    </row>
    <row r="1307" ht="21.75" customHeight="1" s="130">
      <c r="J1307" s="107">
        <f>IF(OR(B1307&lt;&gt;"WorkPackage",D1307&lt;&gt;"tracks_scope",E1307&lt;&gt;"Scope",F1307=""),"",IFERROR(INDEX(SCOPES!$K$5:$K$2000,MATCH(F1307,SCOPES!$A$5:$A$2000,0)),"UNMATCHED"))</f>
        <v/>
      </c>
    </row>
    <row r="1308" ht="21.75" customHeight="1" s="130">
      <c r="J1308" s="107">
        <f>IF(OR(B1308&lt;&gt;"WorkPackage",D1308&lt;&gt;"tracks_scope",E1308&lt;&gt;"Scope",F1308=""),"",IFERROR(INDEX(SCOPES!$K$5:$K$2000,MATCH(F1308,SCOPES!$A$5:$A$2000,0)),"UNMATCHED"))</f>
        <v/>
      </c>
    </row>
    <row r="1309" ht="21.75" customHeight="1" s="130">
      <c r="J1309" s="107">
        <f>IF(OR(B1309&lt;&gt;"WorkPackage",D1309&lt;&gt;"tracks_scope",E1309&lt;&gt;"Scope",F1309=""),"",IFERROR(INDEX(SCOPES!$K$5:$K$2000,MATCH(F1309,SCOPES!$A$5:$A$2000,0)),"UNMATCHED"))</f>
        <v/>
      </c>
    </row>
    <row r="1310" ht="21.75" customHeight="1" s="130">
      <c r="J1310" s="107">
        <f>IF(OR(B1310&lt;&gt;"WorkPackage",D1310&lt;&gt;"tracks_scope",E1310&lt;&gt;"Scope",F1310=""),"",IFERROR(INDEX(SCOPES!$K$5:$K$2000,MATCH(F1310,SCOPES!$A$5:$A$2000,0)),"UNMATCHED"))</f>
        <v/>
      </c>
    </row>
    <row r="1311" ht="21.75" customHeight="1" s="130">
      <c r="J1311" s="107">
        <f>IF(OR(B1311&lt;&gt;"WorkPackage",D1311&lt;&gt;"tracks_scope",E1311&lt;&gt;"Scope",F1311=""),"",IFERROR(INDEX(SCOPES!$K$5:$K$2000,MATCH(F1311,SCOPES!$A$5:$A$2000,0)),"UNMATCHED"))</f>
        <v/>
      </c>
    </row>
    <row r="1312" ht="21.75" customHeight="1" s="130">
      <c r="J1312" s="107">
        <f>IF(OR(B1312&lt;&gt;"WorkPackage",D1312&lt;&gt;"tracks_scope",E1312&lt;&gt;"Scope",F1312=""),"",IFERROR(INDEX(SCOPES!$K$5:$K$2000,MATCH(F1312,SCOPES!$A$5:$A$2000,0)),"UNMATCHED"))</f>
        <v/>
      </c>
    </row>
    <row r="1313" ht="21.75" customHeight="1" s="130">
      <c r="J1313" s="107">
        <f>IF(OR(B1313&lt;&gt;"WorkPackage",D1313&lt;&gt;"tracks_scope",E1313&lt;&gt;"Scope",F1313=""),"",IFERROR(INDEX(SCOPES!$K$5:$K$2000,MATCH(F1313,SCOPES!$A$5:$A$2000,0)),"UNMATCHED"))</f>
        <v/>
      </c>
    </row>
    <row r="1314" ht="21.75" customHeight="1" s="130">
      <c r="J1314" s="107">
        <f>IF(OR(B1314&lt;&gt;"WorkPackage",D1314&lt;&gt;"tracks_scope",E1314&lt;&gt;"Scope",F1314=""),"",IFERROR(INDEX(SCOPES!$K$5:$K$2000,MATCH(F1314,SCOPES!$A$5:$A$2000,0)),"UNMATCHED"))</f>
        <v/>
      </c>
    </row>
    <row r="1315" ht="21.75" customHeight="1" s="130">
      <c r="J1315" s="107">
        <f>IF(OR(B1315&lt;&gt;"WorkPackage",D1315&lt;&gt;"tracks_scope",E1315&lt;&gt;"Scope",F1315=""),"",IFERROR(INDEX(SCOPES!$K$5:$K$2000,MATCH(F1315,SCOPES!$A$5:$A$2000,0)),"UNMATCHED"))</f>
        <v/>
      </c>
    </row>
    <row r="1316" ht="21.75" customHeight="1" s="130">
      <c r="J1316" s="107">
        <f>IF(OR(B1316&lt;&gt;"WorkPackage",D1316&lt;&gt;"tracks_scope",E1316&lt;&gt;"Scope",F1316=""),"",IFERROR(INDEX(SCOPES!$K$5:$K$2000,MATCH(F1316,SCOPES!$A$5:$A$2000,0)),"UNMATCHED"))</f>
        <v/>
      </c>
    </row>
    <row r="1317" ht="21.75" customHeight="1" s="130">
      <c r="J1317" s="107">
        <f>IF(OR(B1317&lt;&gt;"WorkPackage",D1317&lt;&gt;"tracks_scope",E1317&lt;&gt;"Scope",F1317=""),"",IFERROR(INDEX(SCOPES!$K$5:$K$2000,MATCH(F1317,SCOPES!$A$5:$A$2000,0)),"UNMATCHED"))</f>
        <v/>
      </c>
    </row>
    <row r="1318" ht="21.75" customHeight="1" s="130">
      <c r="J1318" s="107">
        <f>IF(OR(B1318&lt;&gt;"WorkPackage",D1318&lt;&gt;"tracks_scope",E1318&lt;&gt;"Scope",F1318=""),"",IFERROR(INDEX(SCOPES!$K$5:$K$2000,MATCH(F1318,SCOPES!$A$5:$A$2000,0)),"UNMATCHED"))</f>
        <v/>
      </c>
    </row>
    <row r="1319" ht="21.75" customHeight="1" s="130">
      <c r="J1319" s="107">
        <f>IF(OR(B1319&lt;&gt;"WorkPackage",D1319&lt;&gt;"tracks_scope",E1319&lt;&gt;"Scope",F1319=""),"",IFERROR(INDEX(SCOPES!$K$5:$K$2000,MATCH(F1319,SCOPES!$A$5:$A$2000,0)),"UNMATCHED"))</f>
        <v/>
      </c>
    </row>
    <row r="1320" ht="21.75" customHeight="1" s="130">
      <c r="J1320" s="107">
        <f>IF(OR(B1320&lt;&gt;"WorkPackage",D1320&lt;&gt;"tracks_scope",E1320&lt;&gt;"Scope",F1320=""),"",IFERROR(INDEX(SCOPES!$K$5:$K$2000,MATCH(F1320,SCOPES!$A$5:$A$2000,0)),"UNMATCHED"))</f>
        <v/>
      </c>
    </row>
    <row r="1321" ht="21.75" customHeight="1" s="130">
      <c r="J1321" s="107">
        <f>IF(OR(B1321&lt;&gt;"WorkPackage",D1321&lt;&gt;"tracks_scope",E1321&lt;&gt;"Scope",F1321=""),"",IFERROR(INDEX(SCOPES!$K$5:$K$2000,MATCH(F1321,SCOPES!$A$5:$A$2000,0)),"UNMATCHED"))</f>
        <v/>
      </c>
    </row>
    <row r="1322" ht="21.75" customHeight="1" s="130">
      <c r="J1322" s="107">
        <f>IF(OR(B1322&lt;&gt;"WorkPackage",D1322&lt;&gt;"tracks_scope",E1322&lt;&gt;"Scope",F1322=""),"",IFERROR(INDEX(SCOPES!$K$5:$K$2000,MATCH(F1322,SCOPES!$A$5:$A$2000,0)),"UNMATCHED"))</f>
        <v/>
      </c>
    </row>
    <row r="1323" ht="21.75" customHeight="1" s="130">
      <c r="J1323" s="107">
        <f>IF(OR(B1323&lt;&gt;"WorkPackage",D1323&lt;&gt;"tracks_scope",E1323&lt;&gt;"Scope",F1323=""),"",IFERROR(INDEX(SCOPES!$K$5:$K$2000,MATCH(F1323,SCOPES!$A$5:$A$2000,0)),"UNMATCHED"))</f>
        <v/>
      </c>
    </row>
    <row r="1324" ht="21.75" customHeight="1" s="130">
      <c r="J1324" s="107">
        <f>IF(OR(B1324&lt;&gt;"WorkPackage",D1324&lt;&gt;"tracks_scope",E1324&lt;&gt;"Scope",F1324=""),"",IFERROR(INDEX(SCOPES!$K$5:$K$2000,MATCH(F1324,SCOPES!$A$5:$A$2000,0)),"UNMATCHED"))</f>
        <v/>
      </c>
    </row>
    <row r="1325" ht="21.75" customHeight="1" s="130">
      <c r="J1325" s="107">
        <f>IF(OR(B1325&lt;&gt;"WorkPackage",D1325&lt;&gt;"tracks_scope",E1325&lt;&gt;"Scope",F1325=""),"",IFERROR(INDEX(SCOPES!$K$5:$K$2000,MATCH(F1325,SCOPES!$A$5:$A$2000,0)),"UNMATCHED"))</f>
        <v/>
      </c>
    </row>
    <row r="1326" ht="21.75" customHeight="1" s="130">
      <c r="J1326" s="107">
        <f>IF(OR(B1326&lt;&gt;"WorkPackage",D1326&lt;&gt;"tracks_scope",E1326&lt;&gt;"Scope",F1326=""),"",IFERROR(INDEX(SCOPES!$K$5:$K$2000,MATCH(F1326,SCOPES!$A$5:$A$2000,0)),"UNMATCHED"))</f>
        <v/>
      </c>
    </row>
    <row r="1327" ht="21.75" customHeight="1" s="130">
      <c r="J1327" s="107">
        <f>IF(OR(B1327&lt;&gt;"WorkPackage",D1327&lt;&gt;"tracks_scope",E1327&lt;&gt;"Scope",F1327=""),"",IFERROR(INDEX(SCOPES!$K$5:$K$2000,MATCH(F1327,SCOPES!$A$5:$A$2000,0)),"UNMATCHED"))</f>
        <v/>
      </c>
    </row>
    <row r="1328" ht="21.75" customHeight="1" s="130">
      <c r="J1328" s="107">
        <f>IF(OR(B1328&lt;&gt;"WorkPackage",D1328&lt;&gt;"tracks_scope",E1328&lt;&gt;"Scope",F1328=""),"",IFERROR(INDEX(SCOPES!$K$5:$K$2000,MATCH(F1328,SCOPES!$A$5:$A$2000,0)),"UNMATCHED"))</f>
        <v/>
      </c>
    </row>
    <row r="1329" ht="21.75" customHeight="1" s="130">
      <c r="J1329" s="107">
        <f>IF(OR(B1329&lt;&gt;"WorkPackage",D1329&lt;&gt;"tracks_scope",E1329&lt;&gt;"Scope",F1329=""),"",IFERROR(INDEX(SCOPES!$K$5:$K$2000,MATCH(F1329,SCOPES!$A$5:$A$2000,0)),"UNMATCHED"))</f>
        <v/>
      </c>
    </row>
    <row r="1330" ht="21.75" customHeight="1" s="130">
      <c r="J1330" s="107">
        <f>IF(OR(B1330&lt;&gt;"WorkPackage",D1330&lt;&gt;"tracks_scope",E1330&lt;&gt;"Scope",F1330=""),"",IFERROR(INDEX(SCOPES!$K$5:$K$2000,MATCH(F1330,SCOPES!$A$5:$A$2000,0)),"UNMATCHED"))</f>
        <v/>
      </c>
    </row>
    <row r="1331" ht="21.75" customHeight="1" s="130">
      <c r="J1331" s="107">
        <f>IF(OR(B1331&lt;&gt;"WorkPackage",D1331&lt;&gt;"tracks_scope",E1331&lt;&gt;"Scope",F1331=""),"",IFERROR(INDEX(SCOPES!$K$5:$K$2000,MATCH(F1331,SCOPES!$A$5:$A$2000,0)),"UNMATCHED"))</f>
        <v/>
      </c>
    </row>
    <row r="1332" ht="21.75" customHeight="1" s="130">
      <c r="J1332" s="107">
        <f>IF(OR(B1332&lt;&gt;"WorkPackage",D1332&lt;&gt;"tracks_scope",E1332&lt;&gt;"Scope",F1332=""),"",IFERROR(INDEX(SCOPES!$K$5:$K$2000,MATCH(F1332,SCOPES!$A$5:$A$2000,0)),"UNMATCHED"))</f>
        <v/>
      </c>
    </row>
    <row r="1333" ht="21.75" customHeight="1" s="130">
      <c r="J1333" s="107">
        <f>IF(OR(B1333&lt;&gt;"WorkPackage",D1333&lt;&gt;"tracks_scope",E1333&lt;&gt;"Scope",F1333=""),"",IFERROR(INDEX(SCOPES!$K$5:$K$2000,MATCH(F1333,SCOPES!$A$5:$A$2000,0)),"UNMATCHED"))</f>
        <v/>
      </c>
    </row>
    <row r="1334" ht="21.75" customHeight="1" s="130">
      <c r="J1334" s="107">
        <f>IF(OR(B1334&lt;&gt;"WorkPackage",D1334&lt;&gt;"tracks_scope",E1334&lt;&gt;"Scope",F1334=""),"",IFERROR(INDEX(SCOPES!$K$5:$K$2000,MATCH(F1334,SCOPES!$A$5:$A$2000,0)),"UNMATCHED"))</f>
        <v/>
      </c>
    </row>
    <row r="1335" ht="21.75" customHeight="1" s="130">
      <c r="J1335" s="107">
        <f>IF(OR(B1335&lt;&gt;"WorkPackage",D1335&lt;&gt;"tracks_scope",E1335&lt;&gt;"Scope",F1335=""),"",IFERROR(INDEX(SCOPES!$K$5:$K$2000,MATCH(F1335,SCOPES!$A$5:$A$2000,0)),"UNMATCHED"))</f>
        <v/>
      </c>
    </row>
    <row r="1336" ht="21.75" customHeight="1" s="130">
      <c r="J1336" s="107">
        <f>IF(OR(B1336&lt;&gt;"WorkPackage",D1336&lt;&gt;"tracks_scope",E1336&lt;&gt;"Scope",F1336=""),"",IFERROR(INDEX(SCOPES!$K$5:$K$2000,MATCH(F1336,SCOPES!$A$5:$A$2000,0)),"UNMATCHED"))</f>
        <v/>
      </c>
    </row>
    <row r="1337" ht="21.75" customHeight="1" s="130">
      <c r="J1337" s="107">
        <f>IF(OR(B1337&lt;&gt;"WorkPackage",D1337&lt;&gt;"tracks_scope",E1337&lt;&gt;"Scope",F1337=""),"",IFERROR(INDEX(SCOPES!$K$5:$K$2000,MATCH(F1337,SCOPES!$A$5:$A$2000,0)),"UNMATCHED"))</f>
        <v/>
      </c>
    </row>
    <row r="1338" ht="21.75" customHeight="1" s="130">
      <c r="J1338" s="107">
        <f>IF(OR(B1338&lt;&gt;"WorkPackage",D1338&lt;&gt;"tracks_scope",E1338&lt;&gt;"Scope",F1338=""),"",IFERROR(INDEX(SCOPES!$K$5:$K$2000,MATCH(F1338,SCOPES!$A$5:$A$2000,0)),"UNMATCHED"))</f>
        <v/>
      </c>
    </row>
    <row r="1339" ht="21.75" customHeight="1" s="130">
      <c r="J1339" s="107">
        <f>IF(OR(B1339&lt;&gt;"WorkPackage",D1339&lt;&gt;"tracks_scope",E1339&lt;&gt;"Scope",F1339=""),"",IFERROR(INDEX(SCOPES!$K$5:$K$2000,MATCH(F1339,SCOPES!$A$5:$A$2000,0)),"UNMATCHED"))</f>
        <v/>
      </c>
    </row>
    <row r="1340" ht="21.75" customHeight="1" s="130">
      <c r="J1340" s="107">
        <f>IF(OR(B1340&lt;&gt;"WorkPackage",D1340&lt;&gt;"tracks_scope",E1340&lt;&gt;"Scope",F1340=""),"",IFERROR(INDEX(SCOPES!$K$5:$K$2000,MATCH(F1340,SCOPES!$A$5:$A$2000,0)),"UNMATCHED"))</f>
        <v/>
      </c>
    </row>
    <row r="1341" ht="21.75" customHeight="1" s="130">
      <c r="J1341" s="107">
        <f>IF(OR(B1341&lt;&gt;"WorkPackage",D1341&lt;&gt;"tracks_scope",E1341&lt;&gt;"Scope",F1341=""),"",IFERROR(INDEX(SCOPES!$K$5:$K$2000,MATCH(F1341,SCOPES!$A$5:$A$2000,0)),"UNMATCHED"))</f>
        <v/>
      </c>
    </row>
    <row r="1342" ht="21.75" customHeight="1" s="130">
      <c r="J1342" s="107">
        <f>IF(OR(B1342&lt;&gt;"WorkPackage",D1342&lt;&gt;"tracks_scope",E1342&lt;&gt;"Scope",F1342=""),"",IFERROR(INDEX(SCOPES!$K$5:$K$2000,MATCH(F1342,SCOPES!$A$5:$A$2000,0)),"UNMATCHED"))</f>
        <v/>
      </c>
    </row>
    <row r="1343" ht="21.75" customHeight="1" s="130">
      <c r="J1343" s="107">
        <f>IF(OR(B1343&lt;&gt;"WorkPackage",D1343&lt;&gt;"tracks_scope",E1343&lt;&gt;"Scope",F1343=""),"",IFERROR(INDEX(SCOPES!$K$5:$K$2000,MATCH(F1343,SCOPES!$A$5:$A$2000,0)),"UNMATCHED"))</f>
        <v/>
      </c>
    </row>
    <row r="1344" ht="21.75" customHeight="1" s="130">
      <c r="J1344" s="107">
        <f>IF(OR(B1344&lt;&gt;"WorkPackage",D1344&lt;&gt;"tracks_scope",E1344&lt;&gt;"Scope",F1344=""),"",IFERROR(INDEX(SCOPES!$K$5:$K$2000,MATCH(F1344,SCOPES!$A$5:$A$2000,0)),"UNMATCHED"))</f>
        <v/>
      </c>
    </row>
    <row r="1345" ht="21.75" customHeight="1" s="130">
      <c r="J1345" s="107">
        <f>IF(OR(B1345&lt;&gt;"WorkPackage",D1345&lt;&gt;"tracks_scope",E1345&lt;&gt;"Scope",F1345=""),"",IFERROR(INDEX(SCOPES!$K$5:$K$2000,MATCH(F1345,SCOPES!$A$5:$A$2000,0)),"UNMATCHED"))</f>
        <v/>
      </c>
    </row>
    <row r="1346" ht="21.75" customHeight="1" s="130">
      <c r="J1346" s="107">
        <f>IF(OR(B1346&lt;&gt;"WorkPackage",D1346&lt;&gt;"tracks_scope",E1346&lt;&gt;"Scope",F1346=""),"",IFERROR(INDEX(SCOPES!$K$5:$K$2000,MATCH(F1346,SCOPES!$A$5:$A$2000,0)),"UNMATCHED"))</f>
        <v/>
      </c>
    </row>
    <row r="1347" ht="21.75" customHeight="1" s="130">
      <c r="J1347" s="107">
        <f>IF(OR(B1347&lt;&gt;"WorkPackage",D1347&lt;&gt;"tracks_scope",E1347&lt;&gt;"Scope",F1347=""),"",IFERROR(INDEX(SCOPES!$K$5:$K$2000,MATCH(F1347,SCOPES!$A$5:$A$2000,0)),"UNMATCHED"))</f>
        <v/>
      </c>
    </row>
    <row r="1348" ht="21.75" customHeight="1" s="130">
      <c r="J1348" s="107">
        <f>IF(OR(B1348&lt;&gt;"WorkPackage",D1348&lt;&gt;"tracks_scope",E1348&lt;&gt;"Scope",F1348=""),"",IFERROR(INDEX(SCOPES!$K$5:$K$2000,MATCH(F1348,SCOPES!$A$5:$A$2000,0)),"UNMATCHED"))</f>
        <v/>
      </c>
    </row>
    <row r="1349" ht="21.75" customHeight="1" s="130">
      <c r="J1349" s="107">
        <f>IF(OR(B1349&lt;&gt;"WorkPackage",D1349&lt;&gt;"tracks_scope",E1349&lt;&gt;"Scope",F1349=""),"",IFERROR(INDEX(SCOPES!$K$5:$K$2000,MATCH(F1349,SCOPES!$A$5:$A$2000,0)),"UNMATCHED"))</f>
        <v/>
      </c>
    </row>
    <row r="1350" ht="21.75" customHeight="1" s="130">
      <c r="J1350" s="107">
        <f>IF(OR(B1350&lt;&gt;"WorkPackage",D1350&lt;&gt;"tracks_scope",E1350&lt;&gt;"Scope",F1350=""),"",IFERROR(INDEX(SCOPES!$K$5:$K$2000,MATCH(F1350,SCOPES!$A$5:$A$2000,0)),"UNMATCHED"))</f>
        <v/>
      </c>
    </row>
    <row r="1351" ht="21.75" customHeight="1" s="130">
      <c r="J1351" s="107">
        <f>IF(OR(B1351&lt;&gt;"WorkPackage",D1351&lt;&gt;"tracks_scope",E1351&lt;&gt;"Scope",F1351=""),"",IFERROR(INDEX(SCOPES!$K$5:$K$2000,MATCH(F1351,SCOPES!$A$5:$A$2000,0)),"UNMATCHED"))</f>
        <v/>
      </c>
    </row>
    <row r="1352" ht="21.75" customHeight="1" s="130">
      <c r="J1352" s="107">
        <f>IF(OR(B1352&lt;&gt;"WorkPackage",D1352&lt;&gt;"tracks_scope",E1352&lt;&gt;"Scope",F1352=""),"",IFERROR(INDEX(SCOPES!$K$5:$K$2000,MATCH(F1352,SCOPES!$A$5:$A$2000,0)),"UNMATCHED"))</f>
        <v/>
      </c>
    </row>
    <row r="1353" ht="21.75" customHeight="1" s="130">
      <c r="J1353" s="107">
        <f>IF(OR(B1353&lt;&gt;"WorkPackage",D1353&lt;&gt;"tracks_scope",E1353&lt;&gt;"Scope",F1353=""),"",IFERROR(INDEX(SCOPES!$K$5:$K$2000,MATCH(F1353,SCOPES!$A$5:$A$2000,0)),"UNMATCHED"))</f>
        <v/>
      </c>
    </row>
    <row r="1354" ht="21.75" customHeight="1" s="130">
      <c r="J1354" s="107">
        <f>IF(OR(B1354&lt;&gt;"WorkPackage",D1354&lt;&gt;"tracks_scope",E1354&lt;&gt;"Scope",F1354=""),"",IFERROR(INDEX(SCOPES!$K$5:$K$2000,MATCH(F1354,SCOPES!$A$5:$A$2000,0)),"UNMATCHED"))</f>
        <v/>
      </c>
    </row>
    <row r="1355" ht="21.75" customHeight="1" s="130">
      <c r="J1355" s="107">
        <f>IF(OR(B1355&lt;&gt;"WorkPackage",D1355&lt;&gt;"tracks_scope",E1355&lt;&gt;"Scope",F1355=""),"",IFERROR(INDEX(SCOPES!$K$5:$K$2000,MATCH(F1355,SCOPES!$A$5:$A$2000,0)),"UNMATCHED"))</f>
        <v/>
      </c>
    </row>
    <row r="1356" ht="21.75" customHeight="1" s="130">
      <c r="J1356" s="107">
        <f>IF(OR(B1356&lt;&gt;"WorkPackage",D1356&lt;&gt;"tracks_scope",E1356&lt;&gt;"Scope",F1356=""),"",IFERROR(INDEX(SCOPES!$K$5:$K$2000,MATCH(F1356,SCOPES!$A$5:$A$2000,0)),"UNMATCHED"))</f>
        <v/>
      </c>
    </row>
    <row r="1357" ht="21.75" customHeight="1" s="130">
      <c r="J1357" s="107">
        <f>IF(OR(B1357&lt;&gt;"WorkPackage",D1357&lt;&gt;"tracks_scope",E1357&lt;&gt;"Scope",F1357=""),"",IFERROR(INDEX(SCOPES!$K$5:$K$2000,MATCH(F1357,SCOPES!$A$5:$A$2000,0)),"UNMATCHED"))</f>
        <v/>
      </c>
    </row>
    <row r="1358" ht="21.75" customHeight="1" s="130">
      <c r="J1358" s="107">
        <f>IF(OR(B1358&lt;&gt;"WorkPackage",D1358&lt;&gt;"tracks_scope",E1358&lt;&gt;"Scope",F1358=""),"",IFERROR(INDEX(SCOPES!$K$5:$K$2000,MATCH(F1358,SCOPES!$A$5:$A$2000,0)),"UNMATCHED"))</f>
        <v/>
      </c>
    </row>
    <row r="1359" ht="21.75" customHeight="1" s="130">
      <c r="J1359" s="107">
        <f>IF(OR(B1359&lt;&gt;"WorkPackage",D1359&lt;&gt;"tracks_scope",E1359&lt;&gt;"Scope",F1359=""),"",IFERROR(INDEX(SCOPES!$K$5:$K$2000,MATCH(F1359,SCOPES!$A$5:$A$2000,0)),"UNMATCHED"))</f>
        <v/>
      </c>
    </row>
    <row r="1360" ht="21.75" customHeight="1" s="130">
      <c r="J1360" s="107">
        <f>IF(OR(B1360&lt;&gt;"WorkPackage",D1360&lt;&gt;"tracks_scope",E1360&lt;&gt;"Scope",F1360=""),"",IFERROR(INDEX(SCOPES!$K$5:$K$2000,MATCH(F1360,SCOPES!$A$5:$A$2000,0)),"UNMATCHED"))</f>
        <v/>
      </c>
    </row>
    <row r="1361" ht="21.75" customHeight="1" s="130">
      <c r="J1361" s="107">
        <f>IF(OR(B1361&lt;&gt;"WorkPackage",D1361&lt;&gt;"tracks_scope",E1361&lt;&gt;"Scope",F1361=""),"",IFERROR(INDEX(SCOPES!$K$5:$K$2000,MATCH(F1361,SCOPES!$A$5:$A$2000,0)),"UNMATCHED"))</f>
        <v/>
      </c>
    </row>
    <row r="1362" ht="21.75" customHeight="1" s="130">
      <c r="J1362" s="107">
        <f>IF(OR(B1362&lt;&gt;"WorkPackage",D1362&lt;&gt;"tracks_scope",E1362&lt;&gt;"Scope",F1362=""),"",IFERROR(INDEX(SCOPES!$K$5:$K$2000,MATCH(F1362,SCOPES!$A$5:$A$2000,0)),"UNMATCHED"))</f>
        <v/>
      </c>
    </row>
    <row r="1363" ht="21.75" customHeight="1" s="130">
      <c r="J1363" s="107">
        <f>IF(OR(B1363&lt;&gt;"WorkPackage",D1363&lt;&gt;"tracks_scope",E1363&lt;&gt;"Scope",F1363=""),"",IFERROR(INDEX(SCOPES!$K$5:$K$2000,MATCH(F1363,SCOPES!$A$5:$A$2000,0)),"UNMATCHED"))</f>
        <v/>
      </c>
    </row>
    <row r="1364" ht="21.75" customHeight="1" s="130">
      <c r="J1364" s="107">
        <f>IF(OR(B1364&lt;&gt;"WorkPackage",D1364&lt;&gt;"tracks_scope",E1364&lt;&gt;"Scope",F1364=""),"",IFERROR(INDEX(SCOPES!$K$5:$K$2000,MATCH(F1364,SCOPES!$A$5:$A$2000,0)),"UNMATCHED"))</f>
        <v/>
      </c>
    </row>
    <row r="1365" ht="21.75" customHeight="1" s="130">
      <c r="J1365" s="107">
        <f>IF(OR(B1365&lt;&gt;"WorkPackage",D1365&lt;&gt;"tracks_scope",E1365&lt;&gt;"Scope",F1365=""),"",IFERROR(INDEX(SCOPES!$K$5:$K$2000,MATCH(F1365,SCOPES!$A$5:$A$2000,0)),"UNMATCHED"))</f>
        <v/>
      </c>
    </row>
    <row r="1366" ht="21.75" customHeight="1" s="130">
      <c r="J1366" s="107">
        <f>IF(OR(B1366&lt;&gt;"WorkPackage",D1366&lt;&gt;"tracks_scope",E1366&lt;&gt;"Scope",F1366=""),"",IFERROR(INDEX(SCOPES!$K$5:$K$2000,MATCH(F1366,SCOPES!$A$5:$A$2000,0)),"UNMATCHED"))</f>
        <v/>
      </c>
    </row>
    <row r="1367" ht="21.75" customHeight="1" s="130">
      <c r="J1367" s="107">
        <f>IF(OR(B1367&lt;&gt;"WorkPackage",D1367&lt;&gt;"tracks_scope",E1367&lt;&gt;"Scope",F1367=""),"",IFERROR(INDEX(SCOPES!$K$5:$K$2000,MATCH(F1367,SCOPES!$A$5:$A$2000,0)),"UNMATCHED"))</f>
        <v/>
      </c>
    </row>
    <row r="1368" ht="21.75" customHeight="1" s="130">
      <c r="J1368" s="107">
        <f>IF(OR(B1368&lt;&gt;"WorkPackage",D1368&lt;&gt;"tracks_scope",E1368&lt;&gt;"Scope",F1368=""),"",IFERROR(INDEX(SCOPES!$K$5:$K$2000,MATCH(F1368,SCOPES!$A$5:$A$2000,0)),"UNMATCHED"))</f>
        <v/>
      </c>
    </row>
    <row r="1369" ht="21.75" customHeight="1" s="130">
      <c r="J1369" s="107">
        <f>IF(OR(B1369&lt;&gt;"WorkPackage",D1369&lt;&gt;"tracks_scope",E1369&lt;&gt;"Scope",F1369=""),"",IFERROR(INDEX(SCOPES!$K$5:$K$2000,MATCH(F1369,SCOPES!$A$5:$A$2000,0)),"UNMATCHED"))</f>
        <v/>
      </c>
    </row>
    <row r="1370" ht="21.75" customHeight="1" s="130">
      <c r="J1370" s="107">
        <f>IF(OR(B1370&lt;&gt;"WorkPackage",D1370&lt;&gt;"tracks_scope",E1370&lt;&gt;"Scope",F1370=""),"",IFERROR(INDEX(SCOPES!$K$5:$K$2000,MATCH(F1370,SCOPES!$A$5:$A$2000,0)),"UNMATCHED"))</f>
        <v/>
      </c>
    </row>
    <row r="1371" ht="21.75" customHeight="1" s="130">
      <c r="J1371" s="107">
        <f>IF(OR(B1371&lt;&gt;"WorkPackage",D1371&lt;&gt;"tracks_scope",E1371&lt;&gt;"Scope",F1371=""),"",IFERROR(INDEX(SCOPES!$K$5:$K$2000,MATCH(F1371,SCOPES!$A$5:$A$2000,0)),"UNMATCHED"))</f>
        <v/>
      </c>
    </row>
    <row r="1372" ht="21.75" customHeight="1" s="130">
      <c r="J1372" s="107">
        <f>IF(OR(B1372&lt;&gt;"WorkPackage",D1372&lt;&gt;"tracks_scope",E1372&lt;&gt;"Scope",F1372=""),"",IFERROR(INDEX(SCOPES!$K$5:$K$2000,MATCH(F1372,SCOPES!$A$5:$A$2000,0)),"UNMATCHED"))</f>
        <v/>
      </c>
    </row>
    <row r="1373" ht="21.75" customHeight="1" s="130">
      <c r="J1373" s="107">
        <f>IF(OR(B1373&lt;&gt;"WorkPackage",D1373&lt;&gt;"tracks_scope",E1373&lt;&gt;"Scope",F1373=""),"",IFERROR(INDEX(SCOPES!$K$5:$K$2000,MATCH(F1373,SCOPES!$A$5:$A$2000,0)),"UNMATCHED"))</f>
        <v/>
      </c>
    </row>
    <row r="1374" ht="21.75" customHeight="1" s="130">
      <c r="J1374" s="107">
        <f>IF(OR(B1374&lt;&gt;"WorkPackage",D1374&lt;&gt;"tracks_scope",E1374&lt;&gt;"Scope",F1374=""),"",IFERROR(INDEX(SCOPES!$K$5:$K$2000,MATCH(F1374,SCOPES!$A$5:$A$2000,0)),"UNMATCHED"))</f>
        <v/>
      </c>
    </row>
    <row r="1375" ht="21.75" customHeight="1" s="130">
      <c r="J1375" s="107">
        <f>IF(OR(B1375&lt;&gt;"WorkPackage",D1375&lt;&gt;"tracks_scope",E1375&lt;&gt;"Scope",F1375=""),"",IFERROR(INDEX(SCOPES!$K$5:$K$2000,MATCH(F1375,SCOPES!$A$5:$A$2000,0)),"UNMATCHED"))</f>
        <v/>
      </c>
    </row>
    <row r="1376" ht="21.75" customHeight="1" s="130">
      <c r="J1376" s="107">
        <f>IF(OR(B1376&lt;&gt;"WorkPackage",D1376&lt;&gt;"tracks_scope",E1376&lt;&gt;"Scope",F1376=""),"",IFERROR(INDEX(SCOPES!$K$5:$K$2000,MATCH(F1376,SCOPES!$A$5:$A$2000,0)),"UNMATCHED"))</f>
        <v/>
      </c>
    </row>
    <row r="1377" ht="21.75" customHeight="1" s="130">
      <c r="J1377" s="107">
        <f>IF(OR(B1377&lt;&gt;"WorkPackage",D1377&lt;&gt;"tracks_scope",E1377&lt;&gt;"Scope",F1377=""),"",IFERROR(INDEX(SCOPES!$K$5:$K$2000,MATCH(F1377,SCOPES!$A$5:$A$2000,0)),"UNMATCHED"))</f>
        <v/>
      </c>
    </row>
    <row r="1378" ht="21.75" customHeight="1" s="130">
      <c r="J1378" s="107">
        <f>IF(OR(B1378&lt;&gt;"WorkPackage",D1378&lt;&gt;"tracks_scope",E1378&lt;&gt;"Scope",F1378=""),"",IFERROR(INDEX(SCOPES!$K$5:$K$2000,MATCH(F1378,SCOPES!$A$5:$A$2000,0)),"UNMATCHED"))</f>
        <v/>
      </c>
    </row>
    <row r="1379" ht="21.75" customHeight="1" s="130">
      <c r="J1379" s="107">
        <f>IF(OR(B1379&lt;&gt;"WorkPackage",D1379&lt;&gt;"tracks_scope",E1379&lt;&gt;"Scope",F1379=""),"",IFERROR(INDEX(SCOPES!$K$5:$K$2000,MATCH(F1379,SCOPES!$A$5:$A$2000,0)),"UNMATCHED"))</f>
        <v/>
      </c>
    </row>
    <row r="1380" ht="21.75" customHeight="1" s="130">
      <c r="J1380" s="107">
        <f>IF(OR(B1380&lt;&gt;"WorkPackage",D1380&lt;&gt;"tracks_scope",E1380&lt;&gt;"Scope",F1380=""),"",IFERROR(INDEX(SCOPES!$K$5:$K$2000,MATCH(F1380,SCOPES!$A$5:$A$2000,0)),"UNMATCHED"))</f>
        <v/>
      </c>
    </row>
    <row r="1381" ht="21.75" customHeight="1" s="130">
      <c r="J1381" s="107">
        <f>IF(OR(B1381&lt;&gt;"WorkPackage",D1381&lt;&gt;"tracks_scope",E1381&lt;&gt;"Scope",F1381=""),"",IFERROR(INDEX(SCOPES!$K$5:$K$2000,MATCH(F1381,SCOPES!$A$5:$A$2000,0)),"UNMATCHED"))</f>
        <v/>
      </c>
    </row>
    <row r="1382" ht="21.75" customHeight="1" s="130">
      <c r="J1382" s="107">
        <f>IF(OR(B1382&lt;&gt;"WorkPackage",D1382&lt;&gt;"tracks_scope",E1382&lt;&gt;"Scope",F1382=""),"",IFERROR(INDEX(SCOPES!$K$5:$K$2000,MATCH(F1382,SCOPES!$A$5:$A$2000,0)),"UNMATCHED"))</f>
        <v/>
      </c>
    </row>
    <row r="1383" ht="21.75" customHeight="1" s="130">
      <c r="J1383" s="107">
        <f>IF(OR(B1383&lt;&gt;"WorkPackage",D1383&lt;&gt;"tracks_scope",E1383&lt;&gt;"Scope",F1383=""),"",IFERROR(INDEX(SCOPES!$K$5:$K$2000,MATCH(F1383,SCOPES!$A$5:$A$2000,0)),"UNMATCHED"))</f>
        <v/>
      </c>
    </row>
    <row r="1384" ht="21.75" customHeight="1" s="130">
      <c r="J1384" s="107">
        <f>IF(OR(B1384&lt;&gt;"WorkPackage",D1384&lt;&gt;"tracks_scope",E1384&lt;&gt;"Scope",F1384=""),"",IFERROR(INDEX(SCOPES!$K$5:$K$2000,MATCH(F1384,SCOPES!$A$5:$A$2000,0)),"UNMATCHED"))</f>
        <v/>
      </c>
    </row>
    <row r="1385" ht="21.75" customHeight="1" s="130">
      <c r="J1385" s="107">
        <f>IF(OR(B1385&lt;&gt;"WorkPackage",D1385&lt;&gt;"tracks_scope",E1385&lt;&gt;"Scope",F1385=""),"",IFERROR(INDEX(SCOPES!$K$5:$K$2000,MATCH(F1385,SCOPES!$A$5:$A$2000,0)),"UNMATCHED"))</f>
        <v/>
      </c>
    </row>
    <row r="1386" ht="21.75" customHeight="1" s="130">
      <c r="J1386" s="107">
        <f>IF(OR(B1386&lt;&gt;"WorkPackage",D1386&lt;&gt;"tracks_scope",E1386&lt;&gt;"Scope",F1386=""),"",IFERROR(INDEX(SCOPES!$K$5:$K$2000,MATCH(F1386,SCOPES!$A$5:$A$2000,0)),"UNMATCHED"))</f>
        <v/>
      </c>
    </row>
    <row r="1387" ht="21.75" customHeight="1" s="130">
      <c r="J1387" s="107">
        <f>IF(OR(B1387&lt;&gt;"WorkPackage",D1387&lt;&gt;"tracks_scope",E1387&lt;&gt;"Scope",F1387=""),"",IFERROR(INDEX(SCOPES!$K$5:$K$2000,MATCH(F1387,SCOPES!$A$5:$A$2000,0)),"UNMATCHED"))</f>
        <v/>
      </c>
    </row>
    <row r="1388" ht="21.75" customHeight="1" s="130">
      <c r="J1388" s="107">
        <f>IF(OR(B1388&lt;&gt;"WorkPackage",D1388&lt;&gt;"tracks_scope",E1388&lt;&gt;"Scope",F1388=""),"",IFERROR(INDEX(SCOPES!$K$5:$K$2000,MATCH(F1388,SCOPES!$A$5:$A$2000,0)),"UNMATCHED"))</f>
        <v/>
      </c>
    </row>
    <row r="1389" ht="21.75" customHeight="1" s="130">
      <c r="J1389" s="107">
        <f>IF(OR(B1389&lt;&gt;"WorkPackage",D1389&lt;&gt;"tracks_scope",E1389&lt;&gt;"Scope",F1389=""),"",IFERROR(INDEX(SCOPES!$K$5:$K$2000,MATCH(F1389,SCOPES!$A$5:$A$2000,0)),"UNMATCHED"))</f>
        <v/>
      </c>
    </row>
    <row r="1390" ht="21.75" customHeight="1" s="130">
      <c r="J1390" s="107">
        <f>IF(OR(B1390&lt;&gt;"WorkPackage",D1390&lt;&gt;"tracks_scope",E1390&lt;&gt;"Scope",F1390=""),"",IFERROR(INDEX(SCOPES!$K$5:$K$2000,MATCH(F1390,SCOPES!$A$5:$A$2000,0)),"UNMATCHED"))</f>
        <v/>
      </c>
    </row>
    <row r="1391" ht="21.75" customHeight="1" s="130">
      <c r="J1391" s="107">
        <f>IF(OR(B1391&lt;&gt;"WorkPackage",D1391&lt;&gt;"tracks_scope",E1391&lt;&gt;"Scope",F1391=""),"",IFERROR(INDEX(SCOPES!$K$5:$K$2000,MATCH(F1391,SCOPES!$A$5:$A$2000,0)),"UNMATCHED"))</f>
        <v/>
      </c>
    </row>
    <row r="1392" ht="21.75" customHeight="1" s="130">
      <c r="J1392" s="107">
        <f>IF(OR(B1392&lt;&gt;"WorkPackage",D1392&lt;&gt;"tracks_scope",E1392&lt;&gt;"Scope",F1392=""),"",IFERROR(INDEX(SCOPES!$K$5:$K$2000,MATCH(F1392,SCOPES!$A$5:$A$2000,0)),"UNMATCHED"))</f>
        <v/>
      </c>
    </row>
    <row r="1393" ht="21.75" customHeight="1" s="130">
      <c r="J1393" s="107">
        <f>IF(OR(B1393&lt;&gt;"WorkPackage",D1393&lt;&gt;"tracks_scope",E1393&lt;&gt;"Scope",F1393=""),"",IFERROR(INDEX(SCOPES!$K$5:$K$2000,MATCH(F1393,SCOPES!$A$5:$A$2000,0)),"UNMATCHED"))</f>
        <v/>
      </c>
    </row>
    <row r="1394" ht="21.75" customHeight="1" s="130">
      <c r="J1394" s="107">
        <f>IF(OR(B1394&lt;&gt;"WorkPackage",D1394&lt;&gt;"tracks_scope",E1394&lt;&gt;"Scope",F1394=""),"",IFERROR(INDEX(SCOPES!$K$5:$K$2000,MATCH(F1394,SCOPES!$A$5:$A$2000,0)),"UNMATCHED"))</f>
        <v/>
      </c>
    </row>
    <row r="1395" ht="21.75" customHeight="1" s="130">
      <c r="J1395" s="107">
        <f>IF(OR(B1395&lt;&gt;"WorkPackage",D1395&lt;&gt;"tracks_scope",E1395&lt;&gt;"Scope",F1395=""),"",IFERROR(INDEX(SCOPES!$K$5:$K$2000,MATCH(F1395,SCOPES!$A$5:$A$2000,0)),"UNMATCHED"))</f>
        <v/>
      </c>
    </row>
    <row r="1396" ht="21.75" customHeight="1" s="130">
      <c r="J1396" s="107">
        <f>IF(OR(B1396&lt;&gt;"WorkPackage",D1396&lt;&gt;"tracks_scope",E1396&lt;&gt;"Scope",F1396=""),"",IFERROR(INDEX(SCOPES!$K$5:$K$2000,MATCH(F1396,SCOPES!$A$5:$A$2000,0)),"UNMATCHED"))</f>
        <v/>
      </c>
    </row>
    <row r="1397" ht="21.75" customHeight="1" s="130">
      <c r="J1397" s="107">
        <f>IF(OR(B1397&lt;&gt;"WorkPackage",D1397&lt;&gt;"tracks_scope",E1397&lt;&gt;"Scope",F1397=""),"",IFERROR(INDEX(SCOPES!$K$5:$K$2000,MATCH(F1397,SCOPES!$A$5:$A$2000,0)),"UNMATCHED"))</f>
        <v/>
      </c>
    </row>
    <row r="1398" ht="21.75" customHeight="1" s="130">
      <c r="J1398" s="107">
        <f>IF(OR(B1398&lt;&gt;"WorkPackage",D1398&lt;&gt;"tracks_scope",E1398&lt;&gt;"Scope",F1398=""),"",IFERROR(INDEX(SCOPES!$K$5:$K$2000,MATCH(F1398,SCOPES!$A$5:$A$2000,0)),"UNMATCHED"))</f>
        <v/>
      </c>
    </row>
    <row r="1399" ht="21.75" customHeight="1" s="130">
      <c r="J1399" s="107">
        <f>IF(OR(B1399&lt;&gt;"WorkPackage",D1399&lt;&gt;"tracks_scope",E1399&lt;&gt;"Scope",F1399=""),"",IFERROR(INDEX(SCOPES!$K$5:$K$2000,MATCH(F1399,SCOPES!$A$5:$A$2000,0)),"UNMATCHED"))</f>
        <v/>
      </c>
    </row>
    <row r="1400" ht="21.75" customHeight="1" s="130">
      <c r="J1400" s="107">
        <f>IF(OR(B1400&lt;&gt;"WorkPackage",D1400&lt;&gt;"tracks_scope",E1400&lt;&gt;"Scope",F1400=""),"",IFERROR(INDEX(SCOPES!$K$5:$K$2000,MATCH(F1400,SCOPES!$A$5:$A$2000,0)),"UNMATCHED"))</f>
        <v/>
      </c>
    </row>
    <row r="1401" ht="21.75" customHeight="1" s="130">
      <c r="J1401" s="107">
        <f>IF(OR(B1401&lt;&gt;"WorkPackage",D1401&lt;&gt;"tracks_scope",E1401&lt;&gt;"Scope",F1401=""),"",IFERROR(INDEX(SCOPES!$K$5:$K$2000,MATCH(F1401,SCOPES!$A$5:$A$2000,0)),"UNMATCHED"))</f>
        <v/>
      </c>
    </row>
    <row r="1402" ht="21.75" customHeight="1" s="130">
      <c r="J1402" s="107">
        <f>IF(OR(B1402&lt;&gt;"WorkPackage",D1402&lt;&gt;"tracks_scope",E1402&lt;&gt;"Scope",F1402=""),"",IFERROR(INDEX(SCOPES!$K$5:$K$2000,MATCH(F1402,SCOPES!$A$5:$A$2000,0)),"UNMATCHED"))</f>
        <v/>
      </c>
    </row>
    <row r="1403" ht="21.75" customHeight="1" s="130">
      <c r="J1403" s="107">
        <f>IF(OR(B1403&lt;&gt;"WorkPackage",D1403&lt;&gt;"tracks_scope",E1403&lt;&gt;"Scope",F1403=""),"",IFERROR(INDEX(SCOPES!$K$5:$K$2000,MATCH(F1403,SCOPES!$A$5:$A$2000,0)),"UNMATCHED"))</f>
        <v/>
      </c>
    </row>
    <row r="1404" ht="21.75" customHeight="1" s="130">
      <c r="J1404" s="107">
        <f>IF(OR(B1404&lt;&gt;"WorkPackage",D1404&lt;&gt;"tracks_scope",E1404&lt;&gt;"Scope",F1404=""),"",IFERROR(INDEX(SCOPES!$K$5:$K$2000,MATCH(F1404,SCOPES!$A$5:$A$2000,0)),"UNMATCHED"))</f>
        <v/>
      </c>
    </row>
    <row r="1405" ht="21.75" customHeight="1" s="130">
      <c r="J1405" s="107">
        <f>IF(OR(B1405&lt;&gt;"WorkPackage",D1405&lt;&gt;"tracks_scope",E1405&lt;&gt;"Scope",F1405=""),"",IFERROR(INDEX(SCOPES!$K$5:$K$2000,MATCH(F1405,SCOPES!$A$5:$A$2000,0)),"UNMATCHED"))</f>
        <v/>
      </c>
    </row>
    <row r="1406" ht="21.75" customHeight="1" s="130">
      <c r="J1406" s="107">
        <f>IF(OR(B1406&lt;&gt;"WorkPackage",D1406&lt;&gt;"tracks_scope",E1406&lt;&gt;"Scope",F1406=""),"",IFERROR(INDEX(SCOPES!$K$5:$K$2000,MATCH(F1406,SCOPES!$A$5:$A$2000,0)),"UNMATCHED"))</f>
        <v/>
      </c>
    </row>
    <row r="1407" ht="21.75" customHeight="1" s="130">
      <c r="J1407" s="107">
        <f>IF(OR(B1407&lt;&gt;"WorkPackage",D1407&lt;&gt;"tracks_scope",E1407&lt;&gt;"Scope",F1407=""),"",IFERROR(INDEX(SCOPES!$K$5:$K$2000,MATCH(F1407,SCOPES!$A$5:$A$2000,0)),"UNMATCHED"))</f>
        <v/>
      </c>
    </row>
    <row r="1408" ht="21.75" customHeight="1" s="130">
      <c r="J1408" s="107">
        <f>IF(OR(B1408&lt;&gt;"WorkPackage",D1408&lt;&gt;"tracks_scope",E1408&lt;&gt;"Scope",F1408=""),"",IFERROR(INDEX(SCOPES!$K$5:$K$2000,MATCH(F1408,SCOPES!$A$5:$A$2000,0)),"UNMATCHED"))</f>
        <v/>
      </c>
    </row>
    <row r="1409" ht="21.75" customHeight="1" s="130">
      <c r="J1409" s="107">
        <f>IF(OR(B1409&lt;&gt;"WorkPackage",D1409&lt;&gt;"tracks_scope",E1409&lt;&gt;"Scope",F1409=""),"",IFERROR(INDEX(SCOPES!$K$5:$K$2000,MATCH(F1409,SCOPES!$A$5:$A$2000,0)),"UNMATCHED"))</f>
        <v/>
      </c>
    </row>
    <row r="1410" ht="21.75" customHeight="1" s="130">
      <c r="J1410" s="107">
        <f>IF(OR(B1410&lt;&gt;"WorkPackage",D1410&lt;&gt;"tracks_scope",E1410&lt;&gt;"Scope",F1410=""),"",IFERROR(INDEX(SCOPES!$K$5:$K$2000,MATCH(F1410,SCOPES!$A$5:$A$2000,0)),"UNMATCHED"))</f>
        <v/>
      </c>
    </row>
    <row r="1411" ht="21.75" customHeight="1" s="130">
      <c r="J1411" s="107">
        <f>IF(OR(B1411&lt;&gt;"WorkPackage",D1411&lt;&gt;"tracks_scope",E1411&lt;&gt;"Scope",F1411=""),"",IFERROR(INDEX(SCOPES!$K$5:$K$2000,MATCH(F1411,SCOPES!$A$5:$A$2000,0)),"UNMATCHED"))</f>
        <v/>
      </c>
    </row>
    <row r="1412" ht="21.75" customHeight="1" s="130">
      <c r="J1412" s="107">
        <f>IF(OR(B1412&lt;&gt;"WorkPackage",D1412&lt;&gt;"tracks_scope",E1412&lt;&gt;"Scope",F1412=""),"",IFERROR(INDEX(SCOPES!$K$5:$K$2000,MATCH(F1412,SCOPES!$A$5:$A$2000,0)),"UNMATCHED"))</f>
        <v/>
      </c>
    </row>
    <row r="1413" ht="21.75" customHeight="1" s="130">
      <c r="J1413" s="107">
        <f>IF(OR(B1413&lt;&gt;"WorkPackage",D1413&lt;&gt;"tracks_scope",E1413&lt;&gt;"Scope",F1413=""),"",IFERROR(INDEX(SCOPES!$K$5:$K$2000,MATCH(F1413,SCOPES!$A$5:$A$2000,0)),"UNMATCHED"))</f>
        <v/>
      </c>
    </row>
    <row r="1414" ht="21.75" customHeight="1" s="130">
      <c r="J1414" s="107">
        <f>IF(OR(B1414&lt;&gt;"WorkPackage",D1414&lt;&gt;"tracks_scope",E1414&lt;&gt;"Scope",F1414=""),"",IFERROR(INDEX(SCOPES!$K$5:$K$2000,MATCH(F1414,SCOPES!$A$5:$A$2000,0)),"UNMATCHED"))</f>
        <v/>
      </c>
    </row>
    <row r="1415" ht="21.75" customHeight="1" s="130">
      <c r="J1415" s="107">
        <f>IF(OR(B1415&lt;&gt;"WorkPackage",D1415&lt;&gt;"tracks_scope",E1415&lt;&gt;"Scope",F1415=""),"",IFERROR(INDEX(SCOPES!$K$5:$K$2000,MATCH(F1415,SCOPES!$A$5:$A$2000,0)),"UNMATCHED"))</f>
        <v/>
      </c>
    </row>
    <row r="1416" ht="21.75" customHeight="1" s="130">
      <c r="J1416" s="107">
        <f>IF(OR(B1416&lt;&gt;"WorkPackage",D1416&lt;&gt;"tracks_scope",E1416&lt;&gt;"Scope",F1416=""),"",IFERROR(INDEX(SCOPES!$K$5:$K$2000,MATCH(F1416,SCOPES!$A$5:$A$2000,0)),"UNMATCHED"))</f>
        <v/>
      </c>
    </row>
    <row r="1417" ht="21.75" customHeight="1" s="130">
      <c r="J1417" s="107">
        <f>IF(OR(B1417&lt;&gt;"WorkPackage",D1417&lt;&gt;"tracks_scope",E1417&lt;&gt;"Scope",F1417=""),"",IFERROR(INDEX(SCOPES!$K$5:$K$2000,MATCH(F1417,SCOPES!$A$5:$A$2000,0)),"UNMATCHED"))</f>
        <v/>
      </c>
    </row>
    <row r="1418" ht="21.75" customHeight="1" s="130">
      <c r="J1418" s="107">
        <f>IF(OR(B1418&lt;&gt;"WorkPackage",D1418&lt;&gt;"tracks_scope",E1418&lt;&gt;"Scope",F1418=""),"",IFERROR(INDEX(SCOPES!$K$5:$K$2000,MATCH(F1418,SCOPES!$A$5:$A$2000,0)),"UNMATCHED"))</f>
        <v/>
      </c>
    </row>
    <row r="1419" ht="21.75" customHeight="1" s="130">
      <c r="J1419" s="107">
        <f>IF(OR(B1419&lt;&gt;"WorkPackage",D1419&lt;&gt;"tracks_scope",E1419&lt;&gt;"Scope",F1419=""),"",IFERROR(INDEX(SCOPES!$K$5:$K$2000,MATCH(F1419,SCOPES!$A$5:$A$2000,0)),"UNMATCHED"))</f>
        <v/>
      </c>
    </row>
    <row r="1420" ht="21.75" customHeight="1" s="130">
      <c r="J1420" s="107">
        <f>IF(OR(B1420&lt;&gt;"WorkPackage",D1420&lt;&gt;"tracks_scope",E1420&lt;&gt;"Scope",F1420=""),"",IFERROR(INDEX(SCOPES!$K$5:$K$2000,MATCH(F1420,SCOPES!$A$5:$A$2000,0)),"UNMATCHED"))</f>
        <v/>
      </c>
    </row>
    <row r="1421" ht="21.75" customHeight="1" s="130">
      <c r="J1421" s="107">
        <f>IF(OR(B1421&lt;&gt;"WorkPackage",D1421&lt;&gt;"tracks_scope",E1421&lt;&gt;"Scope",F1421=""),"",IFERROR(INDEX(SCOPES!$K$5:$K$2000,MATCH(F1421,SCOPES!$A$5:$A$2000,0)),"UNMATCHED"))</f>
        <v/>
      </c>
    </row>
    <row r="1422" ht="21.75" customHeight="1" s="130">
      <c r="J1422" s="107">
        <f>IF(OR(B1422&lt;&gt;"WorkPackage",D1422&lt;&gt;"tracks_scope",E1422&lt;&gt;"Scope",F1422=""),"",IFERROR(INDEX(SCOPES!$K$5:$K$2000,MATCH(F1422,SCOPES!$A$5:$A$2000,0)),"UNMATCHED"))</f>
        <v/>
      </c>
    </row>
    <row r="1423" ht="21.75" customHeight="1" s="130">
      <c r="J1423" s="107">
        <f>IF(OR(B1423&lt;&gt;"WorkPackage",D1423&lt;&gt;"tracks_scope",E1423&lt;&gt;"Scope",F1423=""),"",IFERROR(INDEX(SCOPES!$K$5:$K$2000,MATCH(F1423,SCOPES!$A$5:$A$2000,0)),"UNMATCHED"))</f>
        <v/>
      </c>
    </row>
    <row r="1424" ht="21.75" customHeight="1" s="130">
      <c r="J1424" s="107">
        <f>IF(OR(B1424&lt;&gt;"WorkPackage",D1424&lt;&gt;"tracks_scope",E1424&lt;&gt;"Scope",F1424=""),"",IFERROR(INDEX(SCOPES!$K$5:$K$2000,MATCH(F1424,SCOPES!$A$5:$A$2000,0)),"UNMATCHED"))</f>
        <v/>
      </c>
    </row>
    <row r="1425" ht="21.75" customHeight="1" s="130">
      <c r="J1425" s="107">
        <f>IF(OR(B1425&lt;&gt;"WorkPackage",D1425&lt;&gt;"tracks_scope",E1425&lt;&gt;"Scope",F1425=""),"",IFERROR(INDEX(SCOPES!$K$5:$K$2000,MATCH(F1425,SCOPES!$A$5:$A$2000,0)),"UNMATCHED"))</f>
        <v/>
      </c>
    </row>
    <row r="1426" ht="21.75" customHeight="1" s="130">
      <c r="J1426" s="107">
        <f>IF(OR(B1426&lt;&gt;"WorkPackage",D1426&lt;&gt;"tracks_scope",E1426&lt;&gt;"Scope",F1426=""),"",IFERROR(INDEX(SCOPES!$K$5:$K$2000,MATCH(F1426,SCOPES!$A$5:$A$2000,0)),"UNMATCHED"))</f>
        <v/>
      </c>
    </row>
    <row r="1427" ht="21.75" customHeight="1" s="130">
      <c r="J1427" s="107">
        <f>IF(OR(B1427&lt;&gt;"WorkPackage",D1427&lt;&gt;"tracks_scope",E1427&lt;&gt;"Scope",F1427=""),"",IFERROR(INDEX(SCOPES!$K$5:$K$2000,MATCH(F1427,SCOPES!$A$5:$A$2000,0)),"UNMATCHED"))</f>
        <v/>
      </c>
    </row>
    <row r="1428" ht="21.75" customHeight="1" s="130">
      <c r="J1428" s="107">
        <f>IF(OR(B1428&lt;&gt;"WorkPackage",D1428&lt;&gt;"tracks_scope",E1428&lt;&gt;"Scope",F1428=""),"",IFERROR(INDEX(SCOPES!$K$5:$K$2000,MATCH(F1428,SCOPES!$A$5:$A$2000,0)),"UNMATCHED"))</f>
        <v/>
      </c>
    </row>
    <row r="1429" ht="21.75" customHeight="1" s="130">
      <c r="J1429" s="107">
        <f>IF(OR(B1429&lt;&gt;"WorkPackage",D1429&lt;&gt;"tracks_scope",E1429&lt;&gt;"Scope",F1429=""),"",IFERROR(INDEX(SCOPES!$K$5:$K$2000,MATCH(F1429,SCOPES!$A$5:$A$2000,0)),"UNMATCHED"))</f>
        <v/>
      </c>
    </row>
    <row r="1430" ht="21.75" customHeight="1" s="130">
      <c r="J1430" s="107">
        <f>IF(OR(B1430&lt;&gt;"WorkPackage",D1430&lt;&gt;"tracks_scope",E1430&lt;&gt;"Scope",F1430=""),"",IFERROR(INDEX(SCOPES!$K$5:$K$2000,MATCH(F1430,SCOPES!$A$5:$A$2000,0)),"UNMATCHED"))</f>
        <v/>
      </c>
    </row>
    <row r="1431" ht="21.75" customHeight="1" s="130">
      <c r="J1431" s="107">
        <f>IF(OR(B1431&lt;&gt;"WorkPackage",D1431&lt;&gt;"tracks_scope",E1431&lt;&gt;"Scope",F1431=""),"",IFERROR(INDEX(SCOPES!$K$5:$K$2000,MATCH(F1431,SCOPES!$A$5:$A$2000,0)),"UNMATCHED"))</f>
        <v/>
      </c>
    </row>
    <row r="1432" ht="21.75" customHeight="1" s="130">
      <c r="J1432" s="107">
        <f>IF(OR(B1432&lt;&gt;"WorkPackage",D1432&lt;&gt;"tracks_scope",E1432&lt;&gt;"Scope",F1432=""),"",IFERROR(INDEX(SCOPES!$K$5:$K$2000,MATCH(F1432,SCOPES!$A$5:$A$2000,0)),"UNMATCHED"))</f>
        <v/>
      </c>
    </row>
    <row r="1433" ht="21.75" customHeight="1" s="130">
      <c r="J1433" s="107">
        <f>IF(OR(B1433&lt;&gt;"WorkPackage",D1433&lt;&gt;"tracks_scope",E1433&lt;&gt;"Scope",F1433=""),"",IFERROR(INDEX(SCOPES!$K$5:$K$2000,MATCH(F1433,SCOPES!$A$5:$A$2000,0)),"UNMATCHED"))</f>
        <v/>
      </c>
    </row>
    <row r="1434" ht="21.75" customHeight="1" s="130">
      <c r="J1434" s="107">
        <f>IF(OR(B1434&lt;&gt;"WorkPackage",D1434&lt;&gt;"tracks_scope",E1434&lt;&gt;"Scope",F1434=""),"",IFERROR(INDEX(SCOPES!$K$5:$K$2000,MATCH(F1434,SCOPES!$A$5:$A$2000,0)),"UNMATCHED"))</f>
        <v/>
      </c>
    </row>
    <row r="1435" ht="21.75" customHeight="1" s="130">
      <c r="J1435" s="107">
        <f>IF(OR(B1435&lt;&gt;"WorkPackage",D1435&lt;&gt;"tracks_scope",E1435&lt;&gt;"Scope",F1435=""),"",IFERROR(INDEX(SCOPES!$K$5:$K$2000,MATCH(F1435,SCOPES!$A$5:$A$2000,0)),"UNMATCHED"))</f>
        <v/>
      </c>
    </row>
    <row r="1436" ht="21.75" customHeight="1" s="130">
      <c r="J1436" s="107">
        <f>IF(OR(B1436&lt;&gt;"WorkPackage",D1436&lt;&gt;"tracks_scope",E1436&lt;&gt;"Scope",F1436=""),"",IFERROR(INDEX(SCOPES!$K$5:$K$2000,MATCH(F1436,SCOPES!$A$5:$A$2000,0)),"UNMATCHED"))</f>
        <v/>
      </c>
    </row>
    <row r="1437" ht="21.75" customHeight="1" s="130">
      <c r="J1437" s="107">
        <f>IF(OR(B1437&lt;&gt;"WorkPackage",D1437&lt;&gt;"tracks_scope",E1437&lt;&gt;"Scope",F1437=""),"",IFERROR(INDEX(SCOPES!$K$5:$K$2000,MATCH(F1437,SCOPES!$A$5:$A$2000,0)),"UNMATCHED"))</f>
        <v/>
      </c>
    </row>
    <row r="1438" ht="21.75" customHeight="1" s="130">
      <c r="J1438" s="107">
        <f>IF(OR(B1438&lt;&gt;"WorkPackage",D1438&lt;&gt;"tracks_scope",E1438&lt;&gt;"Scope",F1438=""),"",IFERROR(INDEX(SCOPES!$K$5:$K$2000,MATCH(F1438,SCOPES!$A$5:$A$2000,0)),"UNMATCHED"))</f>
        <v/>
      </c>
    </row>
    <row r="1439" ht="21.75" customHeight="1" s="130">
      <c r="J1439" s="107">
        <f>IF(OR(B1439&lt;&gt;"WorkPackage",D1439&lt;&gt;"tracks_scope",E1439&lt;&gt;"Scope",F1439=""),"",IFERROR(INDEX(SCOPES!$K$5:$K$2000,MATCH(F1439,SCOPES!$A$5:$A$2000,0)),"UNMATCHED"))</f>
        <v/>
      </c>
    </row>
    <row r="1440" ht="21.75" customHeight="1" s="130">
      <c r="J1440" s="107">
        <f>IF(OR(B1440&lt;&gt;"WorkPackage",D1440&lt;&gt;"tracks_scope",E1440&lt;&gt;"Scope",F1440=""),"",IFERROR(INDEX(SCOPES!$K$5:$K$2000,MATCH(F1440,SCOPES!$A$5:$A$2000,0)),"UNMATCHED"))</f>
        <v/>
      </c>
    </row>
    <row r="1441" ht="21.75" customHeight="1" s="130">
      <c r="J1441" s="107">
        <f>IF(OR(B1441&lt;&gt;"WorkPackage",D1441&lt;&gt;"tracks_scope",E1441&lt;&gt;"Scope",F1441=""),"",IFERROR(INDEX(SCOPES!$K$5:$K$2000,MATCH(F1441,SCOPES!$A$5:$A$2000,0)),"UNMATCHED"))</f>
        <v/>
      </c>
    </row>
    <row r="1442" ht="21.75" customHeight="1" s="130">
      <c r="J1442" s="107">
        <f>IF(OR(B1442&lt;&gt;"WorkPackage",D1442&lt;&gt;"tracks_scope",E1442&lt;&gt;"Scope",F1442=""),"",IFERROR(INDEX(SCOPES!$K$5:$K$2000,MATCH(F1442,SCOPES!$A$5:$A$2000,0)),"UNMATCHED"))</f>
        <v/>
      </c>
    </row>
    <row r="1443" ht="21.75" customHeight="1" s="130">
      <c r="J1443" s="107">
        <f>IF(OR(B1443&lt;&gt;"WorkPackage",D1443&lt;&gt;"tracks_scope",E1443&lt;&gt;"Scope",F1443=""),"",IFERROR(INDEX(SCOPES!$K$5:$K$2000,MATCH(F1443,SCOPES!$A$5:$A$2000,0)),"UNMATCHED"))</f>
        <v/>
      </c>
    </row>
    <row r="1444" ht="21.75" customHeight="1" s="130">
      <c r="J1444" s="107">
        <f>IF(OR(B1444&lt;&gt;"WorkPackage",D1444&lt;&gt;"tracks_scope",E1444&lt;&gt;"Scope",F1444=""),"",IFERROR(INDEX(SCOPES!$K$5:$K$2000,MATCH(F1444,SCOPES!$A$5:$A$2000,0)),"UNMATCHED"))</f>
        <v/>
      </c>
    </row>
    <row r="1445" ht="21.75" customHeight="1" s="130">
      <c r="J1445" s="107">
        <f>IF(OR(B1445&lt;&gt;"WorkPackage",D1445&lt;&gt;"tracks_scope",E1445&lt;&gt;"Scope",F1445=""),"",IFERROR(INDEX(SCOPES!$K$5:$K$2000,MATCH(F1445,SCOPES!$A$5:$A$2000,0)),"UNMATCHED"))</f>
        <v/>
      </c>
    </row>
    <row r="1446" ht="21.75" customHeight="1" s="130">
      <c r="J1446" s="107">
        <f>IF(OR(B1446&lt;&gt;"WorkPackage",D1446&lt;&gt;"tracks_scope",E1446&lt;&gt;"Scope",F1446=""),"",IFERROR(INDEX(SCOPES!$K$5:$K$2000,MATCH(F1446,SCOPES!$A$5:$A$2000,0)),"UNMATCHED"))</f>
        <v/>
      </c>
    </row>
    <row r="1447" ht="21.75" customHeight="1" s="130">
      <c r="J1447" s="107">
        <f>IF(OR(B1447&lt;&gt;"WorkPackage",D1447&lt;&gt;"tracks_scope",E1447&lt;&gt;"Scope",F1447=""),"",IFERROR(INDEX(SCOPES!$K$5:$K$2000,MATCH(F1447,SCOPES!$A$5:$A$2000,0)),"UNMATCHED"))</f>
        <v/>
      </c>
    </row>
    <row r="1448" ht="21.75" customHeight="1" s="130">
      <c r="J1448" s="107">
        <f>IF(OR(B1448&lt;&gt;"WorkPackage",D1448&lt;&gt;"tracks_scope",E1448&lt;&gt;"Scope",F1448=""),"",IFERROR(INDEX(SCOPES!$K$5:$K$2000,MATCH(F1448,SCOPES!$A$5:$A$2000,0)),"UNMATCHED"))</f>
        <v/>
      </c>
    </row>
    <row r="1449" ht="21.75" customHeight="1" s="130">
      <c r="J1449" s="107">
        <f>IF(OR(B1449&lt;&gt;"WorkPackage",D1449&lt;&gt;"tracks_scope",E1449&lt;&gt;"Scope",F1449=""),"",IFERROR(INDEX(SCOPES!$K$5:$K$2000,MATCH(F1449,SCOPES!$A$5:$A$2000,0)),"UNMATCHED"))</f>
        <v/>
      </c>
    </row>
    <row r="1450" ht="21.75" customHeight="1" s="130">
      <c r="J1450" s="107">
        <f>IF(OR(B1450&lt;&gt;"WorkPackage",D1450&lt;&gt;"tracks_scope",E1450&lt;&gt;"Scope",F1450=""),"",IFERROR(INDEX(SCOPES!$K$5:$K$2000,MATCH(F1450,SCOPES!$A$5:$A$2000,0)),"UNMATCHED"))</f>
        <v/>
      </c>
    </row>
    <row r="1451" ht="21.75" customHeight="1" s="130">
      <c r="J1451" s="107">
        <f>IF(OR(B1451&lt;&gt;"WorkPackage",D1451&lt;&gt;"tracks_scope",E1451&lt;&gt;"Scope",F1451=""),"",IFERROR(INDEX(SCOPES!$K$5:$K$2000,MATCH(F1451,SCOPES!$A$5:$A$2000,0)),"UNMATCHED"))</f>
        <v/>
      </c>
    </row>
    <row r="1452" ht="21.75" customHeight="1" s="130">
      <c r="J1452" s="107">
        <f>IF(OR(B1452&lt;&gt;"WorkPackage",D1452&lt;&gt;"tracks_scope",E1452&lt;&gt;"Scope",F1452=""),"",IFERROR(INDEX(SCOPES!$K$5:$K$2000,MATCH(F1452,SCOPES!$A$5:$A$2000,0)),"UNMATCHED"))</f>
        <v/>
      </c>
    </row>
    <row r="1453" ht="21.75" customHeight="1" s="130">
      <c r="J1453" s="107">
        <f>IF(OR(B1453&lt;&gt;"WorkPackage",D1453&lt;&gt;"tracks_scope",E1453&lt;&gt;"Scope",F1453=""),"",IFERROR(INDEX(SCOPES!$K$5:$K$2000,MATCH(F1453,SCOPES!$A$5:$A$2000,0)),"UNMATCHED"))</f>
        <v/>
      </c>
    </row>
    <row r="1454" ht="21.75" customHeight="1" s="130">
      <c r="J1454" s="107">
        <f>IF(OR(B1454&lt;&gt;"WorkPackage",D1454&lt;&gt;"tracks_scope",E1454&lt;&gt;"Scope",F1454=""),"",IFERROR(INDEX(SCOPES!$K$5:$K$2000,MATCH(F1454,SCOPES!$A$5:$A$2000,0)),"UNMATCHED"))</f>
        <v/>
      </c>
    </row>
    <row r="1455" ht="21.75" customHeight="1" s="130">
      <c r="J1455" s="107">
        <f>IF(OR(B1455&lt;&gt;"WorkPackage",D1455&lt;&gt;"tracks_scope",E1455&lt;&gt;"Scope",F1455=""),"",IFERROR(INDEX(SCOPES!$K$5:$K$2000,MATCH(F1455,SCOPES!$A$5:$A$2000,0)),"UNMATCHED"))</f>
        <v/>
      </c>
    </row>
    <row r="1456" ht="21.75" customHeight="1" s="130">
      <c r="J1456" s="107">
        <f>IF(OR(B1456&lt;&gt;"WorkPackage",D1456&lt;&gt;"tracks_scope",E1456&lt;&gt;"Scope",F1456=""),"",IFERROR(INDEX(SCOPES!$K$5:$K$2000,MATCH(F1456,SCOPES!$A$5:$A$2000,0)),"UNMATCHED"))</f>
        <v/>
      </c>
    </row>
    <row r="1457" ht="21.75" customHeight="1" s="130">
      <c r="J1457" s="107">
        <f>IF(OR(B1457&lt;&gt;"WorkPackage",D1457&lt;&gt;"tracks_scope",E1457&lt;&gt;"Scope",F1457=""),"",IFERROR(INDEX(SCOPES!$K$5:$K$2000,MATCH(F1457,SCOPES!$A$5:$A$2000,0)),"UNMATCHED"))</f>
        <v/>
      </c>
    </row>
    <row r="1458" ht="21.75" customHeight="1" s="130">
      <c r="J1458" s="107">
        <f>IF(OR(B1458&lt;&gt;"WorkPackage",D1458&lt;&gt;"tracks_scope",E1458&lt;&gt;"Scope",F1458=""),"",IFERROR(INDEX(SCOPES!$K$5:$K$2000,MATCH(F1458,SCOPES!$A$5:$A$2000,0)),"UNMATCHED"))</f>
        <v/>
      </c>
    </row>
    <row r="1459" ht="21.75" customHeight="1" s="130">
      <c r="J1459" s="107">
        <f>IF(OR(B1459&lt;&gt;"WorkPackage",D1459&lt;&gt;"tracks_scope",E1459&lt;&gt;"Scope",F1459=""),"",IFERROR(INDEX(SCOPES!$K$5:$K$2000,MATCH(F1459,SCOPES!$A$5:$A$2000,0)),"UNMATCHED"))</f>
        <v/>
      </c>
    </row>
    <row r="1460" ht="21.75" customHeight="1" s="130">
      <c r="J1460" s="107">
        <f>IF(OR(B1460&lt;&gt;"WorkPackage",D1460&lt;&gt;"tracks_scope",E1460&lt;&gt;"Scope",F1460=""),"",IFERROR(INDEX(SCOPES!$K$5:$K$2000,MATCH(F1460,SCOPES!$A$5:$A$2000,0)),"UNMATCHED"))</f>
        <v/>
      </c>
    </row>
    <row r="1461" ht="21.75" customHeight="1" s="130">
      <c r="J1461" s="107">
        <f>IF(OR(B1461&lt;&gt;"WorkPackage",D1461&lt;&gt;"tracks_scope",E1461&lt;&gt;"Scope",F1461=""),"",IFERROR(INDEX(SCOPES!$K$5:$K$2000,MATCH(F1461,SCOPES!$A$5:$A$2000,0)),"UNMATCHED"))</f>
        <v/>
      </c>
    </row>
    <row r="1462" ht="21.75" customHeight="1" s="130">
      <c r="J1462" s="107">
        <f>IF(OR(B1462&lt;&gt;"WorkPackage",D1462&lt;&gt;"tracks_scope",E1462&lt;&gt;"Scope",F1462=""),"",IFERROR(INDEX(SCOPES!$K$5:$K$2000,MATCH(F1462,SCOPES!$A$5:$A$2000,0)),"UNMATCHED"))</f>
        <v/>
      </c>
    </row>
    <row r="1463" ht="21.75" customHeight="1" s="130">
      <c r="J1463" s="107">
        <f>IF(OR(B1463&lt;&gt;"WorkPackage",D1463&lt;&gt;"tracks_scope",E1463&lt;&gt;"Scope",F1463=""),"",IFERROR(INDEX(SCOPES!$K$5:$K$2000,MATCH(F1463,SCOPES!$A$5:$A$2000,0)),"UNMATCHED"))</f>
        <v/>
      </c>
    </row>
    <row r="1464" ht="21.75" customHeight="1" s="130">
      <c r="J1464" s="107">
        <f>IF(OR(B1464&lt;&gt;"WorkPackage",D1464&lt;&gt;"tracks_scope",E1464&lt;&gt;"Scope",F1464=""),"",IFERROR(INDEX(SCOPES!$K$5:$K$2000,MATCH(F1464,SCOPES!$A$5:$A$2000,0)),"UNMATCHED"))</f>
        <v/>
      </c>
    </row>
    <row r="1465" ht="21.75" customHeight="1" s="130">
      <c r="J1465" s="107">
        <f>IF(OR(B1465&lt;&gt;"WorkPackage",D1465&lt;&gt;"tracks_scope",E1465&lt;&gt;"Scope",F1465=""),"",IFERROR(INDEX(SCOPES!$K$5:$K$2000,MATCH(F1465,SCOPES!$A$5:$A$2000,0)),"UNMATCHED"))</f>
        <v/>
      </c>
    </row>
    <row r="1466" ht="21.75" customHeight="1" s="130">
      <c r="J1466" s="107">
        <f>IF(OR(B1466&lt;&gt;"WorkPackage",D1466&lt;&gt;"tracks_scope",E1466&lt;&gt;"Scope",F1466=""),"",IFERROR(INDEX(SCOPES!$K$5:$K$2000,MATCH(F1466,SCOPES!$A$5:$A$2000,0)),"UNMATCHED"))</f>
        <v/>
      </c>
    </row>
    <row r="1467" ht="21.75" customHeight="1" s="130">
      <c r="J1467" s="107">
        <f>IF(OR(B1467&lt;&gt;"WorkPackage",D1467&lt;&gt;"tracks_scope",E1467&lt;&gt;"Scope",F1467=""),"",IFERROR(INDEX(SCOPES!$K$5:$K$2000,MATCH(F1467,SCOPES!$A$5:$A$2000,0)),"UNMATCHED"))</f>
        <v/>
      </c>
    </row>
    <row r="1468" ht="21.75" customHeight="1" s="130">
      <c r="J1468" s="107">
        <f>IF(OR(B1468&lt;&gt;"WorkPackage",D1468&lt;&gt;"tracks_scope",E1468&lt;&gt;"Scope",F1468=""),"",IFERROR(INDEX(SCOPES!$K$5:$K$2000,MATCH(F1468,SCOPES!$A$5:$A$2000,0)),"UNMATCHED"))</f>
        <v/>
      </c>
    </row>
    <row r="1469" ht="21.75" customHeight="1" s="130">
      <c r="J1469" s="107">
        <f>IF(OR(B1469&lt;&gt;"WorkPackage",D1469&lt;&gt;"tracks_scope",E1469&lt;&gt;"Scope",F1469=""),"",IFERROR(INDEX(SCOPES!$K$5:$K$2000,MATCH(F1469,SCOPES!$A$5:$A$2000,0)),"UNMATCHED"))</f>
        <v/>
      </c>
    </row>
    <row r="1470" ht="21.75" customHeight="1" s="130">
      <c r="J1470" s="107">
        <f>IF(OR(B1470&lt;&gt;"WorkPackage",D1470&lt;&gt;"tracks_scope",E1470&lt;&gt;"Scope",F1470=""),"",IFERROR(INDEX(SCOPES!$K$5:$K$2000,MATCH(F1470,SCOPES!$A$5:$A$2000,0)),"UNMATCHED"))</f>
        <v/>
      </c>
    </row>
    <row r="1471" ht="21.75" customHeight="1" s="130">
      <c r="J1471" s="107">
        <f>IF(OR(B1471&lt;&gt;"WorkPackage",D1471&lt;&gt;"tracks_scope",E1471&lt;&gt;"Scope",F1471=""),"",IFERROR(INDEX(SCOPES!$K$5:$K$2000,MATCH(F1471,SCOPES!$A$5:$A$2000,0)),"UNMATCHED"))</f>
        <v/>
      </c>
    </row>
    <row r="1472" ht="21.75" customHeight="1" s="130">
      <c r="J1472" s="107">
        <f>IF(OR(B1472&lt;&gt;"WorkPackage",D1472&lt;&gt;"tracks_scope",E1472&lt;&gt;"Scope",F1472=""),"",IFERROR(INDEX(SCOPES!$K$5:$K$2000,MATCH(F1472,SCOPES!$A$5:$A$2000,0)),"UNMATCHED"))</f>
        <v/>
      </c>
    </row>
    <row r="1473" ht="21.75" customHeight="1" s="130">
      <c r="J1473" s="107">
        <f>IF(OR(B1473&lt;&gt;"WorkPackage",D1473&lt;&gt;"tracks_scope",E1473&lt;&gt;"Scope",F1473=""),"",IFERROR(INDEX(SCOPES!$K$5:$K$2000,MATCH(F1473,SCOPES!$A$5:$A$2000,0)),"UNMATCHED"))</f>
        <v/>
      </c>
    </row>
    <row r="1474" ht="21.75" customHeight="1" s="130">
      <c r="J1474" s="107">
        <f>IF(OR(B1474&lt;&gt;"WorkPackage",D1474&lt;&gt;"tracks_scope",E1474&lt;&gt;"Scope",F1474=""),"",IFERROR(INDEX(SCOPES!$K$5:$K$2000,MATCH(F1474,SCOPES!$A$5:$A$2000,0)),"UNMATCHED"))</f>
        <v/>
      </c>
    </row>
    <row r="1475" ht="21.75" customHeight="1" s="130">
      <c r="J1475" s="107">
        <f>IF(OR(B1475&lt;&gt;"WorkPackage",D1475&lt;&gt;"tracks_scope",E1475&lt;&gt;"Scope",F1475=""),"",IFERROR(INDEX(SCOPES!$K$5:$K$2000,MATCH(F1475,SCOPES!$A$5:$A$2000,0)),"UNMATCHED"))</f>
        <v/>
      </c>
    </row>
    <row r="1476" ht="21.75" customHeight="1" s="130">
      <c r="J1476" s="107">
        <f>IF(OR(B1476&lt;&gt;"WorkPackage",D1476&lt;&gt;"tracks_scope",E1476&lt;&gt;"Scope",F1476=""),"",IFERROR(INDEX(SCOPES!$K$5:$K$2000,MATCH(F1476,SCOPES!$A$5:$A$2000,0)),"UNMATCHED"))</f>
        <v/>
      </c>
    </row>
    <row r="1477" ht="21.75" customHeight="1" s="130">
      <c r="J1477" s="107">
        <f>IF(OR(B1477&lt;&gt;"WorkPackage",D1477&lt;&gt;"tracks_scope",E1477&lt;&gt;"Scope",F1477=""),"",IFERROR(INDEX(SCOPES!$K$5:$K$2000,MATCH(F1477,SCOPES!$A$5:$A$2000,0)),"UNMATCHED"))</f>
        <v/>
      </c>
    </row>
    <row r="1478" ht="21.75" customHeight="1" s="130">
      <c r="J1478" s="107">
        <f>IF(OR(B1478&lt;&gt;"WorkPackage",D1478&lt;&gt;"tracks_scope",E1478&lt;&gt;"Scope",F1478=""),"",IFERROR(INDEX(SCOPES!$K$5:$K$2000,MATCH(F1478,SCOPES!$A$5:$A$2000,0)),"UNMATCHED"))</f>
        <v/>
      </c>
    </row>
    <row r="1479" ht="21.75" customHeight="1" s="130">
      <c r="J1479" s="107">
        <f>IF(OR(B1479&lt;&gt;"WorkPackage",D1479&lt;&gt;"tracks_scope",E1479&lt;&gt;"Scope",F1479=""),"",IFERROR(INDEX(SCOPES!$K$5:$K$2000,MATCH(F1479,SCOPES!$A$5:$A$2000,0)),"UNMATCHED"))</f>
        <v/>
      </c>
    </row>
    <row r="1480" ht="21.75" customHeight="1" s="130">
      <c r="J1480" s="107">
        <f>IF(OR(B1480&lt;&gt;"WorkPackage",D1480&lt;&gt;"tracks_scope",E1480&lt;&gt;"Scope",F1480=""),"",IFERROR(INDEX(SCOPES!$K$5:$K$2000,MATCH(F1480,SCOPES!$A$5:$A$2000,0)),"UNMATCHED"))</f>
        <v/>
      </c>
    </row>
    <row r="1481" ht="21.75" customHeight="1" s="130">
      <c r="J1481" s="107">
        <f>IF(OR(B1481&lt;&gt;"WorkPackage",D1481&lt;&gt;"tracks_scope",E1481&lt;&gt;"Scope",F1481=""),"",IFERROR(INDEX(SCOPES!$K$5:$K$2000,MATCH(F1481,SCOPES!$A$5:$A$2000,0)),"UNMATCHED"))</f>
        <v/>
      </c>
    </row>
    <row r="1482" ht="21.75" customHeight="1" s="130">
      <c r="J1482" s="107">
        <f>IF(OR(B1482&lt;&gt;"WorkPackage",D1482&lt;&gt;"tracks_scope",E1482&lt;&gt;"Scope",F1482=""),"",IFERROR(INDEX(SCOPES!$K$5:$K$2000,MATCH(F1482,SCOPES!$A$5:$A$2000,0)),"UNMATCHED"))</f>
        <v/>
      </c>
    </row>
    <row r="1483" ht="21.75" customHeight="1" s="130">
      <c r="J1483" s="107">
        <f>IF(OR(B1483&lt;&gt;"WorkPackage",D1483&lt;&gt;"tracks_scope",E1483&lt;&gt;"Scope",F1483=""),"",IFERROR(INDEX(SCOPES!$K$5:$K$2000,MATCH(F1483,SCOPES!$A$5:$A$2000,0)),"UNMATCHED"))</f>
        <v/>
      </c>
    </row>
    <row r="1484" ht="21.75" customHeight="1" s="130">
      <c r="J1484" s="107">
        <f>IF(OR(B1484&lt;&gt;"WorkPackage",D1484&lt;&gt;"tracks_scope",E1484&lt;&gt;"Scope",F1484=""),"",IFERROR(INDEX(SCOPES!$K$5:$K$2000,MATCH(F1484,SCOPES!$A$5:$A$2000,0)),"UNMATCHED"))</f>
        <v/>
      </c>
    </row>
    <row r="1485" ht="21.75" customHeight="1" s="130">
      <c r="J1485" s="107">
        <f>IF(OR(B1485&lt;&gt;"WorkPackage",D1485&lt;&gt;"tracks_scope",E1485&lt;&gt;"Scope",F1485=""),"",IFERROR(INDEX(SCOPES!$K$5:$K$2000,MATCH(F1485,SCOPES!$A$5:$A$2000,0)),"UNMATCHED"))</f>
        <v/>
      </c>
    </row>
    <row r="1486" ht="21.75" customHeight="1" s="130">
      <c r="J1486" s="107">
        <f>IF(OR(B1486&lt;&gt;"WorkPackage",D1486&lt;&gt;"tracks_scope",E1486&lt;&gt;"Scope",F1486=""),"",IFERROR(INDEX(SCOPES!$K$5:$K$2000,MATCH(F1486,SCOPES!$A$5:$A$2000,0)),"UNMATCHED"))</f>
        <v/>
      </c>
    </row>
    <row r="1487" ht="21.75" customHeight="1" s="130">
      <c r="J1487" s="107">
        <f>IF(OR(B1487&lt;&gt;"WorkPackage",D1487&lt;&gt;"tracks_scope",E1487&lt;&gt;"Scope",F1487=""),"",IFERROR(INDEX(SCOPES!$K$5:$K$2000,MATCH(F1487,SCOPES!$A$5:$A$2000,0)),"UNMATCHED"))</f>
        <v/>
      </c>
    </row>
    <row r="1488" ht="21.75" customHeight="1" s="130">
      <c r="J1488" s="107">
        <f>IF(OR(B1488&lt;&gt;"WorkPackage",D1488&lt;&gt;"tracks_scope",E1488&lt;&gt;"Scope",F1488=""),"",IFERROR(INDEX(SCOPES!$K$5:$K$2000,MATCH(F1488,SCOPES!$A$5:$A$2000,0)),"UNMATCHED"))</f>
        <v/>
      </c>
    </row>
    <row r="1489" ht="21.75" customHeight="1" s="130">
      <c r="J1489" s="107">
        <f>IF(OR(B1489&lt;&gt;"WorkPackage",D1489&lt;&gt;"tracks_scope",E1489&lt;&gt;"Scope",F1489=""),"",IFERROR(INDEX(SCOPES!$K$5:$K$2000,MATCH(F1489,SCOPES!$A$5:$A$2000,0)),"UNMATCHED"))</f>
        <v/>
      </c>
    </row>
    <row r="1490" ht="21.75" customHeight="1" s="130">
      <c r="J1490" s="107">
        <f>IF(OR(B1490&lt;&gt;"WorkPackage",D1490&lt;&gt;"tracks_scope",E1490&lt;&gt;"Scope",F1490=""),"",IFERROR(INDEX(SCOPES!$K$5:$K$2000,MATCH(F1490,SCOPES!$A$5:$A$2000,0)),"UNMATCHED"))</f>
        <v/>
      </c>
    </row>
    <row r="1491" ht="21.75" customHeight="1" s="130">
      <c r="J1491" s="107">
        <f>IF(OR(B1491&lt;&gt;"WorkPackage",D1491&lt;&gt;"tracks_scope",E1491&lt;&gt;"Scope",F1491=""),"",IFERROR(INDEX(SCOPES!$K$5:$K$2000,MATCH(F1491,SCOPES!$A$5:$A$2000,0)),"UNMATCHED"))</f>
        <v/>
      </c>
    </row>
    <row r="1492" ht="21.75" customHeight="1" s="130">
      <c r="J1492" s="107">
        <f>IF(OR(B1492&lt;&gt;"WorkPackage",D1492&lt;&gt;"tracks_scope",E1492&lt;&gt;"Scope",F1492=""),"",IFERROR(INDEX(SCOPES!$K$5:$K$2000,MATCH(F1492,SCOPES!$A$5:$A$2000,0)),"UNMATCHED"))</f>
        <v/>
      </c>
    </row>
    <row r="1493" ht="21.75" customHeight="1" s="130">
      <c r="J1493" s="107">
        <f>IF(OR(B1493&lt;&gt;"WorkPackage",D1493&lt;&gt;"tracks_scope",E1493&lt;&gt;"Scope",F1493=""),"",IFERROR(INDEX(SCOPES!$K$5:$K$2000,MATCH(F1493,SCOPES!$A$5:$A$2000,0)),"UNMATCHED"))</f>
        <v/>
      </c>
    </row>
    <row r="1494" ht="21.75" customHeight="1" s="130">
      <c r="J1494" s="107">
        <f>IF(OR(B1494&lt;&gt;"WorkPackage",D1494&lt;&gt;"tracks_scope",E1494&lt;&gt;"Scope",F1494=""),"",IFERROR(INDEX(SCOPES!$K$5:$K$2000,MATCH(F1494,SCOPES!$A$5:$A$2000,0)),"UNMATCHED"))</f>
        <v/>
      </c>
    </row>
    <row r="1495" ht="21.75" customHeight="1" s="130">
      <c r="J1495" s="107">
        <f>IF(OR(B1495&lt;&gt;"WorkPackage",D1495&lt;&gt;"tracks_scope",E1495&lt;&gt;"Scope",F1495=""),"",IFERROR(INDEX(SCOPES!$K$5:$K$2000,MATCH(F1495,SCOPES!$A$5:$A$2000,0)),"UNMATCHED"))</f>
        <v/>
      </c>
    </row>
    <row r="1496" ht="21.75" customHeight="1" s="130">
      <c r="J1496" s="107">
        <f>IF(OR(B1496&lt;&gt;"WorkPackage",D1496&lt;&gt;"tracks_scope",E1496&lt;&gt;"Scope",F1496=""),"",IFERROR(INDEX(SCOPES!$K$5:$K$2000,MATCH(F1496,SCOPES!$A$5:$A$2000,0)),"UNMATCHED"))</f>
        <v/>
      </c>
    </row>
    <row r="1497" ht="21.75" customHeight="1" s="130">
      <c r="J1497" s="107">
        <f>IF(OR(B1497&lt;&gt;"WorkPackage",D1497&lt;&gt;"tracks_scope",E1497&lt;&gt;"Scope",F1497=""),"",IFERROR(INDEX(SCOPES!$K$5:$K$2000,MATCH(F1497,SCOPES!$A$5:$A$2000,0)),"UNMATCHED"))</f>
        <v/>
      </c>
    </row>
    <row r="1498" ht="21.75" customHeight="1" s="130">
      <c r="J1498" s="107">
        <f>IF(OR(B1498&lt;&gt;"WorkPackage",D1498&lt;&gt;"tracks_scope",E1498&lt;&gt;"Scope",F1498=""),"",IFERROR(INDEX(SCOPES!$K$5:$K$2000,MATCH(F1498,SCOPES!$A$5:$A$2000,0)),"UNMATCHED"))</f>
        <v/>
      </c>
    </row>
    <row r="1499" ht="21.75" customHeight="1" s="130">
      <c r="J1499" s="107">
        <f>IF(OR(B1499&lt;&gt;"WorkPackage",D1499&lt;&gt;"tracks_scope",E1499&lt;&gt;"Scope",F1499=""),"",IFERROR(INDEX(SCOPES!$K$5:$K$2000,MATCH(F1499,SCOPES!$A$5:$A$2000,0)),"UNMATCHED"))</f>
        <v/>
      </c>
    </row>
    <row r="1500" ht="21.75" customHeight="1" s="130">
      <c r="J1500" s="107">
        <f>IF(OR(B1500&lt;&gt;"WorkPackage",D1500&lt;&gt;"tracks_scope",E1500&lt;&gt;"Scope",F1500=""),"",IFERROR(INDEX(SCOPES!$K$5:$K$2000,MATCH(F1500,SCOPES!$A$5:$A$2000,0)),"UNMATCHED"))</f>
        <v/>
      </c>
    </row>
    <row r="1501" ht="21.75" customHeight="1" s="130">
      <c r="J1501" s="107">
        <f>IF(OR(B1501&lt;&gt;"WorkPackage",D1501&lt;&gt;"tracks_scope",E1501&lt;&gt;"Scope",F1501=""),"",IFERROR(INDEX(SCOPES!$K$5:$K$2000,MATCH(F1501,SCOPES!$A$5:$A$2000,0)),"UNMATCHED"))</f>
        <v/>
      </c>
    </row>
    <row r="1502" ht="21.75" customHeight="1" s="130">
      <c r="J1502" s="107">
        <f>IF(OR(B1502&lt;&gt;"WorkPackage",D1502&lt;&gt;"tracks_scope",E1502&lt;&gt;"Scope",F1502=""),"",IFERROR(INDEX(SCOPES!$K$5:$K$2000,MATCH(F1502,SCOPES!$A$5:$A$2000,0)),"UNMATCHED"))</f>
        <v/>
      </c>
    </row>
    <row r="1503" ht="21.75" customHeight="1" s="130">
      <c r="J1503" s="107">
        <f>IF(OR(B1503&lt;&gt;"WorkPackage",D1503&lt;&gt;"tracks_scope",E1503&lt;&gt;"Scope",F1503=""),"",IFERROR(INDEX(SCOPES!$K$5:$K$2000,MATCH(F1503,SCOPES!$A$5:$A$2000,0)),"UNMATCHED"))</f>
        <v/>
      </c>
    </row>
    <row r="1504" ht="21.75" customHeight="1" s="130">
      <c r="J1504" s="107">
        <f>IF(OR(B1504&lt;&gt;"WorkPackage",D1504&lt;&gt;"tracks_scope",E1504&lt;&gt;"Scope",F1504=""),"",IFERROR(INDEX(SCOPES!$K$5:$K$2000,MATCH(F1504,SCOPES!$A$5:$A$2000,0)),"UNMATCHED"))</f>
        <v/>
      </c>
    </row>
    <row r="1505" ht="21.75" customHeight="1" s="130">
      <c r="J1505" s="107">
        <f>IF(OR(B1505&lt;&gt;"WorkPackage",D1505&lt;&gt;"tracks_scope",E1505&lt;&gt;"Scope",F1505=""),"",IFERROR(INDEX(SCOPES!$K$5:$K$2000,MATCH(F1505,SCOPES!$A$5:$A$2000,0)),"UNMATCHED"))</f>
        <v/>
      </c>
    </row>
    <row r="1506" ht="21.75" customHeight="1" s="130">
      <c r="J1506" s="107">
        <f>IF(OR(B1506&lt;&gt;"WorkPackage",D1506&lt;&gt;"tracks_scope",E1506&lt;&gt;"Scope",F1506=""),"",IFERROR(INDEX(SCOPES!$K$5:$K$2000,MATCH(F1506,SCOPES!$A$5:$A$2000,0)),"UNMATCHED"))</f>
        <v/>
      </c>
    </row>
    <row r="1507" ht="21.75" customHeight="1" s="130">
      <c r="J1507" s="107">
        <f>IF(OR(B1507&lt;&gt;"WorkPackage",D1507&lt;&gt;"tracks_scope",E1507&lt;&gt;"Scope",F1507=""),"",IFERROR(INDEX(SCOPES!$K$5:$K$2000,MATCH(F1507,SCOPES!$A$5:$A$2000,0)),"UNMATCHED"))</f>
        <v/>
      </c>
    </row>
    <row r="1508" ht="21.75" customHeight="1" s="130">
      <c r="J1508" s="107">
        <f>IF(OR(B1508&lt;&gt;"WorkPackage",D1508&lt;&gt;"tracks_scope",E1508&lt;&gt;"Scope",F1508=""),"",IFERROR(INDEX(SCOPES!$K$5:$K$2000,MATCH(F1508,SCOPES!$A$5:$A$2000,0)),"UNMATCHED"))</f>
        <v/>
      </c>
    </row>
    <row r="1509" ht="21.75" customHeight="1" s="130">
      <c r="J1509" s="107">
        <f>IF(OR(B1509&lt;&gt;"WorkPackage",D1509&lt;&gt;"tracks_scope",E1509&lt;&gt;"Scope",F1509=""),"",IFERROR(INDEX(SCOPES!$K$5:$K$2000,MATCH(F1509,SCOPES!$A$5:$A$2000,0)),"UNMATCHED"))</f>
        <v/>
      </c>
    </row>
    <row r="1510" ht="21.75" customHeight="1" s="130">
      <c r="J1510" s="107">
        <f>IF(OR(B1510&lt;&gt;"WorkPackage",D1510&lt;&gt;"tracks_scope",E1510&lt;&gt;"Scope",F1510=""),"",IFERROR(INDEX(SCOPES!$K$5:$K$2000,MATCH(F1510,SCOPES!$A$5:$A$2000,0)),"UNMATCHED"))</f>
        <v/>
      </c>
    </row>
    <row r="1511" ht="21.75" customHeight="1" s="130">
      <c r="J1511" s="107">
        <f>IF(OR(B1511&lt;&gt;"WorkPackage",D1511&lt;&gt;"tracks_scope",E1511&lt;&gt;"Scope",F1511=""),"",IFERROR(INDEX(SCOPES!$K$5:$K$2000,MATCH(F1511,SCOPES!$A$5:$A$2000,0)),"UNMATCHED"))</f>
        <v/>
      </c>
    </row>
    <row r="1512" ht="21.75" customHeight="1" s="130">
      <c r="J1512" s="107">
        <f>IF(OR(B1512&lt;&gt;"WorkPackage",D1512&lt;&gt;"tracks_scope",E1512&lt;&gt;"Scope",F1512=""),"",IFERROR(INDEX(SCOPES!$K$5:$K$2000,MATCH(F1512,SCOPES!$A$5:$A$2000,0)),"UNMATCHED"))</f>
        <v/>
      </c>
    </row>
    <row r="1513" ht="21.75" customHeight="1" s="130">
      <c r="J1513" s="107">
        <f>IF(OR(B1513&lt;&gt;"WorkPackage",D1513&lt;&gt;"tracks_scope",E1513&lt;&gt;"Scope",F1513=""),"",IFERROR(INDEX(SCOPES!$K$5:$K$2000,MATCH(F1513,SCOPES!$A$5:$A$2000,0)),"UNMATCHED"))</f>
        <v/>
      </c>
    </row>
    <row r="1514" ht="21.75" customHeight="1" s="130">
      <c r="J1514" s="107">
        <f>IF(OR(B1514&lt;&gt;"WorkPackage",D1514&lt;&gt;"tracks_scope",E1514&lt;&gt;"Scope",F1514=""),"",IFERROR(INDEX(SCOPES!$K$5:$K$2000,MATCH(F1514,SCOPES!$A$5:$A$2000,0)),"UNMATCHED"))</f>
        <v/>
      </c>
    </row>
    <row r="1515" ht="21.75" customHeight="1" s="130">
      <c r="J1515" s="107">
        <f>IF(OR(B1515&lt;&gt;"WorkPackage",D1515&lt;&gt;"tracks_scope",E1515&lt;&gt;"Scope",F1515=""),"",IFERROR(INDEX(SCOPES!$K$5:$K$2000,MATCH(F1515,SCOPES!$A$5:$A$2000,0)),"UNMATCHED"))</f>
        <v/>
      </c>
    </row>
    <row r="1516" ht="21.75" customHeight="1" s="130">
      <c r="J1516" s="107">
        <f>IF(OR(B1516&lt;&gt;"WorkPackage",D1516&lt;&gt;"tracks_scope",E1516&lt;&gt;"Scope",F1516=""),"",IFERROR(INDEX(SCOPES!$K$5:$K$2000,MATCH(F1516,SCOPES!$A$5:$A$2000,0)),"UNMATCHED"))</f>
        <v/>
      </c>
    </row>
    <row r="1517" ht="21.75" customHeight="1" s="130">
      <c r="J1517" s="107">
        <f>IF(OR(B1517&lt;&gt;"WorkPackage",D1517&lt;&gt;"tracks_scope",E1517&lt;&gt;"Scope",F1517=""),"",IFERROR(INDEX(SCOPES!$K$5:$K$2000,MATCH(F1517,SCOPES!$A$5:$A$2000,0)),"UNMATCHED"))</f>
        <v/>
      </c>
    </row>
    <row r="1518" ht="21.75" customHeight="1" s="130">
      <c r="J1518" s="107">
        <f>IF(OR(B1518&lt;&gt;"WorkPackage",D1518&lt;&gt;"tracks_scope",E1518&lt;&gt;"Scope",F1518=""),"",IFERROR(INDEX(SCOPES!$K$5:$K$2000,MATCH(F1518,SCOPES!$A$5:$A$2000,0)),"UNMATCHED"))</f>
        <v/>
      </c>
    </row>
    <row r="1519" ht="21.75" customHeight="1" s="130">
      <c r="J1519" s="107">
        <f>IF(OR(B1519&lt;&gt;"WorkPackage",D1519&lt;&gt;"tracks_scope",E1519&lt;&gt;"Scope",F1519=""),"",IFERROR(INDEX(SCOPES!$K$5:$K$2000,MATCH(F1519,SCOPES!$A$5:$A$2000,0)),"UNMATCHED"))</f>
        <v/>
      </c>
    </row>
    <row r="1520" ht="21.75" customHeight="1" s="130">
      <c r="J1520" s="107">
        <f>IF(OR(B1520&lt;&gt;"WorkPackage",D1520&lt;&gt;"tracks_scope",E1520&lt;&gt;"Scope",F1520=""),"",IFERROR(INDEX(SCOPES!$K$5:$K$2000,MATCH(F1520,SCOPES!$A$5:$A$2000,0)),"UNMATCHED"))</f>
        <v/>
      </c>
    </row>
    <row r="1521" ht="21.75" customHeight="1" s="130">
      <c r="J1521" s="107">
        <f>IF(OR(B1521&lt;&gt;"WorkPackage",D1521&lt;&gt;"tracks_scope",E1521&lt;&gt;"Scope",F1521=""),"",IFERROR(INDEX(SCOPES!$K$5:$K$2000,MATCH(F1521,SCOPES!$A$5:$A$2000,0)),"UNMATCHED"))</f>
        <v/>
      </c>
    </row>
    <row r="1522" ht="21.75" customHeight="1" s="130">
      <c r="J1522" s="107">
        <f>IF(OR(B1522&lt;&gt;"WorkPackage",D1522&lt;&gt;"tracks_scope",E1522&lt;&gt;"Scope",F1522=""),"",IFERROR(INDEX(SCOPES!$K$5:$K$2000,MATCH(F1522,SCOPES!$A$5:$A$2000,0)),"UNMATCHED"))</f>
        <v/>
      </c>
    </row>
    <row r="1523" ht="21.75" customHeight="1" s="130">
      <c r="J1523" s="107">
        <f>IF(OR(B1523&lt;&gt;"WorkPackage",D1523&lt;&gt;"tracks_scope",E1523&lt;&gt;"Scope",F1523=""),"",IFERROR(INDEX(SCOPES!$K$5:$K$2000,MATCH(F1523,SCOPES!$A$5:$A$2000,0)),"UNMATCHED"))</f>
        <v/>
      </c>
    </row>
    <row r="1524" ht="21.75" customHeight="1" s="130">
      <c r="J1524" s="107">
        <f>IF(OR(B1524&lt;&gt;"WorkPackage",D1524&lt;&gt;"tracks_scope",E1524&lt;&gt;"Scope",F1524=""),"",IFERROR(INDEX(SCOPES!$K$5:$K$2000,MATCH(F1524,SCOPES!$A$5:$A$2000,0)),"UNMATCHED"))</f>
        <v/>
      </c>
    </row>
    <row r="1525" ht="21.75" customHeight="1" s="130">
      <c r="J1525" s="107">
        <f>IF(OR(B1525&lt;&gt;"WorkPackage",D1525&lt;&gt;"tracks_scope",E1525&lt;&gt;"Scope",F1525=""),"",IFERROR(INDEX(SCOPES!$K$5:$K$2000,MATCH(F1525,SCOPES!$A$5:$A$2000,0)),"UNMATCHED"))</f>
        <v/>
      </c>
    </row>
    <row r="1526" ht="21.75" customHeight="1" s="130">
      <c r="J1526" s="107">
        <f>IF(OR(B1526&lt;&gt;"WorkPackage",D1526&lt;&gt;"tracks_scope",E1526&lt;&gt;"Scope",F1526=""),"",IFERROR(INDEX(SCOPES!$K$5:$K$2000,MATCH(F1526,SCOPES!$A$5:$A$2000,0)),"UNMATCHED"))</f>
        <v/>
      </c>
    </row>
    <row r="1527" ht="21.75" customHeight="1" s="130">
      <c r="J1527" s="107">
        <f>IF(OR(B1527&lt;&gt;"WorkPackage",D1527&lt;&gt;"tracks_scope",E1527&lt;&gt;"Scope",F1527=""),"",IFERROR(INDEX(SCOPES!$K$5:$K$2000,MATCH(F1527,SCOPES!$A$5:$A$2000,0)),"UNMATCHED"))</f>
        <v/>
      </c>
    </row>
    <row r="1528" ht="21.75" customHeight="1" s="130">
      <c r="J1528" s="107">
        <f>IF(OR(B1528&lt;&gt;"WorkPackage",D1528&lt;&gt;"tracks_scope",E1528&lt;&gt;"Scope",F1528=""),"",IFERROR(INDEX(SCOPES!$K$5:$K$2000,MATCH(F1528,SCOPES!$A$5:$A$2000,0)),"UNMATCHED"))</f>
        <v/>
      </c>
    </row>
    <row r="1529" ht="21.75" customHeight="1" s="130">
      <c r="J1529" s="107">
        <f>IF(OR(B1529&lt;&gt;"WorkPackage",D1529&lt;&gt;"tracks_scope",E1529&lt;&gt;"Scope",F1529=""),"",IFERROR(INDEX(SCOPES!$K$5:$K$2000,MATCH(F1529,SCOPES!$A$5:$A$2000,0)),"UNMATCHED"))</f>
        <v/>
      </c>
    </row>
    <row r="1530" ht="21.75" customHeight="1" s="130">
      <c r="J1530" s="107">
        <f>IF(OR(B1530&lt;&gt;"WorkPackage",D1530&lt;&gt;"tracks_scope",E1530&lt;&gt;"Scope",F1530=""),"",IFERROR(INDEX(SCOPES!$K$5:$K$2000,MATCH(F1530,SCOPES!$A$5:$A$2000,0)),"UNMATCHED"))</f>
        <v/>
      </c>
    </row>
    <row r="1531" ht="21.75" customHeight="1" s="130">
      <c r="J1531" s="107">
        <f>IF(OR(B1531&lt;&gt;"WorkPackage",D1531&lt;&gt;"tracks_scope",E1531&lt;&gt;"Scope",F1531=""),"",IFERROR(INDEX(SCOPES!$K$5:$K$2000,MATCH(F1531,SCOPES!$A$5:$A$2000,0)),"UNMATCHED"))</f>
        <v/>
      </c>
    </row>
    <row r="1532" ht="21.75" customHeight="1" s="130">
      <c r="J1532" s="107">
        <f>IF(OR(B1532&lt;&gt;"WorkPackage",D1532&lt;&gt;"tracks_scope",E1532&lt;&gt;"Scope",F1532=""),"",IFERROR(INDEX(SCOPES!$K$5:$K$2000,MATCH(F1532,SCOPES!$A$5:$A$2000,0)),"UNMATCHED"))</f>
        <v/>
      </c>
    </row>
    <row r="1533" ht="21.75" customHeight="1" s="130">
      <c r="J1533" s="107">
        <f>IF(OR(B1533&lt;&gt;"WorkPackage",D1533&lt;&gt;"tracks_scope",E1533&lt;&gt;"Scope",F1533=""),"",IFERROR(INDEX(SCOPES!$K$5:$K$2000,MATCH(F1533,SCOPES!$A$5:$A$2000,0)),"UNMATCHED"))</f>
        <v/>
      </c>
    </row>
    <row r="1534" ht="21.75" customHeight="1" s="130">
      <c r="J1534" s="107">
        <f>IF(OR(B1534&lt;&gt;"WorkPackage",D1534&lt;&gt;"tracks_scope",E1534&lt;&gt;"Scope",F1534=""),"",IFERROR(INDEX(SCOPES!$K$5:$K$2000,MATCH(F1534,SCOPES!$A$5:$A$2000,0)),"UNMATCHED"))</f>
        <v/>
      </c>
    </row>
    <row r="1535" ht="21.75" customHeight="1" s="130">
      <c r="J1535" s="107">
        <f>IF(OR(B1535&lt;&gt;"WorkPackage",D1535&lt;&gt;"tracks_scope",E1535&lt;&gt;"Scope",F1535=""),"",IFERROR(INDEX(SCOPES!$K$5:$K$2000,MATCH(F1535,SCOPES!$A$5:$A$2000,0)),"UNMATCHED"))</f>
        <v/>
      </c>
    </row>
    <row r="1536" ht="21.75" customHeight="1" s="130">
      <c r="J1536" s="107">
        <f>IF(OR(B1536&lt;&gt;"WorkPackage",D1536&lt;&gt;"tracks_scope",E1536&lt;&gt;"Scope",F1536=""),"",IFERROR(INDEX(SCOPES!$K$5:$K$2000,MATCH(F1536,SCOPES!$A$5:$A$2000,0)),"UNMATCHED"))</f>
        <v/>
      </c>
    </row>
    <row r="1537" ht="21.75" customHeight="1" s="130">
      <c r="J1537" s="107">
        <f>IF(OR(B1537&lt;&gt;"WorkPackage",D1537&lt;&gt;"tracks_scope",E1537&lt;&gt;"Scope",F1537=""),"",IFERROR(INDEX(SCOPES!$K$5:$K$2000,MATCH(F1537,SCOPES!$A$5:$A$2000,0)),"UNMATCHED"))</f>
        <v/>
      </c>
    </row>
    <row r="1538" ht="21.75" customHeight="1" s="130">
      <c r="J1538" s="107">
        <f>IF(OR(B1538&lt;&gt;"WorkPackage",D1538&lt;&gt;"tracks_scope",E1538&lt;&gt;"Scope",F1538=""),"",IFERROR(INDEX(SCOPES!$K$5:$K$2000,MATCH(F1538,SCOPES!$A$5:$A$2000,0)),"UNMATCHED"))</f>
        <v/>
      </c>
    </row>
    <row r="1539" ht="21.75" customHeight="1" s="130">
      <c r="J1539" s="107">
        <f>IF(OR(B1539&lt;&gt;"WorkPackage",D1539&lt;&gt;"tracks_scope",E1539&lt;&gt;"Scope",F1539=""),"",IFERROR(INDEX(SCOPES!$K$5:$K$2000,MATCH(F1539,SCOPES!$A$5:$A$2000,0)),"UNMATCHED"))</f>
        <v/>
      </c>
    </row>
    <row r="1540" ht="21.75" customHeight="1" s="130">
      <c r="J1540" s="107">
        <f>IF(OR(B1540&lt;&gt;"WorkPackage",D1540&lt;&gt;"tracks_scope",E1540&lt;&gt;"Scope",F1540=""),"",IFERROR(INDEX(SCOPES!$K$5:$K$2000,MATCH(F1540,SCOPES!$A$5:$A$2000,0)),"UNMATCHED"))</f>
        <v/>
      </c>
    </row>
    <row r="1541" ht="21.75" customHeight="1" s="130">
      <c r="J1541" s="107">
        <f>IF(OR(B1541&lt;&gt;"WorkPackage",D1541&lt;&gt;"tracks_scope",E1541&lt;&gt;"Scope",F1541=""),"",IFERROR(INDEX(SCOPES!$K$5:$K$2000,MATCH(F1541,SCOPES!$A$5:$A$2000,0)),"UNMATCHED"))</f>
        <v/>
      </c>
    </row>
    <row r="1542" ht="21.75" customHeight="1" s="130">
      <c r="J1542" s="107">
        <f>IF(OR(B1542&lt;&gt;"WorkPackage",D1542&lt;&gt;"tracks_scope",E1542&lt;&gt;"Scope",F1542=""),"",IFERROR(INDEX(SCOPES!$K$5:$K$2000,MATCH(F1542,SCOPES!$A$5:$A$2000,0)),"UNMATCHED"))</f>
        <v/>
      </c>
    </row>
    <row r="1543" ht="21.75" customHeight="1" s="130">
      <c r="J1543" s="107">
        <f>IF(OR(B1543&lt;&gt;"WorkPackage",D1543&lt;&gt;"tracks_scope",E1543&lt;&gt;"Scope",F1543=""),"",IFERROR(INDEX(SCOPES!$K$5:$K$2000,MATCH(F1543,SCOPES!$A$5:$A$2000,0)),"UNMATCHED"))</f>
        <v/>
      </c>
    </row>
    <row r="1544" ht="21.75" customHeight="1" s="130">
      <c r="J1544" s="107">
        <f>IF(OR(B1544&lt;&gt;"WorkPackage",D1544&lt;&gt;"tracks_scope",E1544&lt;&gt;"Scope",F1544=""),"",IFERROR(INDEX(SCOPES!$K$5:$K$2000,MATCH(F1544,SCOPES!$A$5:$A$2000,0)),"UNMATCHED"))</f>
        <v/>
      </c>
    </row>
    <row r="1545" ht="21.75" customHeight="1" s="130">
      <c r="J1545" s="107">
        <f>IF(OR(B1545&lt;&gt;"WorkPackage",D1545&lt;&gt;"tracks_scope",E1545&lt;&gt;"Scope",F1545=""),"",IFERROR(INDEX(SCOPES!$K$5:$K$2000,MATCH(F1545,SCOPES!$A$5:$A$2000,0)),"UNMATCHED"))</f>
        <v/>
      </c>
    </row>
    <row r="1546" ht="21.75" customHeight="1" s="130">
      <c r="J1546" s="107">
        <f>IF(OR(B1546&lt;&gt;"WorkPackage",D1546&lt;&gt;"tracks_scope",E1546&lt;&gt;"Scope",F1546=""),"",IFERROR(INDEX(SCOPES!$K$5:$K$2000,MATCH(F1546,SCOPES!$A$5:$A$2000,0)),"UNMATCHED"))</f>
        <v/>
      </c>
    </row>
    <row r="1547" ht="21.75" customHeight="1" s="130">
      <c r="J1547" s="107">
        <f>IF(OR(B1547&lt;&gt;"WorkPackage",D1547&lt;&gt;"tracks_scope",E1547&lt;&gt;"Scope",F1547=""),"",IFERROR(INDEX(SCOPES!$K$5:$K$2000,MATCH(F1547,SCOPES!$A$5:$A$2000,0)),"UNMATCHED"))</f>
        <v/>
      </c>
    </row>
    <row r="1548" ht="21.75" customHeight="1" s="130">
      <c r="J1548" s="107">
        <f>IF(OR(B1548&lt;&gt;"WorkPackage",D1548&lt;&gt;"tracks_scope",E1548&lt;&gt;"Scope",F1548=""),"",IFERROR(INDEX(SCOPES!$K$5:$K$2000,MATCH(F1548,SCOPES!$A$5:$A$2000,0)),"UNMATCHED"))</f>
        <v/>
      </c>
    </row>
    <row r="1549" ht="21.75" customHeight="1" s="130">
      <c r="J1549" s="107">
        <f>IF(OR(B1549&lt;&gt;"WorkPackage",D1549&lt;&gt;"tracks_scope",E1549&lt;&gt;"Scope",F1549=""),"",IFERROR(INDEX(SCOPES!$K$5:$K$2000,MATCH(F1549,SCOPES!$A$5:$A$2000,0)),"UNMATCHED"))</f>
        <v/>
      </c>
    </row>
    <row r="1550" ht="21.75" customHeight="1" s="130">
      <c r="J1550" s="107">
        <f>IF(OR(B1550&lt;&gt;"WorkPackage",D1550&lt;&gt;"tracks_scope",E1550&lt;&gt;"Scope",F1550=""),"",IFERROR(INDEX(SCOPES!$K$5:$K$2000,MATCH(F1550,SCOPES!$A$5:$A$2000,0)),"UNMATCHED"))</f>
        <v/>
      </c>
    </row>
    <row r="1551" ht="21.75" customHeight="1" s="130">
      <c r="J1551" s="107">
        <f>IF(OR(B1551&lt;&gt;"WorkPackage",D1551&lt;&gt;"tracks_scope",E1551&lt;&gt;"Scope",F1551=""),"",IFERROR(INDEX(SCOPES!$K$5:$K$2000,MATCH(F1551,SCOPES!$A$5:$A$2000,0)),"UNMATCHED"))</f>
        <v/>
      </c>
    </row>
    <row r="1552" ht="21.75" customHeight="1" s="130">
      <c r="J1552" s="107">
        <f>IF(OR(B1552&lt;&gt;"WorkPackage",D1552&lt;&gt;"tracks_scope",E1552&lt;&gt;"Scope",F1552=""),"",IFERROR(INDEX(SCOPES!$K$5:$K$2000,MATCH(F1552,SCOPES!$A$5:$A$2000,0)),"UNMATCHED"))</f>
        <v/>
      </c>
    </row>
    <row r="1553" ht="21.75" customHeight="1" s="130">
      <c r="J1553" s="107">
        <f>IF(OR(B1553&lt;&gt;"WorkPackage",D1553&lt;&gt;"tracks_scope",E1553&lt;&gt;"Scope",F1553=""),"",IFERROR(INDEX(SCOPES!$K$5:$K$2000,MATCH(F1553,SCOPES!$A$5:$A$2000,0)),"UNMATCHED"))</f>
        <v/>
      </c>
    </row>
    <row r="1554" ht="21.75" customHeight="1" s="130">
      <c r="J1554" s="107">
        <f>IF(OR(B1554&lt;&gt;"WorkPackage",D1554&lt;&gt;"tracks_scope",E1554&lt;&gt;"Scope",F1554=""),"",IFERROR(INDEX(SCOPES!$K$5:$K$2000,MATCH(F1554,SCOPES!$A$5:$A$2000,0)),"UNMATCHED"))</f>
        <v/>
      </c>
    </row>
    <row r="1555" ht="21.75" customHeight="1" s="130">
      <c r="J1555" s="107">
        <f>IF(OR(B1555&lt;&gt;"WorkPackage",D1555&lt;&gt;"tracks_scope",E1555&lt;&gt;"Scope",F1555=""),"",IFERROR(INDEX(SCOPES!$K$5:$K$2000,MATCH(F1555,SCOPES!$A$5:$A$2000,0)),"UNMATCHED"))</f>
        <v/>
      </c>
    </row>
    <row r="1556" ht="21.75" customHeight="1" s="130">
      <c r="J1556" s="107">
        <f>IF(OR(B1556&lt;&gt;"WorkPackage",D1556&lt;&gt;"tracks_scope",E1556&lt;&gt;"Scope",F1556=""),"",IFERROR(INDEX(SCOPES!$K$5:$K$2000,MATCH(F1556,SCOPES!$A$5:$A$2000,0)),"UNMATCHED"))</f>
        <v/>
      </c>
    </row>
    <row r="1557" ht="21.75" customHeight="1" s="130">
      <c r="J1557" s="107">
        <f>IF(OR(B1557&lt;&gt;"WorkPackage",D1557&lt;&gt;"tracks_scope",E1557&lt;&gt;"Scope",F1557=""),"",IFERROR(INDEX(SCOPES!$K$5:$K$2000,MATCH(F1557,SCOPES!$A$5:$A$2000,0)),"UNMATCHED"))</f>
        <v/>
      </c>
    </row>
    <row r="1558" ht="21.75" customHeight="1" s="130">
      <c r="J1558" s="107">
        <f>IF(OR(B1558&lt;&gt;"WorkPackage",D1558&lt;&gt;"tracks_scope",E1558&lt;&gt;"Scope",F1558=""),"",IFERROR(INDEX(SCOPES!$K$5:$K$2000,MATCH(F1558,SCOPES!$A$5:$A$2000,0)),"UNMATCHED"))</f>
        <v/>
      </c>
    </row>
    <row r="1559" ht="21.75" customHeight="1" s="130">
      <c r="J1559" s="107">
        <f>IF(OR(B1559&lt;&gt;"WorkPackage",D1559&lt;&gt;"tracks_scope",E1559&lt;&gt;"Scope",F1559=""),"",IFERROR(INDEX(SCOPES!$K$5:$K$2000,MATCH(F1559,SCOPES!$A$5:$A$2000,0)),"UNMATCHED"))</f>
        <v/>
      </c>
    </row>
    <row r="1560" ht="21.75" customHeight="1" s="130">
      <c r="J1560" s="107">
        <f>IF(OR(B1560&lt;&gt;"WorkPackage",D1560&lt;&gt;"tracks_scope",E1560&lt;&gt;"Scope",F1560=""),"",IFERROR(INDEX(SCOPES!$K$5:$K$2000,MATCH(F1560,SCOPES!$A$5:$A$2000,0)),"UNMATCHED"))</f>
        <v/>
      </c>
    </row>
    <row r="1561" ht="21.75" customHeight="1" s="130">
      <c r="J1561" s="107">
        <f>IF(OR(B1561&lt;&gt;"WorkPackage",D1561&lt;&gt;"tracks_scope",E1561&lt;&gt;"Scope",F1561=""),"",IFERROR(INDEX(SCOPES!$K$5:$K$2000,MATCH(F1561,SCOPES!$A$5:$A$2000,0)),"UNMATCHED"))</f>
        <v/>
      </c>
    </row>
    <row r="1562" ht="21.75" customHeight="1" s="130">
      <c r="J1562" s="107">
        <f>IF(OR(B1562&lt;&gt;"WorkPackage",D1562&lt;&gt;"tracks_scope",E1562&lt;&gt;"Scope",F1562=""),"",IFERROR(INDEX(SCOPES!$K$5:$K$2000,MATCH(F1562,SCOPES!$A$5:$A$2000,0)),"UNMATCHED"))</f>
        <v/>
      </c>
    </row>
    <row r="1563" ht="21.75" customHeight="1" s="130">
      <c r="J1563" s="107">
        <f>IF(OR(B1563&lt;&gt;"WorkPackage",D1563&lt;&gt;"tracks_scope",E1563&lt;&gt;"Scope",F1563=""),"",IFERROR(INDEX(SCOPES!$K$5:$K$2000,MATCH(F1563,SCOPES!$A$5:$A$2000,0)),"UNMATCHED"))</f>
        <v/>
      </c>
    </row>
    <row r="1564" ht="21.75" customHeight="1" s="130">
      <c r="J1564" s="107">
        <f>IF(OR(B1564&lt;&gt;"WorkPackage",D1564&lt;&gt;"tracks_scope",E1564&lt;&gt;"Scope",F1564=""),"",IFERROR(INDEX(SCOPES!$K$5:$K$2000,MATCH(F1564,SCOPES!$A$5:$A$2000,0)),"UNMATCHED"))</f>
        <v/>
      </c>
    </row>
    <row r="1565" ht="21.75" customHeight="1" s="130">
      <c r="J1565" s="107">
        <f>IF(OR(B1565&lt;&gt;"WorkPackage",D1565&lt;&gt;"tracks_scope",E1565&lt;&gt;"Scope",F1565=""),"",IFERROR(INDEX(SCOPES!$K$5:$K$2000,MATCH(F1565,SCOPES!$A$5:$A$2000,0)),"UNMATCHED"))</f>
        <v/>
      </c>
    </row>
    <row r="1566" ht="21.75" customHeight="1" s="130">
      <c r="J1566" s="107">
        <f>IF(OR(B1566&lt;&gt;"WorkPackage",D1566&lt;&gt;"tracks_scope",E1566&lt;&gt;"Scope",F1566=""),"",IFERROR(INDEX(SCOPES!$K$5:$K$2000,MATCH(F1566,SCOPES!$A$5:$A$2000,0)),"UNMATCHED"))</f>
        <v/>
      </c>
    </row>
    <row r="1567" ht="21.75" customHeight="1" s="130">
      <c r="J1567" s="107">
        <f>IF(OR(B1567&lt;&gt;"WorkPackage",D1567&lt;&gt;"tracks_scope",E1567&lt;&gt;"Scope",F1567=""),"",IFERROR(INDEX(SCOPES!$K$5:$K$2000,MATCH(F1567,SCOPES!$A$5:$A$2000,0)),"UNMATCHED"))</f>
        <v/>
      </c>
    </row>
    <row r="1568" ht="21.75" customHeight="1" s="130">
      <c r="J1568" s="107">
        <f>IF(OR(B1568&lt;&gt;"WorkPackage",D1568&lt;&gt;"tracks_scope",E1568&lt;&gt;"Scope",F1568=""),"",IFERROR(INDEX(SCOPES!$K$5:$K$2000,MATCH(F1568,SCOPES!$A$5:$A$2000,0)),"UNMATCHED"))</f>
        <v/>
      </c>
    </row>
    <row r="1569" ht="21.75" customHeight="1" s="130">
      <c r="J1569" s="107">
        <f>IF(OR(B1569&lt;&gt;"WorkPackage",D1569&lt;&gt;"tracks_scope",E1569&lt;&gt;"Scope",F1569=""),"",IFERROR(INDEX(SCOPES!$K$5:$K$2000,MATCH(F1569,SCOPES!$A$5:$A$2000,0)),"UNMATCHED"))</f>
        <v/>
      </c>
    </row>
    <row r="1570" ht="21.75" customHeight="1" s="130">
      <c r="J1570" s="107">
        <f>IF(OR(B1570&lt;&gt;"WorkPackage",D1570&lt;&gt;"tracks_scope",E1570&lt;&gt;"Scope",F1570=""),"",IFERROR(INDEX(SCOPES!$K$5:$K$2000,MATCH(F1570,SCOPES!$A$5:$A$2000,0)),"UNMATCHED"))</f>
        <v/>
      </c>
    </row>
    <row r="1571" ht="21.75" customHeight="1" s="130">
      <c r="J1571" s="107">
        <f>IF(OR(B1571&lt;&gt;"WorkPackage",D1571&lt;&gt;"tracks_scope",E1571&lt;&gt;"Scope",F1571=""),"",IFERROR(INDEX(SCOPES!$K$5:$K$2000,MATCH(F1571,SCOPES!$A$5:$A$2000,0)),"UNMATCHED"))</f>
        <v/>
      </c>
    </row>
    <row r="1572" ht="21.75" customHeight="1" s="130">
      <c r="J1572" s="107">
        <f>IF(OR(B1572&lt;&gt;"WorkPackage",D1572&lt;&gt;"tracks_scope",E1572&lt;&gt;"Scope",F1572=""),"",IFERROR(INDEX(SCOPES!$K$5:$K$2000,MATCH(F1572,SCOPES!$A$5:$A$2000,0)),"UNMATCHED"))</f>
        <v/>
      </c>
    </row>
    <row r="1573" ht="21.75" customHeight="1" s="130">
      <c r="J1573" s="107">
        <f>IF(OR(B1573&lt;&gt;"WorkPackage",D1573&lt;&gt;"tracks_scope",E1573&lt;&gt;"Scope",F1573=""),"",IFERROR(INDEX(SCOPES!$K$5:$K$2000,MATCH(F1573,SCOPES!$A$5:$A$2000,0)),"UNMATCHED"))</f>
        <v/>
      </c>
    </row>
    <row r="1574" ht="21.75" customHeight="1" s="130">
      <c r="J1574" s="107">
        <f>IF(OR(B1574&lt;&gt;"WorkPackage",D1574&lt;&gt;"tracks_scope",E1574&lt;&gt;"Scope",F1574=""),"",IFERROR(INDEX(SCOPES!$K$5:$K$2000,MATCH(F1574,SCOPES!$A$5:$A$2000,0)),"UNMATCHED"))</f>
        <v/>
      </c>
    </row>
    <row r="1575" ht="21.75" customHeight="1" s="130">
      <c r="J1575" s="107">
        <f>IF(OR(B1575&lt;&gt;"WorkPackage",D1575&lt;&gt;"tracks_scope",E1575&lt;&gt;"Scope",F1575=""),"",IFERROR(INDEX(SCOPES!$K$5:$K$2000,MATCH(F1575,SCOPES!$A$5:$A$2000,0)),"UNMATCHED"))</f>
        <v/>
      </c>
    </row>
    <row r="1576" ht="21.75" customHeight="1" s="130">
      <c r="J1576" s="107">
        <f>IF(OR(B1576&lt;&gt;"WorkPackage",D1576&lt;&gt;"tracks_scope",E1576&lt;&gt;"Scope",F1576=""),"",IFERROR(INDEX(SCOPES!$K$5:$K$2000,MATCH(F1576,SCOPES!$A$5:$A$2000,0)),"UNMATCHED"))</f>
        <v/>
      </c>
    </row>
    <row r="1577" ht="21.75" customHeight="1" s="130">
      <c r="J1577" s="107">
        <f>IF(OR(B1577&lt;&gt;"WorkPackage",D1577&lt;&gt;"tracks_scope",E1577&lt;&gt;"Scope",F1577=""),"",IFERROR(INDEX(SCOPES!$K$5:$K$2000,MATCH(F1577,SCOPES!$A$5:$A$2000,0)),"UNMATCHED"))</f>
        <v/>
      </c>
    </row>
    <row r="1578" ht="21.75" customHeight="1" s="130">
      <c r="J1578" s="107">
        <f>IF(OR(B1578&lt;&gt;"WorkPackage",D1578&lt;&gt;"tracks_scope",E1578&lt;&gt;"Scope",F1578=""),"",IFERROR(INDEX(SCOPES!$K$5:$K$2000,MATCH(F1578,SCOPES!$A$5:$A$2000,0)),"UNMATCHED"))</f>
        <v/>
      </c>
    </row>
    <row r="1579" ht="21.75" customHeight="1" s="130">
      <c r="J1579" s="107">
        <f>IF(OR(B1579&lt;&gt;"WorkPackage",D1579&lt;&gt;"tracks_scope",E1579&lt;&gt;"Scope",F1579=""),"",IFERROR(INDEX(SCOPES!$K$5:$K$2000,MATCH(F1579,SCOPES!$A$5:$A$2000,0)),"UNMATCHED"))</f>
        <v/>
      </c>
    </row>
    <row r="1580" ht="21.75" customHeight="1" s="130">
      <c r="J1580" s="107">
        <f>IF(OR(B1580&lt;&gt;"WorkPackage",D1580&lt;&gt;"tracks_scope",E1580&lt;&gt;"Scope",F1580=""),"",IFERROR(INDEX(SCOPES!$K$5:$K$2000,MATCH(F1580,SCOPES!$A$5:$A$2000,0)),"UNMATCHED"))</f>
        <v/>
      </c>
    </row>
    <row r="1581" ht="21.75" customHeight="1" s="130">
      <c r="J1581" s="107">
        <f>IF(OR(B1581&lt;&gt;"WorkPackage",D1581&lt;&gt;"tracks_scope",E1581&lt;&gt;"Scope",F1581=""),"",IFERROR(INDEX(SCOPES!$K$5:$K$2000,MATCH(F1581,SCOPES!$A$5:$A$2000,0)),"UNMATCHED"))</f>
        <v/>
      </c>
    </row>
    <row r="1582" ht="21.75" customHeight="1" s="130">
      <c r="J1582" s="107">
        <f>IF(OR(B1582&lt;&gt;"WorkPackage",D1582&lt;&gt;"tracks_scope",E1582&lt;&gt;"Scope",F1582=""),"",IFERROR(INDEX(SCOPES!$K$5:$K$2000,MATCH(F1582,SCOPES!$A$5:$A$2000,0)),"UNMATCHED"))</f>
        <v/>
      </c>
    </row>
    <row r="1583" ht="21.75" customHeight="1" s="130">
      <c r="J1583" s="107">
        <f>IF(OR(B1583&lt;&gt;"WorkPackage",D1583&lt;&gt;"tracks_scope",E1583&lt;&gt;"Scope",F1583=""),"",IFERROR(INDEX(SCOPES!$K$5:$K$2000,MATCH(F1583,SCOPES!$A$5:$A$2000,0)),"UNMATCHED"))</f>
        <v/>
      </c>
    </row>
    <row r="1584" ht="21.75" customHeight="1" s="130">
      <c r="J1584" s="107">
        <f>IF(OR(B1584&lt;&gt;"WorkPackage",D1584&lt;&gt;"tracks_scope",E1584&lt;&gt;"Scope",F1584=""),"",IFERROR(INDEX(SCOPES!$K$5:$K$2000,MATCH(F1584,SCOPES!$A$5:$A$2000,0)),"UNMATCHED"))</f>
        <v/>
      </c>
    </row>
    <row r="1585" ht="21.75" customHeight="1" s="130">
      <c r="J1585" s="107">
        <f>IF(OR(B1585&lt;&gt;"WorkPackage",D1585&lt;&gt;"tracks_scope",E1585&lt;&gt;"Scope",F1585=""),"",IFERROR(INDEX(SCOPES!$K$5:$K$2000,MATCH(F1585,SCOPES!$A$5:$A$2000,0)),"UNMATCHED"))</f>
        <v/>
      </c>
    </row>
    <row r="1586" ht="21.75" customHeight="1" s="130">
      <c r="J1586" s="107">
        <f>IF(OR(B1586&lt;&gt;"WorkPackage",D1586&lt;&gt;"tracks_scope",E1586&lt;&gt;"Scope",F1586=""),"",IFERROR(INDEX(SCOPES!$K$5:$K$2000,MATCH(F1586,SCOPES!$A$5:$A$2000,0)),"UNMATCHED"))</f>
        <v/>
      </c>
    </row>
    <row r="1587" ht="21.75" customHeight="1" s="130">
      <c r="J1587" s="107">
        <f>IF(OR(B1587&lt;&gt;"WorkPackage",D1587&lt;&gt;"tracks_scope",E1587&lt;&gt;"Scope",F1587=""),"",IFERROR(INDEX(SCOPES!$K$5:$K$2000,MATCH(F1587,SCOPES!$A$5:$A$2000,0)),"UNMATCHED"))</f>
        <v/>
      </c>
    </row>
    <row r="1588" ht="21.75" customHeight="1" s="130">
      <c r="J1588" s="107">
        <f>IF(OR(B1588&lt;&gt;"WorkPackage",D1588&lt;&gt;"tracks_scope",E1588&lt;&gt;"Scope",F1588=""),"",IFERROR(INDEX(SCOPES!$K$5:$K$2000,MATCH(F1588,SCOPES!$A$5:$A$2000,0)),"UNMATCHED"))</f>
        <v/>
      </c>
    </row>
    <row r="1589" ht="21.75" customHeight="1" s="130">
      <c r="J1589" s="107">
        <f>IF(OR(B1589&lt;&gt;"WorkPackage",D1589&lt;&gt;"tracks_scope",E1589&lt;&gt;"Scope",F1589=""),"",IFERROR(INDEX(SCOPES!$K$5:$K$2000,MATCH(F1589,SCOPES!$A$5:$A$2000,0)),"UNMATCHED"))</f>
        <v/>
      </c>
    </row>
    <row r="1590" ht="21.75" customHeight="1" s="130">
      <c r="J1590" s="107">
        <f>IF(OR(B1590&lt;&gt;"WorkPackage",D1590&lt;&gt;"tracks_scope",E1590&lt;&gt;"Scope",F1590=""),"",IFERROR(INDEX(SCOPES!$K$5:$K$2000,MATCH(F1590,SCOPES!$A$5:$A$2000,0)),"UNMATCHED"))</f>
        <v/>
      </c>
    </row>
    <row r="1591" ht="21.75" customHeight="1" s="130">
      <c r="J1591" s="107">
        <f>IF(OR(B1591&lt;&gt;"WorkPackage",D1591&lt;&gt;"tracks_scope",E1591&lt;&gt;"Scope",F1591=""),"",IFERROR(INDEX(SCOPES!$K$5:$K$2000,MATCH(F1591,SCOPES!$A$5:$A$2000,0)),"UNMATCHED"))</f>
        <v/>
      </c>
    </row>
    <row r="1592" ht="21.75" customHeight="1" s="130">
      <c r="J1592" s="107">
        <f>IF(OR(B1592&lt;&gt;"WorkPackage",D1592&lt;&gt;"tracks_scope",E1592&lt;&gt;"Scope",F1592=""),"",IFERROR(INDEX(SCOPES!$K$5:$K$2000,MATCH(F1592,SCOPES!$A$5:$A$2000,0)),"UNMATCHED"))</f>
        <v/>
      </c>
    </row>
    <row r="1593" ht="21.75" customHeight="1" s="130">
      <c r="J1593" s="107">
        <f>IF(OR(B1593&lt;&gt;"WorkPackage",D1593&lt;&gt;"tracks_scope",E1593&lt;&gt;"Scope",F1593=""),"",IFERROR(INDEX(SCOPES!$K$5:$K$2000,MATCH(F1593,SCOPES!$A$5:$A$2000,0)),"UNMATCHED"))</f>
        <v/>
      </c>
    </row>
    <row r="1594" ht="21.75" customHeight="1" s="130">
      <c r="J1594" s="107">
        <f>IF(OR(B1594&lt;&gt;"WorkPackage",D1594&lt;&gt;"tracks_scope",E1594&lt;&gt;"Scope",F1594=""),"",IFERROR(INDEX(SCOPES!$K$5:$K$2000,MATCH(F1594,SCOPES!$A$5:$A$2000,0)),"UNMATCHED"))</f>
        <v/>
      </c>
    </row>
    <row r="1595" ht="21.75" customHeight="1" s="130">
      <c r="J1595" s="107">
        <f>IF(OR(B1595&lt;&gt;"WorkPackage",D1595&lt;&gt;"tracks_scope",E1595&lt;&gt;"Scope",F1595=""),"",IFERROR(INDEX(SCOPES!$K$5:$K$2000,MATCH(F1595,SCOPES!$A$5:$A$2000,0)),"UNMATCHED"))</f>
        <v/>
      </c>
    </row>
    <row r="1596" ht="21.75" customHeight="1" s="130">
      <c r="J1596" s="107">
        <f>IF(OR(B1596&lt;&gt;"WorkPackage",D1596&lt;&gt;"tracks_scope",E1596&lt;&gt;"Scope",F1596=""),"",IFERROR(INDEX(SCOPES!$K$5:$K$2000,MATCH(F1596,SCOPES!$A$5:$A$2000,0)),"UNMATCHED"))</f>
        <v/>
      </c>
    </row>
    <row r="1597" ht="21.75" customHeight="1" s="130">
      <c r="J1597" s="107">
        <f>IF(OR(B1597&lt;&gt;"WorkPackage",D1597&lt;&gt;"tracks_scope",E1597&lt;&gt;"Scope",F1597=""),"",IFERROR(INDEX(SCOPES!$K$5:$K$2000,MATCH(F1597,SCOPES!$A$5:$A$2000,0)),"UNMATCHED"))</f>
        <v/>
      </c>
    </row>
    <row r="1598" ht="21.75" customHeight="1" s="130">
      <c r="J1598" s="107">
        <f>IF(OR(B1598&lt;&gt;"WorkPackage",D1598&lt;&gt;"tracks_scope",E1598&lt;&gt;"Scope",F1598=""),"",IFERROR(INDEX(SCOPES!$K$5:$K$2000,MATCH(F1598,SCOPES!$A$5:$A$2000,0)),"UNMATCHED"))</f>
        <v/>
      </c>
    </row>
    <row r="1599" ht="21.75" customHeight="1" s="130">
      <c r="J1599" s="107">
        <f>IF(OR(B1599&lt;&gt;"WorkPackage",D1599&lt;&gt;"tracks_scope",E1599&lt;&gt;"Scope",F1599=""),"",IFERROR(INDEX(SCOPES!$K$5:$K$2000,MATCH(F1599,SCOPES!$A$5:$A$2000,0)),"UNMATCHED"))</f>
        <v/>
      </c>
    </row>
    <row r="1600" ht="21.75" customHeight="1" s="130">
      <c r="J1600" s="107">
        <f>IF(OR(B1600&lt;&gt;"WorkPackage",D1600&lt;&gt;"tracks_scope",E1600&lt;&gt;"Scope",F1600=""),"",IFERROR(INDEX(SCOPES!$K$5:$K$2000,MATCH(F1600,SCOPES!$A$5:$A$2000,0)),"UNMATCHED"))</f>
        <v/>
      </c>
    </row>
    <row r="1601" ht="21.75" customHeight="1" s="130">
      <c r="J1601" s="107">
        <f>IF(OR(B1601&lt;&gt;"WorkPackage",D1601&lt;&gt;"tracks_scope",E1601&lt;&gt;"Scope",F1601=""),"",IFERROR(INDEX(SCOPES!$K$5:$K$2000,MATCH(F1601,SCOPES!$A$5:$A$2000,0)),"UNMATCHED"))</f>
        <v/>
      </c>
    </row>
    <row r="1602" ht="21.75" customHeight="1" s="130">
      <c r="J1602" s="107">
        <f>IF(OR(B1602&lt;&gt;"WorkPackage",D1602&lt;&gt;"tracks_scope",E1602&lt;&gt;"Scope",F1602=""),"",IFERROR(INDEX(SCOPES!$K$5:$K$2000,MATCH(F1602,SCOPES!$A$5:$A$2000,0)),"UNMATCHED"))</f>
        <v/>
      </c>
    </row>
    <row r="1603" ht="21.75" customHeight="1" s="130">
      <c r="J1603" s="107">
        <f>IF(OR(B1603&lt;&gt;"WorkPackage",D1603&lt;&gt;"tracks_scope",E1603&lt;&gt;"Scope",F1603=""),"",IFERROR(INDEX(SCOPES!$K$5:$K$2000,MATCH(F1603,SCOPES!$A$5:$A$2000,0)),"UNMATCHED"))</f>
        <v/>
      </c>
    </row>
    <row r="1604" ht="21.75" customHeight="1" s="130">
      <c r="J1604" s="107">
        <f>IF(OR(B1604&lt;&gt;"WorkPackage",D1604&lt;&gt;"tracks_scope",E1604&lt;&gt;"Scope",F1604=""),"",IFERROR(INDEX(SCOPES!$K$5:$K$2000,MATCH(F1604,SCOPES!$A$5:$A$2000,0)),"UNMATCHED"))</f>
        <v/>
      </c>
    </row>
    <row r="1605" ht="21.75" customHeight="1" s="130">
      <c r="J1605" s="107">
        <f>IF(OR(B1605&lt;&gt;"WorkPackage",D1605&lt;&gt;"tracks_scope",E1605&lt;&gt;"Scope",F1605=""),"",IFERROR(INDEX(SCOPES!$K$5:$K$2000,MATCH(F1605,SCOPES!$A$5:$A$2000,0)),"UNMATCHED"))</f>
        <v/>
      </c>
    </row>
    <row r="1606" ht="21.75" customHeight="1" s="130">
      <c r="J1606" s="107">
        <f>IF(OR(B1606&lt;&gt;"WorkPackage",D1606&lt;&gt;"tracks_scope",E1606&lt;&gt;"Scope",F1606=""),"",IFERROR(INDEX(SCOPES!$K$5:$K$2000,MATCH(F1606,SCOPES!$A$5:$A$2000,0)),"UNMATCHED"))</f>
        <v/>
      </c>
    </row>
    <row r="1607" ht="21.75" customHeight="1" s="130">
      <c r="J1607" s="107">
        <f>IF(OR(B1607&lt;&gt;"WorkPackage",D1607&lt;&gt;"tracks_scope",E1607&lt;&gt;"Scope",F1607=""),"",IFERROR(INDEX(SCOPES!$K$5:$K$2000,MATCH(F1607,SCOPES!$A$5:$A$2000,0)),"UNMATCHED"))</f>
        <v/>
      </c>
    </row>
    <row r="1608" ht="21.75" customHeight="1" s="130">
      <c r="J1608" s="107">
        <f>IF(OR(B1608&lt;&gt;"WorkPackage",D1608&lt;&gt;"tracks_scope",E1608&lt;&gt;"Scope",F1608=""),"",IFERROR(INDEX(SCOPES!$K$5:$K$2000,MATCH(F1608,SCOPES!$A$5:$A$2000,0)),"UNMATCHED"))</f>
        <v/>
      </c>
    </row>
    <row r="1609" ht="21.75" customHeight="1" s="130">
      <c r="J1609" s="107">
        <f>IF(OR(B1609&lt;&gt;"WorkPackage",D1609&lt;&gt;"tracks_scope",E1609&lt;&gt;"Scope",F1609=""),"",IFERROR(INDEX(SCOPES!$K$5:$K$2000,MATCH(F1609,SCOPES!$A$5:$A$2000,0)),"UNMATCHED"))</f>
        <v/>
      </c>
    </row>
    <row r="1610" ht="21.75" customHeight="1" s="130">
      <c r="J1610" s="107">
        <f>IF(OR(B1610&lt;&gt;"WorkPackage",D1610&lt;&gt;"tracks_scope",E1610&lt;&gt;"Scope",F1610=""),"",IFERROR(INDEX(SCOPES!$K$5:$K$2000,MATCH(F1610,SCOPES!$A$5:$A$2000,0)),"UNMATCHED"))</f>
        <v/>
      </c>
    </row>
    <row r="1611" ht="21.75" customHeight="1" s="130">
      <c r="J1611" s="107">
        <f>IF(OR(B1611&lt;&gt;"WorkPackage",D1611&lt;&gt;"tracks_scope",E1611&lt;&gt;"Scope",F1611=""),"",IFERROR(INDEX(SCOPES!$K$5:$K$2000,MATCH(F1611,SCOPES!$A$5:$A$2000,0)),"UNMATCHED"))</f>
        <v/>
      </c>
    </row>
    <row r="1612" ht="21.75" customHeight="1" s="130">
      <c r="J1612" s="107">
        <f>IF(OR(B1612&lt;&gt;"WorkPackage",D1612&lt;&gt;"tracks_scope",E1612&lt;&gt;"Scope",F1612=""),"",IFERROR(INDEX(SCOPES!$K$5:$K$2000,MATCH(F1612,SCOPES!$A$5:$A$2000,0)),"UNMATCHED"))</f>
        <v/>
      </c>
    </row>
    <row r="1613" ht="21.75" customHeight="1" s="130">
      <c r="J1613" s="107">
        <f>IF(OR(B1613&lt;&gt;"WorkPackage",D1613&lt;&gt;"tracks_scope",E1613&lt;&gt;"Scope",F1613=""),"",IFERROR(INDEX(SCOPES!$K$5:$K$2000,MATCH(F1613,SCOPES!$A$5:$A$2000,0)),"UNMATCHED"))</f>
        <v/>
      </c>
    </row>
    <row r="1614" ht="21.75" customHeight="1" s="130">
      <c r="J1614" s="107">
        <f>IF(OR(B1614&lt;&gt;"WorkPackage",D1614&lt;&gt;"tracks_scope",E1614&lt;&gt;"Scope",F1614=""),"",IFERROR(INDEX(SCOPES!$K$5:$K$2000,MATCH(F1614,SCOPES!$A$5:$A$2000,0)),"UNMATCHED"))</f>
        <v/>
      </c>
    </row>
    <row r="1615" ht="21.75" customHeight="1" s="130">
      <c r="J1615" s="107">
        <f>IF(OR(B1615&lt;&gt;"WorkPackage",D1615&lt;&gt;"tracks_scope",E1615&lt;&gt;"Scope",F1615=""),"",IFERROR(INDEX(SCOPES!$K$5:$K$2000,MATCH(F1615,SCOPES!$A$5:$A$2000,0)),"UNMATCHED"))</f>
        <v/>
      </c>
    </row>
    <row r="1616" ht="21.75" customHeight="1" s="130">
      <c r="J1616" s="107">
        <f>IF(OR(B1616&lt;&gt;"WorkPackage",D1616&lt;&gt;"tracks_scope",E1616&lt;&gt;"Scope",F1616=""),"",IFERROR(INDEX(SCOPES!$K$5:$K$2000,MATCH(F1616,SCOPES!$A$5:$A$2000,0)),"UNMATCHED"))</f>
        <v/>
      </c>
    </row>
    <row r="1617" ht="21.75" customHeight="1" s="130">
      <c r="J1617" s="107">
        <f>IF(OR(B1617&lt;&gt;"WorkPackage",D1617&lt;&gt;"tracks_scope",E1617&lt;&gt;"Scope",F1617=""),"",IFERROR(INDEX(SCOPES!$K$5:$K$2000,MATCH(F1617,SCOPES!$A$5:$A$2000,0)),"UNMATCHED"))</f>
        <v/>
      </c>
    </row>
    <row r="1618" ht="21.75" customHeight="1" s="130">
      <c r="J1618" s="107">
        <f>IF(OR(B1618&lt;&gt;"WorkPackage",D1618&lt;&gt;"tracks_scope",E1618&lt;&gt;"Scope",F1618=""),"",IFERROR(INDEX(SCOPES!$K$5:$K$2000,MATCH(F1618,SCOPES!$A$5:$A$2000,0)),"UNMATCHED"))</f>
        <v/>
      </c>
    </row>
    <row r="1619" ht="21.75" customHeight="1" s="130">
      <c r="J1619" s="107">
        <f>IF(OR(B1619&lt;&gt;"WorkPackage",D1619&lt;&gt;"tracks_scope",E1619&lt;&gt;"Scope",F1619=""),"",IFERROR(INDEX(SCOPES!$K$5:$K$2000,MATCH(F1619,SCOPES!$A$5:$A$2000,0)),"UNMATCHED"))</f>
        <v/>
      </c>
    </row>
    <row r="1620" ht="21.75" customHeight="1" s="130">
      <c r="J1620" s="107">
        <f>IF(OR(B1620&lt;&gt;"WorkPackage",D1620&lt;&gt;"tracks_scope",E1620&lt;&gt;"Scope",F1620=""),"",IFERROR(INDEX(SCOPES!$K$5:$K$2000,MATCH(F1620,SCOPES!$A$5:$A$2000,0)),"UNMATCHED"))</f>
        <v/>
      </c>
    </row>
    <row r="1621" ht="21.75" customHeight="1" s="130">
      <c r="J1621" s="107">
        <f>IF(OR(B1621&lt;&gt;"WorkPackage",D1621&lt;&gt;"tracks_scope",E1621&lt;&gt;"Scope",F1621=""),"",IFERROR(INDEX(SCOPES!$K$5:$K$2000,MATCH(F1621,SCOPES!$A$5:$A$2000,0)),"UNMATCHED"))</f>
        <v/>
      </c>
    </row>
    <row r="1622" ht="21.75" customHeight="1" s="130">
      <c r="J1622" s="107">
        <f>IF(OR(B1622&lt;&gt;"WorkPackage",D1622&lt;&gt;"tracks_scope",E1622&lt;&gt;"Scope",F1622=""),"",IFERROR(INDEX(SCOPES!$K$5:$K$2000,MATCH(F1622,SCOPES!$A$5:$A$2000,0)),"UNMATCHED"))</f>
        <v/>
      </c>
    </row>
    <row r="1623" ht="21.75" customHeight="1" s="130">
      <c r="J1623" s="107">
        <f>IF(OR(B1623&lt;&gt;"WorkPackage",D1623&lt;&gt;"tracks_scope",E1623&lt;&gt;"Scope",F1623=""),"",IFERROR(INDEX(SCOPES!$K$5:$K$2000,MATCH(F1623,SCOPES!$A$5:$A$2000,0)),"UNMATCHED"))</f>
        <v/>
      </c>
    </row>
    <row r="1624" ht="21.75" customHeight="1" s="130">
      <c r="J1624" s="107">
        <f>IF(OR(B1624&lt;&gt;"WorkPackage",D1624&lt;&gt;"tracks_scope",E1624&lt;&gt;"Scope",F1624=""),"",IFERROR(INDEX(SCOPES!$K$5:$K$2000,MATCH(F1624,SCOPES!$A$5:$A$2000,0)),"UNMATCHED"))</f>
        <v/>
      </c>
    </row>
    <row r="1625" ht="21.75" customHeight="1" s="130">
      <c r="J1625" s="107">
        <f>IF(OR(B1625&lt;&gt;"WorkPackage",D1625&lt;&gt;"tracks_scope",E1625&lt;&gt;"Scope",F1625=""),"",IFERROR(INDEX(SCOPES!$K$5:$K$2000,MATCH(F1625,SCOPES!$A$5:$A$2000,0)),"UNMATCHED"))</f>
        <v/>
      </c>
    </row>
    <row r="1626" ht="21.75" customHeight="1" s="130">
      <c r="J1626" s="107">
        <f>IF(OR(B1626&lt;&gt;"WorkPackage",D1626&lt;&gt;"tracks_scope",E1626&lt;&gt;"Scope",F1626=""),"",IFERROR(INDEX(SCOPES!$K$5:$K$2000,MATCH(F1626,SCOPES!$A$5:$A$2000,0)),"UNMATCHED"))</f>
        <v/>
      </c>
    </row>
    <row r="1627" ht="21.75" customHeight="1" s="130">
      <c r="J1627" s="107">
        <f>IF(OR(B1627&lt;&gt;"WorkPackage",D1627&lt;&gt;"tracks_scope",E1627&lt;&gt;"Scope",F1627=""),"",IFERROR(INDEX(SCOPES!$K$5:$K$2000,MATCH(F1627,SCOPES!$A$5:$A$2000,0)),"UNMATCHED"))</f>
        <v/>
      </c>
    </row>
    <row r="1628" ht="21.75" customHeight="1" s="130">
      <c r="J1628" s="107">
        <f>IF(OR(B1628&lt;&gt;"WorkPackage",D1628&lt;&gt;"tracks_scope",E1628&lt;&gt;"Scope",F1628=""),"",IFERROR(INDEX(SCOPES!$K$5:$K$2000,MATCH(F1628,SCOPES!$A$5:$A$2000,0)),"UNMATCHED"))</f>
        <v/>
      </c>
    </row>
    <row r="1629" ht="21.75" customHeight="1" s="130">
      <c r="J1629" s="107">
        <f>IF(OR(B1629&lt;&gt;"WorkPackage",D1629&lt;&gt;"tracks_scope",E1629&lt;&gt;"Scope",F1629=""),"",IFERROR(INDEX(SCOPES!$K$5:$K$2000,MATCH(F1629,SCOPES!$A$5:$A$2000,0)),"UNMATCHED"))</f>
        <v/>
      </c>
    </row>
    <row r="1630" ht="21.75" customHeight="1" s="130">
      <c r="J1630" s="107">
        <f>IF(OR(B1630&lt;&gt;"WorkPackage",D1630&lt;&gt;"tracks_scope",E1630&lt;&gt;"Scope",F1630=""),"",IFERROR(INDEX(SCOPES!$K$5:$K$2000,MATCH(F1630,SCOPES!$A$5:$A$2000,0)),"UNMATCHED"))</f>
        <v/>
      </c>
    </row>
    <row r="1631" ht="21.75" customHeight="1" s="130">
      <c r="J1631" s="107">
        <f>IF(OR(B1631&lt;&gt;"WorkPackage",D1631&lt;&gt;"tracks_scope",E1631&lt;&gt;"Scope",F1631=""),"",IFERROR(INDEX(SCOPES!$K$5:$K$2000,MATCH(F1631,SCOPES!$A$5:$A$2000,0)),"UNMATCHED"))</f>
        <v/>
      </c>
    </row>
    <row r="1632" ht="21.75" customHeight="1" s="130">
      <c r="J1632" s="107">
        <f>IF(OR(B1632&lt;&gt;"WorkPackage",D1632&lt;&gt;"tracks_scope",E1632&lt;&gt;"Scope",F1632=""),"",IFERROR(INDEX(SCOPES!$K$5:$K$2000,MATCH(F1632,SCOPES!$A$5:$A$2000,0)),"UNMATCHED"))</f>
        <v/>
      </c>
    </row>
    <row r="1633" ht="21.75" customHeight="1" s="130">
      <c r="J1633" s="107">
        <f>IF(OR(B1633&lt;&gt;"WorkPackage",D1633&lt;&gt;"tracks_scope",E1633&lt;&gt;"Scope",F1633=""),"",IFERROR(INDEX(SCOPES!$K$5:$K$2000,MATCH(F1633,SCOPES!$A$5:$A$2000,0)),"UNMATCHED"))</f>
        <v/>
      </c>
    </row>
    <row r="1634" ht="21.75" customHeight="1" s="130">
      <c r="J1634" s="107">
        <f>IF(OR(B1634&lt;&gt;"WorkPackage",D1634&lt;&gt;"tracks_scope",E1634&lt;&gt;"Scope",F1634=""),"",IFERROR(INDEX(SCOPES!$K$5:$K$2000,MATCH(F1634,SCOPES!$A$5:$A$2000,0)),"UNMATCHED"))</f>
        <v/>
      </c>
    </row>
    <row r="1635" ht="21.75" customHeight="1" s="130">
      <c r="J1635" s="107">
        <f>IF(OR(B1635&lt;&gt;"WorkPackage",D1635&lt;&gt;"tracks_scope",E1635&lt;&gt;"Scope",F1635=""),"",IFERROR(INDEX(SCOPES!$K$5:$K$2000,MATCH(F1635,SCOPES!$A$5:$A$2000,0)),"UNMATCHED"))</f>
        <v/>
      </c>
    </row>
    <row r="1636" ht="21.75" customHeight="1" s="130">
      <c r="J1636" s="107">
        <f>IF(OR(B1636&lt;&gt;"WorkPackage",D1636&lt;&gt;"tracks_scope",E1636&lt;&gt;"Scope",F1636=""),"",IFERROR(INDEX(SCOPES!$K$5:$K$2000,MATCH(F1636,SCOPES!$A$5:$A$2000,0)),"UNMATCHED"))</f>
        <v/>
      </c>
    </row>
    <row r="1637" ht="21.75" customHeight="1" s="130">
      <c r="J1637" s="107">
        <f>IF(OR(B1637&lt;&gt;"WorkPackage",D1637&lt;&gt;"tracks_scope",E1637&lt;&gt;"Scope",F1637=""),"",IFERROR(INDEX(SCOPES!$K$5:$K$2000,MATCH(F1637,SCOPES!$A$5:$A$2000,0)),"UNMATCHED"))</f>
        <v/>
      </c>
    </row>
    <row r="1638" ht="21.75" customHeight="1" s="130">
      <c r="J1638" s="107">
        <f>IF(OR(B1638&lt;&gt;"WorkPackage",D1638&lt;&gt;"tracks_scope",E1638&lt;&gt;"Scope",F1638=""),"",IFERROR(INDEX(SCOPES!$K$5:$K$2000,MATCH(F1638,SCOPES!$A$5:$A$2000,0)),"UNMATCHED"))</f>
        <v/>
      </c>
    </row>
    <row r="1639" ht="21.75" customHeight="1" s="130">
      <c r="J1639" s="107">
        <f>IF(OR(B1639&lt;&gt;"WorkPackage",D1639&lt;&gt;"tracks_scope",E1639&lt;&gt;"Scope",F1639=""),"",IFERROR(INDEX(SCOPES!$K$5:$K$2000,MATCH(F1639,SCOPES!$A$5:$A$2000,0)),"UNMATCHED"))</f>
        <v/>
      </c>
    </row>
    <row r="1640" ht="21.75" customHeight="1" s="130">
      <c r="J1640" s="107">
        <f>IF(OR(B1640&lt;&gt;"WorkPackage",D1640&lt;&gt;"tracks_scope",E1640&lt;&gt;"Scope",F1640=""),"",IFERROR(INDEX(SCOPES!$K$5:$K$2000,MATCH(F1640,SCOPES!$A$5:$A$2000,0)),"UNMATCHED"))</f>
        <v/>
      </c>
    </row>
    <row r="1641" ht="21.75" customHeight="1" s="130">
      <c r="J1641" s="107">
        <f>IF(OR(B1641&lt;&gt;"WorkPackage",D1641&lt;&gt;"tracks_scope",E1641&lt;&gt;"Scope",F1641=""),"",IFERROR(INDEX(SCOPES!$K$5:$K$2000,MATCH(F1641,SCOPES!$A$5:$A$2000,0)),"UNMATCHED"))</f>
        <v/>
      </c>
    </row>
    <row r="1642" ht="21.75" customHeight="1" s="130">
      <c r="J1642" s="107">
        <f>IF(OR(B1642&lt;&gt;"WorkPackage",D1642&lt;&gt;"tracks_scope",E1642&lt;&gt;"Scope",F1642=""),"",IFERROR(INDEX(SCOPES!$K$5:$K$2000,MATCH(F1642,SCOPES!$A$5:$A$2000,0)),"UNMATCHED"))</f>
        <v/>
      </c>
    </row>
    <row r="1643" ht="21.75" customHeight="1" s="130">
      <c r="J1643" s="107">
        <f>IF(OR(B1643&lt;&gt;"WorkPackage",D1643&lt;&gt;"tracks_scope",E1643&lt;&gt;"Scope",F1643=""),"",IFERROR(INDEX(SCOPES!$K$5:$K$2000,MATCH(F1643,SCOPES!$A$5:$A$2000,0)),"UNMATCHED"))</f>
        <v/>
      </c>
    </row>
    <row r="1644" ht="21.75" customHeight="1" s="130">
      <c r="J1644" s="107">
        <f>IF(OR(B1644&lt;&gt;"WorkPackage",D1644&lt;&gt;"tracks_scope",E1644&lt;&gt;"Scope",F1644=""),"",IFERROR(INDEX(SCOPES!$K$5:$K$2000,MATCH(F1644,SCOPES!$A$5:$A$2000,0)),"UNMATCHED"))</f>
        <v/>
      </c>
    </row>
    <row r="1645" ht="21.75" customHeight="1" s="130">
      <c r="J1645" s="107">
        <f>IF(OR(B1645&lt;&gt;"WorkPackage",D1645&lt;&gt;"tracks_scope",E1645&lt;&gt;"Scope",F1645=""),"",IFERROR(INDEX(SCOPES!$K$5:$K$2000,MATCH(F1645,SCOPES!$A$5:$A$2000,0)),"UNMATCHED"))</f>
        <v/>
      </c>
    </row>
    <row r="1646" ht="21.75" customHeight="1" s="130">
      <c r="J1646" s="107">
        <f>IF(OR(B1646&lt;&gt;"WorkPackage",D1646&lt;&gt;"tracks_scope",E1646&lt;&gt;"Scope",F1646=""),"",IFERROR(INDEX(SCOPES!$K$5:$K$2000,MATCH(F1646,SCOPES!$A$5:$A$2000,0)),"UNMATCHED"))</f>
        <v/>
      </c>
    </row>
    <row r="1647" ht="21.75" customHeight="1" s="130">
      <c r="J1647" s="107">
        <f>IF(OR(B1647&lt;&gt;"WorkPackage",D1647&lt;&gt;"tracks_scope",E1647&lt;&gt;"Scope",F1647=""),"",IFERROR(INDEX(SCOPES!$K$5:$K$2000,MATCH(F1647,SCOPES!$A$5:$A$2000,0)),"UNMATCHED"))</f>
        <v/>
      </c>
    </row>
    <row r="1648" ht="21.75" customHeight="1" s="130">
      <c r="J1648" s="107">
        <f>IF(OR(B1648&lt;&gt;"WorkPackage",D1648&lt;&gt;"tracks_scope",E1648&lt;&gt;"Scope",F1648=""),"",IFERROR(INDEX(SCOPES!$K$5:$K$2000,MATCH(F1648,SCOPES!$A$5:$A$2000,0)),"UNMATCHED"))</f>
        <v/>
      </c>
    </row>
    <row r="1649" ht="21.75" customHeight="1" s="130">
      <c r="J1649" s="107">
        <f>IF(OR(B1649&lt;&gt;"WorkPackage",D1649&lt;&gt;"tracks_scope",E1649&lt;&gt;"Scope",F1649=""),"",IFERROR(INDEX(SCOPES!$K$5:$K$2000,MATCH(F1649,SCOPES!$A$5:$A$2000,0)),"UNMATCHED"))</f>
        <v/>
      </c>
    </row>
    <row r="1650" ht="21.75" customHeight="1" s="130">
      <c r="J1650" s="107">
        <f>IF(OR(B1650&lt;&gt;"WorkPackage",D1650&lt;&gt;"tracks_scope",E1650&lt;&gt;"Scope",F1650=""),"",IFERROR(INDEX(SCOPES!$K$5:$K$2000,MATCH(F1650,SCOPES!$A$5:$A$2000,0)),"UNMATCHED"))</f>
        <v/>
      </c>
    </row>
    <row r="1651" ht="21.75" customHeight="1" s="130">
      <c r="J1651" s="107">
        <f>IF(OR(B1651&lt;&gt;"WorkPackage",D1651&lt;&gt;"tracks_scope",E1651&lt;&gt;"Scope",F1651=""),"",IFERROR(INDEX(SCOPES!$K$5:$K$2000,MATCH(F1651,SCOPES!$A$5:$A$2000,0)),"UNMATCHED"))</f>
        <v/>
      </c>
    </row>
    <row r="1652" ht="21.75" customHeight="1" s="130">
      <c r="J1652" s="107">
        <f>IF(OR(B1652&lt;&gt;"WorkPackage",D1652&lt;&gt;"tracks_scope",E1652&lt;&gt;"Scope",F1652=""),"",IFERROR(INDEX(SCOPES!$K$5:$K$2000,MATCH(F1652,SCOPES!$A$5:$A$2000,0)),"UNMATCHED"))</f>
        <v/>
      </c>
    </row>
    <row r="1653" ht="21.75" customHeight="1" s="130">
      <c r="J1653" s="107">
        <f>IF(OR(B1653&lt;&gt;"WorkPackage",D1653&lt;&gt;"tracks_scope",E1653&lt;&gt;"Scope",F1653=""),"",IFERROR(INDEX(SCOPES!$K$5:$K$2000,MATCH(F1653,SCOPES!$A$5:$A$2000,0)),"UNMATCHED"))</f>
        <v/>
      </c>
    </row>
    <row r="1654" ht="21.75" customHeight="1" s="130">
      <c r="J1654" s="107">
        <f>IF(OR(B1654&lt;&gt;"WorkPackage",D1654&lt;&gt;"tracks_scope",E1654&lt;&gt;"Scope",F1654=""),"",IFERROR(INDEX(SCOPES!$K$5:$K$2000,MATCH(F1654,SCOPES!$A$5:$A$2000,0)),"UNMATCHED"))</f>
        <v/>
      </c>
    </row>
    <row r="1655" ht="21.75" customHeight="1" s="130">
      <c r="J1655" s="107">
        <f>IF(OR(B1655&lt;&gt;"WorkPackage",D1655&lt;&gt;"tracks_scope",E1655&lt;&gt;"Scope",F1655=""),"",IFERROR(INDEX(SCOPES!$K$5:$K$2000,MATCH(F1655,SCOPES!$A$5:$A$2000,0)),"UNMATCHED"))</f>
        <v/>
      </c>
    </row>
    <row r="1656" ht="21.75" customHeight="1" s="130">
      <c r="J1656" s="107">
        <f>IF(OR(B1656&lt;&gt;"WorkPackage",D1656&lt;&gt;"tracks_scope",E1656&lt;&gt;"Scope",F1656=""),"",IFERROR(INDEX(SCOPES!$K$5:$K$2000,MATCH(F1656,SCOPES!$A$5:$A$2000,0)),"UNMATCHED"))</f>
        <v/>
      </c>
    </row>
    <row r="1657" ht="21.75" customHeight="1" s="130">
      <c r="J1657" s="107">
        <f>IF(OR(B1657&lt;&gt;"WorkPackage",D1657&lt;&gt;"tracks_scope",E1657&lt;&gt;"Scope",F1657=""),"",IFERROR(INDEX(SCOPES!$K$5:$K$2000,MATCH(F1657,SCOPES!$A$5:$A$2000,0)),"UNMATCHED"))</f>
        <v/>
      </c>
    </row>
    <row r="1658" ht="21.75" customHeight="1" s="130">
      <c r="J1658" s="107">
        <f>IF(OR(B1658&lt;&gt;"WorkPackage",D1658&lt;&gt;"tracks_scope",E1658&lt;&gt;"Scope",F1658=""),"",IFERROR(INDEX(SCOPES!$K$5:$K$2000,MATCH(F1658,SCOPES!$A$5:$A$2000,0)),"UNMATCHED"))</f>
        <v/>
      </c>
    </row>
    <row r="1659" ht="21.75" customHeight="1" s="130">
      <c r="J1659" s="107">
        <f>IF(OR(B1659&lt;&gt;"WorkPackage",D1659&lt;&gt;"tracks_scope",E1659&lt;&gt;"Scope",F1659=""),"",IFERROR(INDEX(SCOPES!$K$5:$K$2000,MATCH(F1659,SCOPES!$A$5:$A$2000,0)),"UNMATCHED"))</f>
        <v/>
      </c>
    </row>
    <row r="1660" ht="21.75" customHeight="1" s="130">
      <c r="J1660" s="107">
        <f>IF(OR(B1660&lt;&gt;"WorkPackage",D1660&lt;&gt;"tracks_scope",E1660&lt;&gt;"Scope",F1660=""),"",IFERROR(INDEX(SCOPES!$K$5:$K$2000,MATCH(F1660,SCOPES!$A$5:$A$2000,0)),"UNMATCHED"))</f>
        <v/>
      </c>
    </row>
    <row r="1661" ht="21.75" customHeight="1" s="130">
      <c r="J1661" s="107">
        <f>IF(OR(B1661&lt;&gt;"WorkPackage",D1661&lt;&gt;"tracks_scope",E1661&lt;&gt;"Scope",F1661=""),"",IFERROR(INDEX(SCOPES!$K$5:$K$2000,MATCH(F1661,SCOPES!$A$5:$A$2000,0)),"UNMATCHED"))</f>
        <v/>
      </c>
    </row>
    <row r="1662" ht="21.75" customHeight="1" s="130">
      <c r="J1662" s="107">
        <f>IF(OR(B1662&lt;&gt;"WorkPackage",D1662&lt;&gt;"tracks_scope",E1662&lt;&gt;"Scope",F1662=""),"",IFERROR(INDEX(SCOPES!$K$5:$K$2000,MATCH(F1662,SCOPES!$A$5:$A$2000,0)),"UNMATCHED"))</f>
        <v/>
      </c>
    </row>
    <row r="1663" ht="21.75" customHeight="1" s="130">
      <c r="J1663" s="107">
        <f>IF(OR(B1663&lt;&gt;"WorkPackage",D1663&lt;&gt;"tracks_scope",E1663&lt;&gt;"Scope",F1663=""),"",IFERROR(INDEX(SCOPES!$K$5:$K$2000,MATCH(F1663,SCOPES!$A$5:$A$2000,0)),"UNMATCHED"))</f>
        <v/>
      </c>
    </row>
    <row r="1664" ht="21.75" customHeight="1" s="130">
      <c r="J1664" s="107">
        <f>IF(OR(B1664&lt;&gt;"WorkPackage",D1664&lt;&gt;"tracks_scope",E1664&lt;&gt;"Scope",F1664=""),"",IFERROR(INDEX(SCOPES!$K$5:$K$2000,MATCH(F1664,SCOPES!$A$5:$A$2000,0)),"UNMATCHED"))</f>
        <v/>
      </c>
    </row>
    <row r="1665" ht="21.75" customHeight="1" s="130">
      <c r="J1665" s="107">
        <f>IF(OR(B1665&lt;&gt;"WorkPackage",D1665&lt;&gt;"tracks_scope",E1665&lt;&gt;"Scope",F1665=""),"",IFERROR(INDEX(SCOPES!$K$5:$K$2000,MATCH(F1665,SCOPES!$A$5:$A$2000,0)),"UNMATCHED"))</f>
        <v/>
      </c>
    </row>
    <row r="1666" ht="21.75" customHeight="1" s="130">
      <c r="J1666" s="107">
        <f>IF(OR(B1666&lt;&gt;"WorkPackage",D1666&lt;&gt;"tracks_scope",E1666&lt;&gt;"Scope",F1666=""),"",IFERROR(INDEX(SCOPES!$K$5:$K$2000,MATCH(F1666,SCOPES!$A$5:$A$2000,0)),"UNMATCHED"))</f>
        <v/>
      </c>
    </row>
    <row r="1667" ht="21.75" customHeight="1" s="130">
      <c r="J1667" s="107">
        <f>IF(OR(B1667&lt;&gt;"WorkPackage",D1667&lt;&gt;"tracks_scope",E1667&lt;&gt;"Scope",F1667=""),"",IFERROR(INDEX(SCOPES!$K$5:$K$2000,MATCH(F1667,SCOPES!$A$5:$A$2000,0)),"UNMATCHED"))</f>
        <v/>
      </c>
    </row>
    <row r="1668" ht="21.75" customHeight="1" s="130">
      <c r="J1668" s="107">
        <f>IF(OR(B1668&lt;&gt;"WorkPackage",D1668&lt;&gt;"tracks_scope",E1668&lt;&gt;"Scope",F1668=""),"",IFERROR(INDEX(SCOPES!$K$5:$K$2000,MATCH(F1668,SCOPES!$A$5:$A$2000,0)),"UNMATCHED"))</f>
        <v/>
      </c>
    </row>
    <row r="1669" ht="21.75" customHeight="1" s="130">
      <c r="J1669" s="107">
        <f>IF(OR(B1669&lt;&gt;"WorkPackage",D1669&lt;&gt;"tracks_scope",E1669&lt;&gt;"Scope",F1669=""),"",IFERROR(INDEX(SCOPES!$K$5:$K$2000,MATCH(F1669,SCOPES!$A$5:$A$2000,0)),"UNMATCHED"))</f>
        <v/>
      </c>
    </row>
    <row r="1670" ht="21.75" customHeight="1" s="130">
      <c r="J1670" s="107">
        <f>IF(OR(B1670&lt;&gt;"WorkPackage",D1670&lt;&gt;"tracks_scope",E1670&lt;&gt;"Scope",F1670=""),"",IFERROR(INDEX(SCOPES!$K$5:$K$2000,MATCH(F1670,SCOPES!$A$5:$A$2000,0)),"UNMATCHED"))</f>
        <v/>
      </c>
    </row>
    <row r="1671" ht="21.75" customHeight="1" s="130">
      <c r="J1671" s="107">
        <f>IF(OR(B1671&lt;&gt;"WorkPackage",D1671&lt;&gt;"tracks_scope",E1671&lt;&gt;"Scope",F1671=""),"",IFERROR(INDEX(SCOPES!$K$5:$K$2000,MATCH(F1671,SCOPES!$A$5:$A$2000,0)),"UNMATCHED"))</f>
        <v/>
      </c>
    </row>
    <row r="1672" ht="21.75" customHeight="1" s="130">
      <c r="J1672" s="107">
        <f>IF(OR(B1672&lt;&gt;"WorkPackage",D1672&lt;&gt;"tracks_scope",E1672&lt;&gt;"Scope",F1672=""),"",IFERROR(INDEX(SCOPES!$K$5:$K$2000,MATCH(F1672,SCOPES!$A$5:$A$2000,0)),"UNMATCHED"))</f>
        <v/>
      </c>
    </row>
    <row r="1673" ht="21.75" customHeight="1" s="130">
      <c r="J1673" s="107">
        <f>IF(OR(B1673&lt;&gt;"WorkPackage",D1673&lt;&gt;"tracks_scope",E1673&lt;&gt;"Scope",F1673=""),"",IFERROR(INDEX(SCOPES!$K$5:$K$2000,MATCH(F1673,SCOPES!$A$5:$A$2000,0)),"UNMATCHED"))</f>
        <v/>
      </c>
    </row>
    <row r="1674" ht="21.75" customHeight="1" s="130">
      <c r="J1674" s="107">
        <f>IF(OR(B1674&lt;&gt;"WorkPackage",D1674&lt;&gt;"tracks_scope",E1674&lt;&gt;"Scope",F1674=""),"",IFERROR(INDEX(SCOPES!$K$5:$K$2000,MATCH(F1674,SCOPES!$A$5:$A$2000,0)),"UNMATCHED"))</f>
        <v/>
      </c>
    </row>
    <row r="1675" ht="21.75" customHeight="1" s="130">
      <c r="J1675" s="107">
        <f>IF(OR(B1675&lt;&gt;"WorkPackage",D1675&lt;&gt;"tracks_scope",E1675&lt;&gt;"Scope",F1675=""),"",IFERROR(INDEX(SCOPES!$K$5:$K$2000,MATCH(F1675,SCOPES!$A$5:$A$2000,0)),"UNMATCHED"))</f>
        <v/>
      </c>
    </row>
    <row r="1676" ht="21.75" customHeight="1" s="130">
      <c r="J1676" s="107">
        <f>IF(OR(B1676&lt;&gt;"WorkPackage",D1676&lt;&gt;"tracks_scope",E1676&lt;&gt;"Scope",F1676=""),"",IFERROR(INDEX(SCOPES!$K$5:$K$2000,MATCH(F1676,SCOPES!$A$5:$A$2000,0)),"UNMATCHED"))</f>
        <v/>
      </c>
    </row>
    <row r="1677" ht="21.75" customHeight="1" s="130">
      <c r="J1677" s="107">
        <f>IF(OR(B1677&lt;&gt;"WorkPackage",D1677&lt;&gt;"tracks_scope",E1677&lt;&gt;"Scope",F1677=""),"",IFERROR(INDEX(SCOPES!$K$5:$K$2000,MATCH(F1677,SCOPES!$A$5:$A$2000,0)),"UNMATCHED"))</f>
        <v/>
      </c>
    </row>
    <row r="1678" ht="21.75" customHeight="1" s="130">
      <c r="J1678" s="107">
        <f>IF(OR(B1678&lt;&gt;"WorkPackage",D1678&lt;&gt;"tracks_scope",E1678&lt;&gt;"Scope",F1678=""),"",IFERROR(INDEX(SCOPES!$K$5:$K$2000,MATCH(F1678,SCOPES!$A$5:$A$2000,0)),"UNMATCHED"))</f>
        <v/>
      </c>
    </row>
    <row r="1679" ht="21.75" customHeight="1" s="130">
      <c r="J1679" s="107">
        <f>IF(OR(B1679&lt;&gt;"WorkPackage",D1679&lt;&gt;"tracks_scope",E1679&lt;&gt;"Scope",F1679=""),"",IFERROR(INDEX(SCOPES!$K$5:$K$2000,MATCH(F1679,SCOPES!$A$5:$A$2000,0)),"UNMATCHED"))</f>
        <v/>
      </c>
    </row>
    <row r="1680" ht="21.75" customHeight="1" s="130">
      <c r="J1680" s="107">
        <f>IF(OR(B1680&lt;&gt;"WorkPackage",D1680&lt;&gt;"tracks_scope",E1680&lt;&gt;"Scope",F1680=""),"",IFERROR(INDEX(SCOPES!$K$5:$K$2000,MATCH(F1680,SCOPES!$A$5:$A$2000,0)),"UNMATCHED"))</f>
        <v/>
      </c>
    </row>
    <row r="1681" ht="21.75" customHeight="1" s="130">
      <c r="J1681" s="107">
        <f>IF(OR(B1681&lt;&gt;"WorkPackage",D1681&lt;&gt;"tracks_scope",E1681&lt;&gt;"Scope",F1681=""),"",IFERROR(INDEX(SCOPES!$K$5:$K$2000,MATCH(F1681,SCOPES!$A$5:$A$2000,0)),"UNMATCHED"))</f>
        <v/>
      </c>
    </row>
    <row r="1682" ht="21.75" customHeight="1" s="130">
      <c r="J1682" s="107">
        <f>IF(OR(B1682&lt;&gt;"WorkPackage",D1682&lt;&gt;"tracks_scope",E1682&lt;&gt;"Scope",F1682=""),"",IFERROR(INDEX(SCOPES!$K$5:$K$2000,MATCH(F1682,SCOPES!$A$5:$A$2000,0)),"UNMATCHED"))</f>
        <v/>
      </c>
    </row>
    <row r="1683" ht="21.75" customHeight="1" s="130">
      <c r="J1683" s="107">
        <f>IF(OR(B1683&lt;&gt;"WorkPackage",D1683&lt;&gt;"tracks_scope",E1683&lt;&gt;"Scope",F1683=""),"",IFERROR(INDEX(SCOPES!$K$5:$K$2000,MATCH(F1683,SCOPES!$A$5:$A$2000,0)),"UNMATCHED"))</f>
        <v/>
      </c>
    </row>
    <row r="1684" ht="21.75" customHeight="1" s="130">
      <c r="J1684" s="107">
        <f>IF(OR(B1684&lt;&gt;"WorkPackage",D1684&lt;&gt;"tracks_scope",E1684&lt;&gt;"Scope",F1684=""),"",IFERROR(INDEX(SCOPES!$K$5:$K$2000,MATCH(F1684,SCOPES!$A$5:$A$2000,0)),"UNMATCHED"))</f>
        <v/>
      </c>
    </row>
    <row r="1685" ht="21.75" customHeight="1" s="130">
      <c r="J1685" s="107">
        <f>IF(OR(B1685&lt;&gt;"WorkPackage",D1685&lt;&gt;"tracks_scope",E1685&lt;&gt;"Scope",F1685=""),"",IFERROR(INDEX(SCOPES!$K$5:$K$2000,MATCH(F1685,SCOPES!$A$5:$A$2000,0)),"UNMATCHED"))</f>
        <v/>
      </c>
    </row>
    <row r="1686" ht="21.75" customHeight="1" s="130">
      <c r="J1686" s="107">
        <f>IF(OR(B1686&lt;&gt;"WorkPackage",D1686&lt;&gt;"tracks_scope",E1686&lt;&gt;"Scope",F1686=""),"",IFERROR(INDEX(SCOPES!$K$5:$K$2000,MATCH(F1686,SCOPES!$A$5:$A$2000,0)),"UNMATCHED"))</f>
        <v/>
      </c>
    </row>
    <row r="1687" ht="21.75" customHeight="1" s="130">
      <c r="J1687" s="107">
        <f>IF(OR(B1687&lt;&gt;"WorkPackage",D1687&lt;&gt;"tracks_scope",E1687&lt;&gt;"Scope",F1687=""),"",IFERROR(INDEX(SCOPES!$K$5:$K$2000,MATCH(F1687,SCOPES!$A$5:$A$2000,0)),"UNMATCHED"))</f>
        <v/>
      </c>
    </row>
    <row r="1688" ht="21.75" customHeight="1" s="130">
      <c r="J1688" s="107">
        <f>IF(OR(B1688&lt;&gt;"WorkPackage",D1688&lt;&gt;"tracks_scope",E1688&lt;&gt;"Scope",F1688=""),"",IFERROR(INDEX(SCOPES!$K$5:$K$2000,MATCH(F1688,SCOPES!$A$5:$A$2000,0)),"UNMATCHED"))</f>
        <v/>
      </c>
    </row>
    <row r="1689" ht="21.75" customHeight="1" s="130">
      <c r="J1689" s="107">
        <f>IF(OR(B1689&lt;&gt;"WorkPackage",D1689&lt;&gt;"tracks_scope",E1689&lt;&gt;"Scope",F1689=""),"",IFERROR(INDEX(SCOPES!$K$5:$K$2000,MATCH(F1689,SCOPES!$A$5:$A$2000,0)),"UNMATCHED"))</f>
        <v/>
      </c>
    </row>
    <row r="1690" ht="21.75" customHeight="1" s="130">
      <c r="J1690" s="107">
        <f>IF(OR(B1690&lt;&gt;"WorkPackage",D1690&lt;&gt;"tracks_scope",E1690&lt;&gt;"Scope",F1690=""),"",IFERROR(INDEX(SCOPES!$K$5:$K$2000,MATCH(F1690,SCOPES!$A$5:$A$2000,0)),"UNMATCHED"))</f>
        <v/>
      </c>
    </row>
    <row r="1691" ht="21.75" customHeight="1" s="130">
      <c r="J1691" s="107">
        <f>IF(OR(B1691&lt;&gt;"WorkPackage",D1691&lt;&gt;"tracks_scope",E1691&lt;&gt;"Scope",F1691=""),"",IFERROR(INDEX(SCOPES!$K$5:$K$2000,MATCH(F1691,SCOPES!$A$5:$A$2000,0)),"UNMATCHED"))</f>
        <v/>
      </c>
    </row>
    <row r="1692" ht="21.75" customHeight="1" s="130">
      <c r="J1692" s="107">
        <f>IF(OR(B1692&lt;&gt;"WorkPackage",D1692&lt;&gt;"tracks_scope",E1692&lt;&gt;"Scope",F1692=""),"",IFERROR(INDEX(SCOPES!$K$5:$K$2000,MATCH(F1692,SCOPES!$A$5:$A$2000,0)),"UNMATCHED"))</f>
        <v/>
      </c>
    </row>
    <row r="1693" ht="21.75" customHeight="1" s="130">
      <c r="J1693" s="107">
        <f>IF(OR(B1693&lt;&gt;"WorkPackage",D1693&lt;&gt;"tracks_scope",E1693&lt;&gt;"Scope",F1693=""),"",IFERROR(INDEX(SCOPES!$K$5:$K$2000,MATCH(F1693,SCOPES!$A$5:$A$2000,0)),"UNMATCHED"))</f>
        <v/>
      </c>
    </row>
    <row r="1694" ht="21.75" customHeight="1" s="130">
      <c r="J1694" s="107">
        <f>IF(OR(B1694&lt;&gt;"WorkPackage",D1694&lt;&gt;"tracks_scope",E1694&lt;&gt;"Scope",F1694=""),"",IFERROR(INDEX(SCOPES!$K$5:$K$2000,MATCH(F1694,SCOPES!$A$5:$A$2000,0)),"UNMATCHED"))</f>
        <v/>
      </c>
    </row>
    <row r="1695" ht="21.75" customHeight="1" s="130">
      <c r="J1695" s="107">
        <f>IF(OR(B1695&lt;&gt;"WorkPackage",D1695&lt;&gt;"tracks_scope",E1695&lt;&gt;"Scope",F1695=""),"",IFERROR(INDEX(SCOPES!$K$5:$K$2000,MATCH(F1695,SCOPES!$A$5:$A$2000,0)),"UNMATCHED"))</f>
        <v/>
      </c>
    </row>
    <row r="1696" ht="21.75" customHeight="1" s="130">
      <c r="J1696" s="107">
        <f>IF(OR(B1696&lt;&gt;"WorkPackage",D1696&lt;&gt;"tracks_scope",E1696&lt;&gt;"Scope",F1696=""),"",IFERROR(INDEX(SCOPES!$K$5:$K$2000,MATCH(F1696,SCOPES!$A$5:$A$2000,0)),"UNMATCHED"))</f>
        <v/>
      </c>
    </row>
    <row r="1697" ht="21.75" customHeight="1" s="130">
      <c r="J1697" s="107">
        <f>IF(OR(B1697&lt;&gt;"WorkPackage",D1697&lt;&gt;"tracks_scope",E1697&lt;&gt;"Scope",F1697=""),"",IFERROR(INDEX(SCOPES!$K$5:$K$2000,MATCH(F1697,SCOPES!$A$5:$A$2000,0)),"UNMATCHED"))</f>
        <v/>
      </c>
    </row>
    <row r="1698" ht="21.75" customHeight="1" s="130">
      <c r="J1698" s="107">
        <f>IF(OR(B1698&lt;&gt;"WorkPackage",D1698&lt;&gt;"tracks_scope",E1698&lt;&gt;"Scope",F1698=""),"",IFERROR(INDEX(SCOPES!$K$5:$K$2000,MATCH(F1698,SCOPES!$A$5:$A$2000,0)),"UNMATCHED"))</f>
        <v/>
      </c>
    </row>
    <row r="1699" ht="21.75" customHeight="1" s="130">
      <c r="J1699" s="107">
        <f>IF(OR(B1699&lt;&gt;"WorkPackage",D1699&lt;&gt;"tracks_scope",E1699&lt;&gt;"Scope",F1699=""),"",IFERROR(INDEX(SCOPES!$K$5:$K$2000,MATCH(F1699,SCOPES!$A$5:$A$2000,0)),"UNMATCHED"))</f>
        <v/>
      </c>
    </row>
    <row r="1700" ht="21.75" customHeight="1" s="130">
      <c r="J1700" s="107">
        <f>IF(OR(B1700&lt;&gt;"WorkPackage",D1700&lt;&gt;"tracks_scope",E1700&lt;&gt;"Scope",F1700=""),"",IFERROR(INDEX(SCOPES!$K$5:$K$2000,MATCH(F1700,SCOPES!$A$5:$A$2000,0)),"UNMATCHED"))</f>
        <v/>
      </c>
    </row>
    <row r="1701" ht="21.75" customHeight="1" s="130">
      <c r="J1701" s="107">
        <f>IF(OR(B1701&lt;&gt;"WorkPackage",D1701&lt;&gt;"tracks_scope",E1701&lt;&gt;"Scope",F1701=""),"",IFERROR(INDEX(SCOPES!$K$5:$K$2000,MATCH(F1701,SCOPES!$A$5:$A$2000,0)),"UNMATCHED"))</f>
        <v/>
      </c>
    </row>
    <row r="1702" ht="21.75" customHeight="1" s="130">
      <c r="J1702" s="107">
        <f>IF(OR(B1702&lt;&gt;"WorkPackage",D1702&lt;&gt;"tracks_scope",E1702&lt;&gt;"Scope",F1702=""),"",IFERROR(INDEX(SCOPES!$K$5:$K$2000,MATCH(F1702,SCOPES!$A$5:$A$2000,0)),"UNMATCHED"))</f>
        <v/>
      </c>
    </row>
    <row r="1703" ht="21.75" customHeight="1" s="130">
      <c r="J1703" s="107">
        <f>IF(OR(B1703&lt;&gt;"WorkPackage",D1703&lt;&gt;"tracks_scope",E1703&lt;&gt;"Scope",F1703=""),"",IFERROR(INDEX(SCOPES!$K$5:$K$2000,MATCH(F1703,SCOPES!$A$5:$A$2000,0)),"UNMATCHED"))</f>
        <v/>
      </c>
    </row>
    <row r="1704" ht="21.75" customHeight="1" s="130">
      <c r="J1704" s="107">
        <f>IF(OR(B1704&lt;&gt;"WorkPackage",D1704&lt;&gt;"tracks_scope",E1704&lt;&gt;"Scope",F1704=""),"",IFERROR(INDEX(SCOPES!$K$5:$K$2000,MATCH(F1704,SCOPES!$A$5:$A$2000,0)),"UNMATCHED"))</f>
        <v/>
      </c>
    </row>
    <row r="1705" ht="21.75" customHeight="1" s="130">
      <c r="J1705" s="107">
        <f>IF(OR(B1705&lt;&gt;"WorkPackage",D1705&lt;&gt;"tracks_scope",E1705&lt;&gt;"Scope",F1705=""),"",IFERROR(INDEX(SCOPES!$K$5:$K$2000,MATCH(F1705,SCOPES!$A$5:$A$2000,0)),"UNMATCHED"))</f>
        <v/>
      </c>
    </row>
    <row r="1706" ht="21.75" customHeight="1" s="130">
      <c r="J1706" s="107">
        <f>IF(OR(B1706&lt;&gt;"WorkPackage",D1706&lt;&gt;"tracks_scope",E1706&lt;&gt;"Scope",F1706=""),"",IFERROR(INDEX(SCOPES!$K$5:$K$2000,MATCH(F1706,SCOPES!$A$5:$A$2000,0)),"UNMATCHED"))</f>
        <v/>
      </c>
    </row>
    <row r="1707" ht="21.75" customHeight="1" s="130">
      <c r="J1707" s="107">
        <f>IF(OR(B1707&lt;&gt;"WorkPackage",D1707&lt;&gt;"tracks_scope",E1707&lt;&gt;"Scope",F1707=""),"",IFERROR(INDEX(SCOPES!$K$5:$K$2000,MATCH(F1707,SCOPES!$A$5:$A$2000,0)),"UNMATCHED"))</f>
        <v/>
      </c>
    </row>
    <row r="1708" ht="21.75" customHeight="1" s="130">
      <c r="J1708" s="107">
        <f>IF(OR(B1708&lt;&gt;"WorkPackage",D1708&lt;&gt;"tracks_scope",E1708&lt;&gt;"Scope",F1708=""),"",IFERROR(INDEX(SCOPES!$K$5:$K$2000,MATCH(F1708,SCOPES!$A$5:$A$2000,0)),"UNMATCHED"))</f>
        <v/>
      </c>
    </row>
    <row r="1709" ht="21.75" customHeight="1" s="130">
      <c r="J1709" s="107">
        <f>IF(OR(B1709&lt;&gt;"WorkPackage",D1709&lt;&gt;"tracks_scope",E1709&lt;&gt;"Scope",F1709=""),"",IFERROR(INDEX(SCOPES!$K$5:$K$2000,MATCH(F1709,SCOPES!$A$5:$A$2000,0)),"UNMATCHED"))</f>
        <v/>
      </c>
    </row>
    <row r="1710" ht="21.75" customHeight="1" s="130">
      <c r="J1710" s="107">
        <f>IF(OR(B1710&lt;&gt;"WorkPackage",D1710&lt;&gt;"tracks_scope",E1710&lt;&gt;"Scope",F1710=""),"",IFERROR(INDEX(SCOPES!$K$5:$K$2000,MATCH(F1710,SCOPES!$A$5:$A$2000,0)),"UNMATCHED"))</f>
        <v/>
      </c>
    </row>
    <row r="1711" ht="21.75" customHeight="1" s="130">
      <c r="J1711" s="107">
        <f>IF(OR(B1711&lt;&gt;"WorkPackage",D1711&lt;&gt;"tracks_scope",E1711&lt;&gt;"Scope",F1711=""),"",IFERROR(INDEX(SCOPES!$K$5:$K$2000,MATCH(F1711,SCOPES!$A$5:$A$2000,0)),"UNMATCHED"))</f>
        <v/>
      </c>
    </row>
    <row r="1712" ht="21.75" customHeight="1" s="130">
      <c r="J1712" s="107">
        <f>IF(OR(B1712&lt;&gt;"WorkPackage",D1712&lt;&gt;"tracks_scope",E1712&lt;&gt;"Scope",F1712=""),"",IFERROR(INDEX(SCOPES!$K$5:$K$2000,MATCH(F1712,SCOPES!$A$5:$A$2000,0)),"UNMATCHED"))</f>
        <v/>
      </c>
    </row>
    <row r="1713" ht="21.75" customHeight="1" s="130">
      <c r="J1713" s="107">
        <f>IF(OR(B1713&lt;&gt;"WorkPackage",D1713&lt;&gt;"tracks_scope",E1713&lt;&gt;"Scope",F1713=""),"",IFERROR(INDEX(SCOPES!$K$5:$K$2000,MATCH(F1713,SCOPES!$A$5:$A$2000,0)),"UNMATCHED"))</f>
        <v/>
      </c>
    </row>
    <row r="1714" ht="21.75" customHeight="1" s="130">
      <c r="J1714" s="107">
        <f>IF(OR(B1714&lt;&gt;"WorkPackage",D1714&lt;&gt;"tracks_scope",E1714&lt;&gt;"Scope",F1714=""),"",IFERROR(INDEX(SCOPES!$K$5:$K$2000,MATCH(F1714,SCOPES!$A$5:$A$2000,0)),"UNMATCHED"))</f>
        <v/>
      </c>
    </row>
    <row r="1715" ht="21.75" customHeight="1" s="130">
      <c r="J1715" s="107">
        <f>IF(OR(B1715&lt;&gt;"WorkPackage",D1715&lt;&gt;"tracks_scope",E1715&lt;&gt;"Scope",F1715=""),"",IFERROR(INDEX(SCOPES!$K$5:$K$2000,MATCH(F1715,SCOPES!$A$5:$A$2000,0)),"UNMATCHED"))</f>
        <v/>
      </c>
    </row>
    <row r="1716" ht="21.75" customHeight="1" s="130">
      <c r="J1716" s="107">
        <f>IF(OR(B1716&lt;&gt;"WorkPackage",D1716&lt;&gt;"tracks_scope",E1716&lt;&gt;"Scope",F1716=""),"",IFERROR(INDEX(SCOPES!$K$5:$K$2000,MATCH(F1716,SCOPES!$A$5:$A$2000,0)),"UNMATCHED"))</f>
        <v/>
      </c>
    </row>
    <row r="1717" ht="21.75" customHeight="1" s="130">
      <c r="J1717" s="107">
        <f>IF(OR(B1717&lt;&gt;"WorkPackage",D1717&lt;&gt;"tracks_scope",E1717&lt;&gt;"Scope",F1717=""),"",IFERROR(INDEX(SCOPES!$K$5:$K$2000,MATCH(F1717,SCOPES!$A$5:$A$2000,0)),"UNMATCHED"))</f>
        <v/>
      </c>
    </row>
    <row r="1718" ht="21.75" customHeight="1" s="130">
      <c r="J1718" s="107">
        <f>IF(OR(B1718&lt;&gt;"WorkPackage",D1718&lt;&gt;"tracks_scope",E1718&lt;&gt;"Scope",F1718=""),"",IFERROR(INDEX(SCOPES!$K$5:$K$2000,MATCH(F1718,SCOPES!$A$5:$A$2000,0)),"UNMATCHED"))</f>
        <v/>
      </c>
    </row>
    <row r="1719" ht="21.75" customHeight="1" s="130">
      <c r="J1719" s="107">
        <f>IF(OR(B1719&lt;&gt;"WorkPackage",D1719&lt;&gt;"tracks_scope",E1719&lt;&gt;"Scope",F1719=""),"",IFERROR(INDEX(SCOPES!$K$5:$K$2000,MATCH(F1719,SCOPES!$A$5:$A$2000,0)),"UNMATCHED"))</f>
        <v/>
      </c>
    </row>
    <row r="1720" ht="21.75" customHeight="1" s="130">
      <c r="J1720" s="107">
        <f>IF(OR(B1720&lt;&gt;"WorkPackage",D1720&lt;&gt;"tracks_scope",E1720&lt;&gt;"Scope",F1720=""),"",IFERROR(INDEX(SCOPES!$K$5:$K$2000,MATCH(F1720,SCOPES!$A$5:$A$2000,0)),"UNMATCHED"))</f>
        <v/>
      </c>
    </row>
    <row r="1721" ht="21.75" customHeight="1" s="130">
      <c r="J1721" s="107">
        <f>IF(OR(B1721&lt;&gt;"WorkPackage",D1721&lt;&gt;"tracks_scope",E1721&lt;&gt;"Scope",F1721=""),"",IFERROR(INDEX(SCOPES!$K$5:$K$2000,MATCH(F1721,SCOPES!$A$5:$A$2000,0)),"UNMATCHED"))</f>
        <v/>
      </c>
    </row>
    <row r="1722" ht="21.75" customHeight="1" s="130">
      <c r="J1722" s="107">
        <f>IF(OR(B1722&lt;&gt;"WorkPackage",D1722&lt;&gt;"tracks_scope",E1722&lt;&gt;"Scope",F1722=""),"",IFERROR(INDEX(SCOPES!$K$5:$K$2000,MATCH(F1722,SCOPES!$A$5:$A$2000,0)),"UNMATCHED"))</f>
        <v/>
      </c>
    </row>
    <row r="1723" ht="21.75" customHeight="1" s="130">
      <c r="J1723" s="107">
        <f>IF(OR(B1723&lt;&gt;"WorkPackage",D1723&lt;&gt;"tracks_scope",E1723&lt;&gt;"Scope",F1723=""),"",IFERROR(INDEX(SCOPES!$K$5:$K$2000,MATCH(F1723,SCOPES!$A$5:$A$2000,0)),"UNMATCHED"))</f>
        <v/>
      </c>
    </row>
    <row r="1724" ht="21.75" customHeight="1" s="130">
      <c r="J1724" s="107">
        <f>IF(OR(B1724&lt;&gt;"WorkPackage",D1724&lt;&gt;"tracks_scope",E1724&lt;&gt;"Scope",F1724=""),"",IFERROR(INDEX(SCOPES!$K$5:$K$2000,MATCH(F1724,SCOPES!$A$5:$A$2000,0)),"UNMATCHED"))</f>
        <v/>
      </c>
    </row>
    <row r="1725" ht="21.75" customHeight="1" s="130">
      <c r="J1725" s="107">
        <f>IF(OR(B1725&lt;&gt;"WorkPackage",D1725&lt;&gt;"tracks_scope",E1725&lt;&gt;"Scope",F1725=""),"",IFERROR(INDEX(SCOPES!$K$5:$K$2000,MATCH(F1725,SCOPES!$A$5:$A$2000,0)),"UNMATCHED"))</f>
        <v/>
      </c>
    </row>
    <row r="1726" ht="21.75" customHeight="1" s="130">
      <c r="J1726" s="107">
        <f>IF(OR(B1726&lt;&gt;"WorkPackage",D1726&lt;&gt;"tracks_scope",E1726&lt;&gt;"Scope",F1726=""),"",IFERROR(INDEX(SCOPES!$K$5:$K$2000,MATCH(F1726,SCOPES!$A$5:$A$2000,0)),"UNMATCHED"))</f>
        <v/>
      </c>
    </row>
    <row r="1727" ht="21.75" customHeight="1" s="130">
      <c r="J1727" s="107">
        <f>IF(OR(B1727&lt;&gt;"WorkPackage",D1727&lt;&gt;"tracks_scope",E1727&lt;&gt;"Scope",F1727=""),"",IFERROR(INDEX(SCOPES!$K$5:$K$2000,MATCH(F1727,SCOPES!$A$5:$A$2000,0)),"UNMATCHED"))</f>
        <v/>
      </c>
    </row>
    <row r="1728" ht="21.75" customHeight="1" s="130">
      <c r="J1728" s="107">
        <f>IF(OR(B1728&lt;&gt;"WorkPackage",D1728&lt;&gt;"tracks_scope",E1728&lt;&gt;"Scope",F1728=""),"",IFERROR(INDEX(SCOPES!$K$5:$K$2000,MATCH(F1728,SCOPES!$A$5:$A$2000,0)),"UNMATCHED"))</f>
        <v/>
      </c>
    </row>
    <row r="1729" ht="21.75" customHeight="1" s="130">
      <c r="J1729" s="107">
        <f>IF(OR(B1729&lt;&gt;"WorkPackage",D1729&lt;&gt;"tracks_scope",E1729&lt;&gt;"Scope",F1729=""),"",IFERROR(INDEX(SCOPES!$K$5:$K$2000,MATCH(F1729,SCOPES!$A$5:$A$2000,0)),"UNMATCHED"))</f>
        <v/>
      </c>
    </row>
    <row r="1730" ht="21.75" customHeight="1" s="130">
      <c r="J1730" s="107">
        <f>IF(OR(B1730&lt;&gt;"WorkPackage",D1730&lt;&gt;"tracks_scope",E1730&lt;&gt;"Scope",F1730=""),"",IFERROR(INDEX(SCOPES!$K$5:$K$2000,MATCH(F1730,SCOPES!$A$5:$A$2000,0)),"UNMATCHED"))</f>
        <v/>
      </c>
    </row>
    <row r="1731" ht="21.75" customHeight="1" s="130">
      <c r="J1731" s="107">
        <f>IF(OR(B1731&lt;&gt;"WorkPackage",D1731&lt;&gt;"tracks_scope",E1731&lt;&gt;"Scope",F1731=""),"",IFERROR(INDEX(SCOPES!$K$5:$K$2000,MATCH(F1731,SCOPES!$A$5:$A$2000,0)),"UNMATCHED"))</f>
        <v/>
      </c>
    </row>
    <row r="1732" ht="21.75" customHeight="1" s="130">
      <c r="J1732" s="107">
        <f>IF(OR(B1732&lt;&gt;"WorkPackage",D1732&lt;&gt;"tracks_scope",E1732&lt;&gt;"Scope",F1732=""),"",IFERROR(INDEX(SCOPES!$K$5:$K$2000,MATCH(F1732,SCOPES!$A$5:$A$2000,0)),"UNMATCHED"))</f>
        <v/>
      </c>
    </row>
    <row r="1733" ht="21.75" customHeight="1" s="130">
      <c r="J1733" s="107">
        <f>IF(OR(B1733&lt;&gt;"WorkPackage",D1733&lt;&gt;"tracks_scope",E1733&lt;&gt;"Scope",F1733=""),"",IFERROR(INDEX(SCOPES!$K$5:$K$2000,MATCH(F1733,SCOPES!$A$5:$A$2000,0)),"UNMATCHED"))</f>
        <v/>
      </c>
    </row>
    <row r="1734" ht="21.75" customHeight="1" s="130">
      <c r="J1734" s="107">
        <f>IF(OR(B1734&lt;&gt;"WorkPackage",D1734&lt;&gt;"tracks_scope",E1734&lt;&gt;"Scope",F1734=""),"",IFERROR(INDEX(SCOPES!$K$5:$K$2000,MATCH(F1734,SCOPES!$A$5:$A$2000,0)),"UNMATCHED"))</f>
        <v/>
      </c>
    </row>
    <row r="1735" ht="21.75" customHeight="1" s="130">
      <c r="J1735" s="107">
        <f>IF(OR(B1735&lt;&gt;"WorkPackage",D1735&lt;&gt;"tracks_scope",E1735&lt;&gt;"Scope",F1735=""),"",IFERROR(INDEX(SCOPES!$K$5:$K$2000,MATCH(F1735,SCOPES!$A$5:$A$2000,0)),"UNMATCHED"))</f>
        <v/>
      </c>
    </row>
    <row r="1736" ht="21.75" customHeight="1" s="130">
      <c r="J1736" s="107">
        <f>IF(OR(B1736&lt;&gt;"WorkPackage",D1736&lt;&gt;"tracks_scope",E1736&lt;&gt;"Scope",F1736=""),"",IFERROR(INDEX(SCOPES!$K$5:$K$2000,MATCH(F1736,SCOPES!$A$5:$A$2000,0)),"UNMATCHED"))</f>
        <v/>
      </c>
    </row>
    <row r="1737" ht="21.75" customHeight="1" s="130">
      <c r="J1737" s="107">
        <f>IF(OR(B1737&lt;&gt;"WorkPackage",D1737&lt;&gt;"tracks_scope",E1737&lt;&gt;"Scope",F1737=""),"",IFERROR(INDEX(SCOPES!$K$5:$K$2000,MATCH(F1737,SCOPES!$A$5:$A$2000,0)),"UNMATCHED"))</f>
        <v/>
      </c>
    </row>
    <row r="1738" ht="21.75" customHeight="1" s="130">
      <c r="J1738" s="107">
        <f>IF(OR(B1738&lt;&gt;"WorkPackage",D1738&lt;&gt;"tracks_scope",E1738&lt;&gt;"Scope",F1738=""),"",IFERROR(INDEX(SCOPES!$K$5:$K$2000,MATCH(F1738,SCOPES!$A$5:$A$2000,0)),"UNMATCHED"))</f>
        <v/>
      </c>
    </row>
    <row r="1739" ht="21.75" customHeight="1" s="130">
      <c r="J1739" s="107">
        <f>IF(OR(B1739&lt;&gt;"WorkPackage",D1739&lt;&gt;"tracks_scope",E1739&lt;&gt;"Scope",F1739=""),"",IFERROR(INDEX(SCOPES!$K$5:$K$2000,MATCH(F1739,SCOPES!$A$5:$A$2000,0)),"UNMATCHED"))</f>
        <v/>
      </c>
    </row>
    <row r="1740" ht="21.75" customHeight="1" s="130">
      <c r="J1740" s="107">
        <f>IF(OR(B1740&lt;&gt;"WorkPackage",D1740&lt;&gt;"tracks_scope",E1740&lt;&gt;"Scope",F1740=""),"",IFERROR(INDEX(SCOPES!$K$5:$K$2000,MATCH(F1740,SCOPES!$A$5:$A$2000,0)),"UNMATCHED"))</f>
        <v/>
      </c>
    </row>
    <row r="1741" ht="21.75" customHeight="1" s="130">
      <c r="J1741" s="107">
        <f>IF(OR(B1741&lt;&gt;"WorkPackage",D1741&lt;&gt;"tracks_scope",E1741&lt;&gt;"Scope",F1741=""),"",IFERROR(INDEX(SCOPES!$K$5:$K$2000,MATCH(F1741,SCOPES!$A$5:$A$2000,0)),"UNMATCHED"))</f>
        <v/>
      </c>
    </row>
    <row r="1742" ht="21.75" customHeight="1" s="130">
      <c r="J1742" s="107">
        <f>IF(OR(B1742&lt;&gt;"WorkPackage",D1742&lt;&gt;"tracks_scope",E1742&lt;&gt;"Scope",F1742=""),"",IFERROR(INDEX(SCOPES!$K$5:$K$2000,MATCH(F1742,SCOPES!$A$5:$A$2000,0)),"UNMATCHED"))</f>
        <v/>
      </c>
    </row>
    <row r="1743" ht="21.75" customHeight="1" s="130">
      <c r="J1743" s="107">
        <f>IF(OR(B1743&lt;&gt;"WorkPackage",D1743&lt;&gt;"tracks_scope",E1743&lt;&gt;"Scope",F1743=""),"",IFERROR(INDEX(SCOPES!$K$5:$K$2000,MATCH(F1743,SCOPES!$A$5:$A$2000,0)),"UNMATCHED"))</f>
        <v/>
      </c>
    </row>
    <row r="1744" ht="21.75" customHeight="1" s="130">
      <c r="J1744" s="107">
        <f>IF(OR(B1744&lt;&gt;"WorkPackage",D1744&lt;&gt;"tracks_scope",E1744&lt;&gt;"Scope",F1744=""),"",IFERROR(INDEX(SCOPES!$K$5:$K$2000,MATCH(F1744,SCOPES!$A$5:$A$2000,0)),"UNMATCHED"))</f>
        <v/>
      </c>
    </row>
    <row r="1745" ht="21.75" customHeight="1" s="130">
      <c r="J1745" s="107">
        <f>IF(OR(B1745&lt;&gt;"WorkPackage",D1745&lt;&gt;"tracks_scope",E1745&lt;&gt;"Scope",F1745=""),"",IFERROR(INDEX(SCOPES!$K$5:$K$2000,MATCH(F1745,SCOPES!$A$5:$A$2000,0)),"UNMATCHED"))</f>
        <v/>
      </c>
    </row>
    <row r="1746" ht="21.75" customHeight="1" s="130">
      <c r="J1746" s="107">
        <f>IF(OR(B1746&lt;&gt;"WorkPackage",D1746&lt;&gt;"tracks_scope",E1746&lt;&gt;"Scope",F1746=""),"",IFERROR(INDEX(SCOPES!$K$5:$K$2000,MATCH(F1746,SCOPES!$A$5:$A$2000,0)),"UNMATCHED"))</f>
        <v/>
      </c>
    </row>
    <row r="1747" ht="21.75" customHeight="1" s="130">
      <c r="J1747" s="107">
        <f>IF(OR(B1747&lt;&gt;"WorkPackage",D1747&lt;&gt;"tracks_scope",E1747&lt;&gt;"Scope",F1747=""),"",IFERROR(INDEX(SCOPES!$K$5:$K$2000,MATCH(F1747,SCOPES!$A$5:$A$2000,0)),"UNMATCHED"))</f>
        <v/>
      </c>
    </row>
    <row r="1748" ht="21.75" customHeight="1" s="130">
      <c r="J1748" s="107">
        <f>IF(OR(B1748&lt;&gt;"WorkPackage",D1748&lt;&gt;"tracks_scope",E1748&lt;&gt;"Scope",F1748=""),"",IFERROR(INDEX(SCOPES!$K$5:$K$2000,MATCH(F1748,SCOPES!$A$5:$A$2000,0)),"UNMATCHED"))</f>
        <v/>
      </c>
    </row>
    <row r="1749" ht="21.75" customHeight="1" s="130">
      <c r="J1749" s="107">
        <f>IF(OR(B1749&lt;&gt;"WorkPackage",D1749&lt;&gt;"tracks_scope",E1749&lt;&gt;"Scope",F1749=""),"",IFERROR(INDEX(SCOPES!$K$5:$K$2000,MATCH(F1749,SCOPES!$A$5:$A$2000,0)),"UNMATCHED"))</f>
        <v/>
      </c>
    </row>
    <row r="1750" ht="21.75" customHeight="1" s="130">
      <c r="J1750" s="107">
        <f>IF(OR(B1750&lt;&gt;"WorkPackage",D1750&lt;&gt;"tracks_scope",E1750&lt;&gt;"Scope",F1750=""),"",IFERROR(INDEX(SCOPES!$K$5:$K$2000,MATCH(F1750,SCOPES!$A$5:$A$2000,0)),"UNMATCHED"))</f>
        <v/>
      </c>
    </row>
    <row r="1751" ht="21.75" customHeight="1" s="130">
      <c r="J1751" s="107">
        <f>IF(OR(B1751&lt;&gt;"WorkPackage",D1751&lt;&gt;"tracks_scope",E1751&lt;&gt;"Scope",F1751=""),"",IFERROR(INDEX(SCOPES!$K$5:$K$2000,MATCH(F1751,SCOPES!$A$5:$A$2000,0)),"UNMATCHED"))</f>
        <v/>
      </c>
    </row>
    <row r="1752" ht="21.75" customHeight="1" s="130">
      <c r="J1752" s="107">
        <f>IF(OR(B1752&lt;&gt;"WorkPackage",D1752&lt;&gt;"tracks_scope",E1752&lt;&gt;"Scope",F1752=""),"",IFERROR(INDEX(SCOPES!$K$5:$K$2000,MATCH(F1752,SCOPES!$A$5:$A$2000,0)),"UNMATCHED"))</f>
        <v/>
      </c>
    </row>
    <row r="1753" ht="21.75" customHeight="1" s="130">
      <c r="J1753" s="107">
        <f>IF(OR(B1753&lt;&gt;"WorkPackage",D1753&lt;&gt;"tracks_scope",E1753&lt;&gt;"Scope",F1753=""),"",IFERROR(INDEX(SCOPES!$K$5:$K$2000,MATCH(F1753,SCOPES!$A$5:$A$2000,0)),"UNMATCHED"))</f>
        <v/>
      </c>
    </row>
    <row r="1754" ht="21.75" customHeight="1" s="130">
      <c r="J1754" s="107">
        <f>IF(OR(B1754&lt;&gt;"WorkPackage",D1754&lt;&gt;"tracks_scope",E1754&lt;&gt;"Scope",F1754=""),"",IFERROR(INDEX(SCOPES!$K$5:$K$2000,MATCH(F1754,SCOPES!$A$5:$A$2000,0)),"UNMATCHED"))</f>
        <v/>
      </c>
    </row>
    <row r="1755" ht="21.75" customHeight="1" s="130">
      <c r="J1755" s="107">
        <f>IF(OR(B1755&lt;&gt;"WorkPackage",D1755&lt;&gt;"tracks_scope",E1755&lt;&gt;"Scope",F1755=""),"",IFERROR(INDEX(SCOPES!$K$5:$K$2000,MATCH(F1755,SCOPES!$A$5:$A$2000,0)),"UNMATCHED"))</f>
        <v/>
      </c>
    </row>
    <row r="1756" ht="21.75" customHeight="1" s="130">
      <c r="J1756" s="107">
        <f>IF(OR(B1756&lt;&gt;"WorkPackage",D1756&lt;&gt;"tracks_scope",E1756&lt;&gt;"Scope",F1756=""),"",IFERROR(INDEX(SCOPES!$K$5:$K$2000,MATCH(F1756,SCOPES!$A$5:$A$2000,0)),"UNMATCHED"))</f>
        <v/>
      </c>
    </row>
    <row r="1757" ht="21.75" customHeight="1" s="130">
      <c r="J1757" s="107">
        <f>IF(OR(B1757&lt;&gt;"WorkPackage",D1757&lt;&gt;"tracks_scope",E1757&lt;&gt;"Scope",F1757=""),"",IFERROR(INDEX(SCOPES!$K$5:$K$2000,MATCH(F1757,SCOPES!$A$5:$A$2000,0)),"UNMATCHED"))</f>
        <v/>
      </c>
    </row>
    <row r="1758" ht="21.75" customHeight="1" s="130">
      <c r="J1758" s="107">
        <f>IF(OR(B1758&lt;&gt;"WorkPackage",D1758&lt;&gt;"tracks_scope",E1758&lt;&gt;"Scope",F1758=""),"",IFERROR(INDEX(SCOPES!$K$5:$K$2000,MATCH(F1758,SCOPES!$A$5:$A$2000,0)),"UNMATCHED"))</f>
        <v/>
      </c>
    </row>
    <row r="1759" ht="21.75" customHeight="1" s="130">
      <c r="J1759" s="107">
        <f>IF(OR(B1759&lt;&gt;"WorkPackage",D1759&lt;&gt;"tracks_scope",E1759&lt;&gt;"Scope",F1759=""),"",IFERROR(INDEX(SCOPES!$K$5:$K$2000,MATCH(F1759,SCOPES!$A$5:$A$2000,0)),"UNMATCHED"))</f>
        <v/>
      </c>
    </row>
    <row r="1760" ht="21.75" customHeight="1" s="130">
      <c r="J1760" s="107">
        <f>IF(OR(B1760&lt;&gt;"WorkPackage",D1760&lt;&gt;"tracks_scope",E1760&lt;&gt;"Scope",F1760=""),"",IFERROR(INDEX(SCOPES!$K$5:$K$2000,MATCH(F1760,SCOPES!$A$5:$A$2000,0)),"UNMATCHED"))</f>
        <v/>
      </c>
    </row>
    <row r="1761" ht="21.75" customHeight="1" s="130">
      <c r="J1761" s="107">
        <f>IF(OR(B1761&lt;&gt;"WorkPackage",D1761&lt;&gt;"tracks_scope",E1761&lt;&gt;"Scope",F1761=""),"",IFERROR(INDEX(SCOPES!$K$5:$K$2000,MATCH(F1761,SCOPES!$A$5:$A$2000,0)),"UNMATCHED"))</f>
        <v/>
      </c>
    </row>
    <row r="1762" ht="21.75" customHeight="1" s="130">
      <c r="J1762" s="107">
        <f>IF(OR(B1762&lt;&gt;"WorkPackage",D1762&lt;&gt;"tracks_scope",E1762&lt;&gt;"Scope",F1762=""),"",IFERROR(INDEX(SCOPES!$K$5:$K$2000,MATCH(F1762,SCOPES!$A$5:$A$2000,0)),"UNMATCHED"))</f>
        <v/>
      </c>
    </row>
    <row r="1763" ht="21.75" customHeight="1" s="130">
      <c r="J1763" s="107">
        <f>IF(OR(B1763&lt;&gt;"WorkPackage",D1763&lt;&gt;"tracks_scope",E1763&lt;&gt;"Scope",F1763=""),"",IFERROR(INDEX(SCOPES!$K$5:$K$2000,MATCH(F1763,SCOPES!$A$5:$A$2000,0)),"UNMATCHED"))</f>
        <v/>
      </c>
    </row>
    <row r="1764" ht="21.75" customHeight="1" s="130">
      <c r="J1764" s="107">
        <f>IF(OR(B1764&lt;&gt;"WorkPackage",D1764&lt;&gt;"tracks_scope",E1764&lt;&gt;"Scope",F1764=""),"",IFERROR(INDEX(SCOPES!$K$5:$K$2000,MATCH(F1764,SCOPES!$A$5:$A$2000,0)),"UNMATCHED"))</f>
        <v/>
      </c>
    </row>
    <row r="1765" ht="21.75" customHeight="1" s="130">
      <c r="J1765" s="107">
        <f>IF(OR(B1765&lt;&gt;"WorkPackage",D1765&lt;&gt;"tracks_scope",E1765&lt;&gt;"Scope",F1765=""),"",IFERROR(INDEX(SCOPES!$K$5:$K$2000,MATCH(F1765,SCOPES!$A$5:$A$2000,0)),"UNMATCHED"))</f>
        <v/>
      </c>
    </row>
    <row r="1766" ht="21.75" customHeight="1" s="130">
      <c r="J1766" s="107">
        <f>IF(OR(B1766&lt;&gt;"WorkPackage",D1766&lt;&gt;"tracks_scope",E1766&lt;&gt;"Scope",F1766=""),"",IFERROR(INDEX(SCOPES!$K$5:$K$2000,MATCH(F1766,SCOPES!$A$5:$A$2000,0)),"UNMATCHED"))</f>
        <v/>
      </c>
    </row>
    <row r="1767" ht="21.75" customHeight="1" s="130">
      <c r="J1767" s="107">
        <f>IF(OR(B1767&lt;&gt;"WorkPackage",D1767&lt;&gt;"tracks_scope",E1767&lt;&gt;"Scope",F1767=""),"",IFERROR(INDEX(SCOPES!$K$5:$K$2000,MATCH(F1767,SCOPES!$A$5:$A$2000,0)),"UNMATCHED"))</f>
        <v/>
      </c>
    </row>
    <row r="1768" ht="21.75" customHeight="1" s="130">
      <c r="J1768" s="107">
        <f>IF(OR(B1768&lt;&gt;"WorkPackage",D1768&lt;&gt;"tracks_scope",E1768&lt;&gt;"Scope",F1768=""),"",IFERROR(INDEX(SCOPES!$K$5:$K$2000,MATCH(F1768,SCOPES!$A$5:$A$2000,0)),"UNMATCHED"))</f>
        <v/>
      </c>
    </row>
    <row r="1769" ht="21.75" customHeight="1" s="130">
      <c r="J1769" s="107">
        <f>IF(OR(B1769&lt;&gt;"WorkPackage",D1769&lt;&gt;"tracks_scope",E1769&lt;&gt;"Scope",F1769=""),"",IFERROR(INDEX(SCOPES!$K$5:$K$2000,MATCH(F1769,SCOPES!$A$5:$A$2000,0)),"UNMATCHED"))</f>
        <v/>
      </c>
    </row>
    <row r="1770" ht="21.75" customHeight="1" s="130">
      <c r="J1770" s="107">
        <f>IF(OR(B1770&lt;&gt;"WorkPackage",D1770&lt;&gt;"tracks_scope",E1770&lt;&gt;"Scope",F1770=""),"",IFERROR(INDEX(SCOPES!$K$5:$K$2000,MATCH(F1770,SCOPES!$A$5:$A$2000,0)),"UNMATCHED"))</f>
        <v/>
      </c>
    </row>
    <row r="1771" ht="21.75" customHeight="1" s="130">
      <c r="J1771" s="107">
        <f>IF(OR(B1771&lt;&gt;"WorkPackage",D1771&lt;&gt;"tracks_scope",E1771&lt;&gt;"Scope",F1771=""),"",IFERROR(INDEX(SCOPES!$K$5:$K$2000,MATCH(F1771,SCOPES!$A$5:$A$2000,0)),"UNMATCHED"))</f>
        <v/>
      </c>
    </row>
    <row r="1772" ht="21.75" customHeight="1" s="130">
      <c r="J1772" s="107">
        <f>IF(OR(B1772&lt;&gt;"WorkPackage",D1772&lt;&gt;"tracks_scope",E1772&lt;&gt;"Scope",F1772=""),"",IFERROR(INDEX(SCOPES!$K$5:$K$2000,MATCH(F1772,SCOPES!$A$5:$A$2000,0)),"UNMATCHED"))</f>
        <v/>
      </c>
    </row>
    <row r="1773" ht="21.75" customHeight="1" s="130">
      <c r="J1773" s="107">
        <f>IF(OR(B1773&lt;&gt;"WorkPackage",D1773&lt;&gt;"tracks_scope",E1773&lt;&gt;"Scope",F1773=""),"",IFERROR(INDEX(SCOPES!$K$5:$K$2000,MATCH(F1773,SCOPES!$A$5:$A$2000,0)),"UNMATCHED"))</f>
        <v/>
      </c>
    </row>
    <row r="1774" ht="21.75" customHeight="1" s="130">
      <c r="J1774" s="107">
        <f>IF(OR(B1774&lt;&gt;"WorkPackage",D1774&lt;&gt;"tracks_scope",E1774&lt;&gt;"Scope",F1774=""),"",IFERROR(INDEX(SCOPES!$K$5:$K$2000,MATCH(F1774,SCOPES!$A$5:$A$2000,0)),"UNMATCHED"))</f>
        <v/>
      </c>
    </row>
    <row r="1775" ht="21.75" customHeight="1" s="130">
      <c r="J1775" s="107">
        <f>IF(OR(B1775&lt;&gt;"WorkPackage",D1775&lt;&gt;"tracks_scope",E1775&lt;&gt;"Scope",F1775=""),"",IFERROR(INDEX(SCOPES!$K$5:$K$2000,MATCH(F1775,SCOPES!$A$5:$A$2000,0)),"UNMATCHED"))</f>
        <v/>
      </c>
    </row>
    <row r="1776" ht="21.75" customHeight="1" s="130">
      <c r="J1776" s="107">
        <f>IF(OR(B1776&lt;&gt;"WorkPackage",D1776&lt;&gt;"tracks_scope",E1776&lt;&gt;"Scope",F1776=""),"",IFERROR(INDEX(SCOPES!$K$5:$K$2000,MATCH(F1776,SCOPES!$A$5:$A$2000,0)),"UNMATCHED"))</f>
        <v/>
      </c>
    </row>
    <row r="1777" ht="21.75" customHeight="1" s="130">
      <c r="J1777" s="107">
        <f>IF(OR(B1777&lt;&gt;"WorkPackage",D1777&lt;&gt;"tracks_scope",E1777&lt;&gt;"Scope",F1777=""),"",IFERROR(INDEX(SCOPES!$K$5:$K$2000,MATCH(F1777,SCOPES!$A$5:$A$2000,0)),"UNMATCHED"))</f>
        <v/>
      </c>
    </row>
    <row r="1778" ht="21.75" customHeight="1" s="130">
      <c r="J1778" s="107">
        <f>IF(OR(B1778&lt;&gt;"WorkPackage",D1778&lt;&gt;"tracks_scope",E1778&lt;&gt;"Scope",F1778=""),"",IFERROR(INDEX(SCOPES!$K$5:$K$2000,MATCH(F1778,SCOPES!$A$5:$A$2000,0)),"UNMATCHED"))</f>
        <v/>
      </c>
    </row>
    <row r="1779" ht="21.75" customHeight="1" s="130">
      <c r="J1779" s="107">
        <f>IF(OR(B1779&lt;&gt;"WorkPackage",D1779&lt;&gt;"tracks_scope",E1779&lt;&gt;"Scope",F1779=""),"",IFERROR(INDEX(SCOPES!$K$5:$K$2000,MATCH(F1779,SCOPES!$A$5:$A$2000,0)),"UNMATCHED"))</f>
        <v/>
      </c>
    </row>
    <row r="1780" ht="21.75" customHeight="1" s="130">
      <c r="J1780" s="107">
        <f>IF(OR(B1780&lt;&gt;"WorkPackage",D1780&lt;&gt;"tracks_scope",E1780&lt;&gt;"Scope",F1780=""),"",IFERROR(INDEX(SCOPES!$K$5:$K$2000,MATCH(F1780,SCOPES!$A$5:$A$2000,0)),"UNMATCHED"))</f>
        <v/>
      </c>
    </row>
    <row r="1781" ht="21.75" customHeight="1" s="130">
      <c r="J1781" s="107">
        <f>IF(OR(B1781&lt;&gt;"WorkPackage",D1781&lt;&gt;"tracks_scope",E1781&lt;&gt;"Scope",F1781=""),"",IFERROR(INDEX(SCOPES!$K$5:$K$2000,MATCH(F1781,SCOPES!$A$5:$A$2000,0)),"UNMATCHED"))</f>
        <v/>
      </c>
    </row>
    <row r="1782" ht="21.75" customHeight="1" s="130">
      <c r="J1782" s="107">
        <f>IF(OR(B1782&lt;&gt;"WorkPackage",D1782&lt;&gt;"tracks_scope",E1782&lt;&gt;"Scope",F1782=""),"",IFERROR(INDEX(SCOPES!$K$5:$K$2000,MATCH(F1782,SCOPES!$A$5:$A$2000,0)),"UNMATCHED"))</f>
        <v/>
      </c>
    </row>
    <row r="1783" ht="21.75" customHeight="1" s="130">
      <c r="J1783" s="107">
        <f>IF(OR(B1783&lt;&gt;"WorkPackage",D1783&lt;&gt;"tracks_scope",E1783&lt;&gt;"Scope",F1783=""),"",IFERROR(INDEX(SCOPES!$K$5:$K$2000,MATCH(F1783,SCOPES!$A$5:$A$2000,0)),"UNMATCHED"))</f>
        <v/>
      </c>
    </row>
    <row r="1784" ht="21.75" customHeight="1" s="130">
      <c r="J1784" s="107">
        <f>IF(OR(B1784&lt;&gt;"WorkPackage",D1784&lt;&gt;"tracks_scope",E1784&lt;&gt;"Scope",F1784=""),"",IFERROR(INDEX(SCOPES!$K$5:$K$2000,MATCH(F1784,SCOPES!$A$5:$A$2000,0)),"UNMATCHED"))</f>
        <v/>
      </c>
    </row>
    <row r="1785" ht="21.75" customHeight="1" s="130">
      <c r="J1785" s="107">
        <f>IF(OR(B1785&lt;&gt;"WorkPackage",D1785&lt;&gt;"tracks_scope",E1785&lt;&gt;"Scope",F1785=""),"",IFERROR(INDEX(SCOPES!$K$5:$K$2000,MATCH(F1785,SCOPES!$A$5:$A$2000,0)),"UNMATCHED"))</f>
        <v/>
      </c>
    </row>
    <row r="1786" ht="21.75" customHeight="1" s="130">
      <c r="J1786" s="107">
        <f>IF(OR(B1786&lt;&gt;"WorkPackage",D1786&lt;&gt;"tracks_scope",E1786&lt;&gt;"Scope",F1786=""),"",IFERROR(INDEX(SCOPES!$K$5:$K$2000,MATCH(F1786,SCOPES!$A$5:$A$2000,0)),"UNMATCHED"))</f>
        <v/>
      </c>
    </row>
    <row r="1787" ht="21.75" customHeight="1" s="130">
      <c r="J1787" s="107">
        <f>IF(OR(B1787&lt;&gt;"WorkPackage",D1787&lt;&gt;"tracks_scope",E1787&lt;&gt;"Scope",F1787=""),"",IFERROR(INDEX(SCOPES!$K$5:$K$2000,MATCH(F1787,SCOPES!$A$5:$A$2000,0)),"UNMATCHED"))</f>
        <v/>
      </c>
    </row>
    <row r="1788" ht="21.75" customHeight="1" s="130">
      <c r="J1788" s="107">
        <f>IF(OR(B1788&lt;&gt;"WorkPackage",D1788&lt;&gt;"tracks_scope",E1788&lt;&gt;"Scope",F1788=""),"",IFERROR(INDEX(SCOPES!$K$5:$K$2000,MATCH(F1788,SCOPES!$A$5:$A$2000,0)),"UNMATCHED"))</f>
        <v/>
      </c>
    </row>
    <row r="1789" ht="21.75" customHeight="1" s="130">
      <c r="J1789" s="107">
        <f>IF(OR(B1789&lt;&gt;"WorkPackage",D1789&lt;&gt;"tracks_scope",E1789&lt;&gt;"Scope",F1789=""),"",IFERROR(INDEX(SCOPES!$K$5:$K$2000,MATCH(F1789,SCOPES!$A$5:$A$2000,0)),"UNMATCHED"))</f>
        <v/>
      </c>
    </row>
    <row r="1790" ht="21.75" customHeight="1" s="130">
      <c r="J1790" s="107">
        <f>IF(OR(B1790&lt;&gt;"WorkPackage",D1790&lt;&gt;"tracks_scope",E1790&lt;&gt;"Scope",F1790=""),"",IFERROR(INDEX(SCOPES!$K$5:$K$2000,MATCH(F1790,SCOPES!$A$5:$A$2000,0)),"UNMATCHED"))</f>
        <v/>
      </c>
    </row>
    <row r="1791" ht="21.75" customHeight="1" s="130">
      <c r="J1791" s="107">
        <f>IF(OR(B1791&lt;&gt;"WorkPackage",D1791&lt;&gt;"tracks_scope",E1791&lt;&gt;"Scope",F1791=""),"",IFERROR(INDEX(SCOPES!$K$5:$K$2000,MATCH(F1791,SCOPES!$A$5:$A$2000,0)),"UNMATCHED"))</f>
        <v/>
      </c>
    </row>
    <row r="1792" ht="21.75" customHeight="1" s="130">
      <c r="J1792" s="107">
        <f>IF(OR(B1792&lt;&gt;"WorkPackage",D1792&lt;&gt;"tracks_scope",E1792&lt;&gt;"Scope",F1792=""),"",IFERROR(INDEX(SCOPES!$K$5:$K$2000,MATCH(F1792,SCOPES!$A$5:$A$2000,0)),"UNMATCHED"))</f>
        <v/>
      </c>
    </row>
    <row r="1793" ht="21.75" customHeight="1" s="130">
      <c r="J1793" s="107">
        <f>IF(OR(B1793&lt;&gt;"WorkPackage",D1793&lt;&gt;"tracks_scope",E1793&lt;&gt;"Scope",F1793=""),"",IFERROR(INDEX(SCOPES!$K$5:$K$2000,MATCH(F1793,SCOPES!$A$5:$A$2000,0)),"UNMATCHED"))</f>
        <v/>
      </c>
    </row>
    <row r="1794" ht="21.75" customHeight="1" s="130">
      <c r="J1794" s="107">
        <f>IF(OR(B1794&lt;&gt;"WorkPackage",D1794&lt;&gt;"tracks_scope",E1794&lt;&gt;"Scope",F1794=""),"",IFERROR(INDEX(SCOPES!$K$5:$K$2000,MATCH(F1794,SCOPES!$A$5:$A$2000,0)),"UNMATCHED"))</f>
        <v/>
      </c>
    </row>
    <row r="1795" ht="21.75" customHeight="1" s="130">
      <c r="J1795" s="107">
        <f>IF(OR(B1795&lt;&gt;"WorkPackage",D1795&lt;&gt;"tracks_scope",E1795&lt;&gt;"Scope",F1795=""),"",IFERROR(INDEX(SCOPES!$K$5:$K$2000,MATCH(F1795,SCOPES!$A$5:$A$2000,0)),"UNMATCHED"))</f>
        <v/>
      </c>
    </row>
    <row r="1796" ht="21.75" customHeight="1" s="130">
      <c r="J1796" s="107">
        <f>IF(OR(B1796&lt;&gt;"WorkPackage",D1796&lt;&gt;"tracks_scope",E1796&lt;&gt;"Scope",F1796=""),"",IFERROR(INDEX(SCOPES!$K$5:$K$2000,MATCH(F1796,SCOPES!$A$5:$A$2000,0)),"UNMATCHED"))</f>
        <v/>
      </c>
    </row>
    <row r="1797" ht="21.75" customHeight="1" s="130">
      <c r="J1797" s="107">
        <f>IF(OR(B1797&lt;&gt;"WorkPackage",D1797&lt;&gt;"tracks_scope",E1797&lt;&gt;"Scope",F1797=""),"",IFERROR(INDEX(SCOPES!$K$5:$K$2000,MATCH(F1797,SCOPES!$A$5:$A$2000,0)),"UNMATCHED"))</f>
        <v/>
      </c>
    </row>
    <row r="1798" ht="21.75" customHeight="1" s="130">
      <c r="J1798" s="107">
        <f>IF(OR(B1798&lt;&gt;"WorkPackage",D1798&lt;&gt;"tracks_scope",E1798&lt;&gt;"Scope",F1798=""),"",IFERROR(INDEX(SCOPES!$K$5:$K$2000,MATCH(F1798,SCOPES!$A$5:$A$2000,0)),"UNMATCHED"))</f>
        <v/>
      </c>
    </row>
    <row r="1799" ht="21.75" customHeight="1" s="130">
      <c r="J1799" s="107">
        <f>IF(OR(B1799&lt;&gt;"WorkPackage",D1799&lt;&gt;"tracks_scope",E1799&lt;&gt;"Scope",F1799=""),"",IFERROR(INDEX(SCOPES!$K$5:$K$2000,MATCH(F1799,SCOPES!$A$5:$A$2000,0)),"UNMATCHED"))</f>
        <v/>
      </c>
    </row>
    <row r="1800" ht="21.75" customHeight="1" s="130">
      <c r="J1800" s="107">
        <f>IF(OR(B1800&lt;&gt;"WorkPackage",D1800&lt;&gt;"tracks_scope",E1800&lt;&gt;"Scope",F1800=""),"",IFERROR(INDEX(SCOPES!$K$5:$K$2000,MATCH(F1800,SCOPES!$A$5:$A$2000,0)),"UNMATCHED"))</f>
        <v/>
      </c>
    </row>
    <row r="1801" ht="21.75" customHeight="1" s="130">
      <c r="J1801" s="107">
        <f>IF(OR(B1801&lt;&gt;"WorkPackage",D1801&lt;&gt;"tracks_scope",E1801&lt;&gt;"Scope",F1801=""),"",IFERROR(INDEX(SCOPES!$K$5:$K$2000,MATCH(F1801,SCOPES!$A$5:$A$2000,0)),"UNMATCHED"))</f>
        <v/>
      </c>
    </row>
    <row r="1802" ht="21.75" customHeight="1" s="130">
      <c r="J1802" s="107">
        <f>IF(OR(B1802&lt;&gt;"WorkPackage",D1802&lt;&gt;"tracks_scope",E1802&lt;&gt;"Scope",F1802=""),"",IFERROR(INDEX(SCOPES!$K$5:$K$2000,MATCH(F1802,SCOPES!$A$5:$A$2000,0)),"UNMATCHED"))</f>
        <v/>
      </c>
    </row>
    <row r="1803" ht="21.75" customHeight="1" s="130">
      <c r="J1803" s="107">
        <f>IF(OR(B1803&lt;&gt;"WorkPackage",D1803&lt;&gt;"tracks_scope",E1803&lt;&gt;"Scope",F1803=""),"",IFERROR(INDEX(SCOPES!$K$5:$K$2000,MATCH(F1803,SCOPES!$A$5:$A$2000,0)),"UNMATCHED"))</f>
        <v/>
      </c>
    </row>
    <row r="1804" ht="21.75" customHeight="1" s="130">
      <c r="J1804" s="107">
        <f>IF(OR(B1804&lt;&gt;"WorkPackage",D1804&lt;&gt;"tracks_scope",E1804&lt;&gt;"Scope",F1804=""),"",IFERROR(INDEX(SCOPES!$K$5:$K$2000,MATCH(F1804,SCOPES!$A$5:$A$2000,0)),"UNMATCHED"))</f>
        <v/>
      </c>
    </row>
    <row r="1805" ht="21.75" customHeight="1" s="130">
      <c r="J1805" s="107">
        <f>IF(OR(B1805&lt;&gt;"WorkPackage",D1805&lt;&gt;"tracks_scope",E1805&lt;&gt;"Scope",F1805=""),"",IFERROR(INDEX(SCOPES!$K$5:$K$2000,MATCH(F1805,SCOPES!$A$5:$A$2000,0)),"UNMATCHED"))</f>
        <v/>
      </c>
    </row>
    <row r="1806" ht="21.75" customHeight="1" s="130">
      <c r="J1806" s="107">
        <f>IF(OR(B1806&lt;&gt;"WorkPackage",D1806&lt;&gt;"tracks_scope",E1806&lt;&gt;"Scope",F1806=""),"",IFERROR(INDEX(SCOPES!$K$5:$K$2000,MATCH(F1806,SCOPES!$A$5:$A$2000,0)),"UNMATCHED"))</f>
        <v/>
      </c>
    </row>
    <row r="1807" ht="21.75" customHeight="1" s="130">
      <c r="J1807" s="107">
        <f>IF(OR(B1807&lt;&gt;"WorkPackage",D1807&lt;&gt;"tracks_scope",E1807&lt;&gt;"Scope",F1807=""),"",IFERROR(INDEX(SCOPES!$K$5:$K$2000,MATCH(F1807,SCOPES!$A$5:$A$2000,0)),"UNMATCHED"))</f>
        <v/>
      </c>
    </row>
    <row r="1808" ht="21.75" customHeight="1" s="130">
      <c r="J1808" s="107">
        <f>IF(OR(B1808&lt;&gt;"WorkPackage",D1808&lt;&gt;"tracks_scope",E1808&lt;&gt;"Scope",F1808=""),"",IFERROR(INDEX(SCOPES!$K$5:$K$2000,MATCH(F1808,SCOPES!$A$5:$A$2000,0)),"UNMATCHED"))</f>
        <v/>
      </c>
    </row>
    <row r="1809" ht="21.75" customHeight="1" s="130">
      <c r="J1809" s="107">
        <f>IF(OR(B1809&lt;&gt;"WorkPackage",D1809&lt;&gt;"tracks_scope",E1809&lt;&gt;"Scope",F1809=""),"",IFERROR(INDEX(SCOPES!$K$5:$K$2000,MATCH(F1809,SCOPES!$A$5:$A$2000,0)),"UNMATCHED"))</f>
        <v/>
      </c>
    </row>
    <row r="1810" ht="21.75" customHeight="1" s="130">
      <c r="J1810" s="107">
        <f>IF(OR(B1810&lt;&gt;"WorkPackage",D1810&lt;&gt;"tracks_scope",E1810&lt;&gt;"Scope",F1810=""),"",IFERROR(INDEX(SCOPES!$K$5:$K$2000,MATCH(F1810,SCOPES!$A$5:$A$2000,0)),"UNMATCHED"))</f>
        <v/>
      </c>
    </row>
    <row r="1811" ht="21.75" customHeight="1" s="130">
      <c r="J1811" s="107">
        <f>IF(OR(B1811&lt;&gt;"WorkPackage",D1811&lt;&gt;"tracks_scope",E1811&lt;&gt;"Scope",F1811=""),"",IFERROR(INDEX(SCOPES!$K$5:$K$2000,MATCH(F1811,SCOPES!$A$5:$A$2000,0)),"UNMATCHED"))</f>
        <v/>
      </c>
    </row>
    <row r="1812" ht="21.75" customHeight="1" s="130">
      <c r="J1812" s="107">
        <f>IF(OR(B1812&lt;&gt;"WorkPackage",D1812&lt;&gt;"tracks_scope",E1812&lt;&gt;"Scope",F1812=""),"",IFERROR(INDEX(SCOPES!$K$5:$K$2000,MATCH(F1812,SCOPES!$A$5:$A$2000,0)),"UNMATCHED"))</f>
        <v/>
      </c>
    </row>
    <row r="1813" ht="21.75" customHeight="1" s="130">
      <c r="J1813" s="107">
        <f>IF(OR(B1813&lt;&gt;"WorkPackage",D1813&lt;&gt;"tracks_scope",E1813&lt;&gt;"Scope",F1813=""),"",IFERROR(INDEX(SCOPES!$K$5:$K$2000,MATCH(F1813,SCOPES!$A$5:$A$2000,0)),"UNMATCHED"))</f>
        <v/>
      </c>
    </row>
    <row r="1814" ht="21.75" customHeight="1" s="130">
      <c r="J1814" s="107">
        <f>IF(OR(B1814&lt;&gt;"WorkPackage",D1814&lt;&gt;"tracks_scope",E1814&lt;&gt;"Scope",F1814=""),"",IFERROR(INDEX(SCOPES!$K$5:$K$2000,MATCH(F1814,SCOPES!$A$5:$A$2000,0)),"UNMATCHED"))</f>
        <v/>
      </c>
    </row>
    <row r="1815" ht="21.75" customHeight="1" s="130">
      <c r="J1815" s="107">
        <f>IF(OR(B1815&lt;&gt;"WorkPackage",D1815&lt;&gt;"tracks_scope",E1815&lt;&gt;"Scope",F1815=""),"",IFERROR(INDEX(SCOPES!$K$5:$K$2000,MATCH(F1815,SCOPES!$A$5:$A$2000,0)),"UNMATCHED"))</f>
        <v/>
      </c>
    </row>
    <row r="1816" ht="21.75" customHeight="1" s="130">
      <c r="J1816" s="107">
        <f>IF(OR(B1816&lt;&gt;"WorkPackage",D1816&lt;&gt;"tracks_scope",E1816&lt;&gt;"Scope",F1816=""),"",IFERROR(INDEX(SCOPES!$K$5:$K$2000,MATCH(F1816,SCOPES!$A$5:$A$2000,0)),"UNMATCHED"))</f>
        <v/>
      </c>
    </row>
    <row r="1817" ht="21.75" customHeight="1" s="130">
      <c r="J1817" s="107">
        <f>IF(OR(B1817&lt;&gt;"WorkPackage",D1817&lt;&gt;"tracks_scope",E1817&lt;&gt;"Scope",F1817=""),"",IFERROR(INDEX(SCOPES!$K$5:$K$2000,MATCH(F1817,SCOPES!$A$5:$A$2000,0)),"UNMATCHED"))</f>
        <v/>
      </c>
    </row>
    <row r="1818" ht="21.75" customHeight="1" s="130">
      <c r="J1818" s="107">
        <f>IF(OR(B1818&lt;&gt;"WorkPackage",D1818&lt;&gt;"tracks_scope",E1818&lt;&gt;"Scope",F1818=""),"",IFERROR(INDEX(SCOPES!$K$5:$K$2000,MATCH(F1818,SCOPES!$A$5:$A$2000,0)),"UNMATCHED"))</f>
        <v/>
      </c>
    </row>
    <row r="1819" ht="21.75" customHeight="1" s="130">
      <c r="J1819" s="107">
        <f>IF(OR(B1819&lt;&gt;"WorkPackage",D1819&lt;&gt;"tracks_scope",E1819&lt;&gt;"Scope",F1819=""),"",IFERROR(INDEX(SCOPES!$K$5:$K$2000,MATCH(F1819,SCOPES!$A$5:$A$2000,0)),"UNMATCHED"))</f>
        <v/>
      </c>
    </row>
    <row r="1820" ht="21.75" customHeight="1" s="130">
      <c r="J1820" s="107">
        <f>IF(OR(B1820&lt;&gt;"WorkPackage",D1820&lt;&gt;"tracks_scope",E1820&lt;&gt;"Scope",F1820=""),"",IFERROR(INDEX(SCOPES!$K$5:$K$2000,MATCH(F1820,SCOPES!$A$5:$A$2000,0)),"UNMATCHED"))</f>
        <v/>
      </c>
    </row>
    <row r="1821" ht="21.75" customHeight="1" s="130">
      <c r="J1821" s="107">
        <f>IF(OR(B1821&lt;&gt;"WorkPackage",D1821&lt;&gt;"tracks_scope",E1821&lt;&gt;"Scope",F1821=""),"",IFERROR(INDEX(SCOPES!$K$5:$K$2000,MATCH(F1821,SCOPES!$A$5:$A$2000,0)),"UNMATCHED"))</f>
        <v/>
      </c>
    </row>
    <row r="1822" ht="21.75" customHeight="1" s="130">
      <c r="J1822" s="107">
        <f>IF(OR(B1822&lt;&gt;"WorkPackage",D1822&lt;&gt;"tracks_scope",E1822&lt;&gt;"Scope",F1822=""),"",IFERROR(INDEX(SCOPES!$K$5:$K$2000,MATCH(F1822,SCOPES!$A$5:$A$2000,0)),"UNMATCHED"))</f>
        <v/>
      </c>
    </row>
    <row r="1823" ht="21.75" customHeight="1" s="130">
      <c r="J1823" s="107">
        <f>IF(OR(B1823&lt;&gt;"WorkPackage",D1823&lt;&gt;"tracks_scope",E1823&lt;&gt;"Scope",F1823=""),"",IFERROR(INDEX(SCOPES!$K$5:$K$2000,MATCH(F1823,SCOPES!$A$5:$A$2000,0)),"UNMATCHED"))</f>
        <v/>
      </c>
    </row>
    <row r="1824" ht="21.75" customHeight="1" s="130">
      <c r="J1824" s="107">
        <f>IF(OR(B1824&lt;&gt;"WorkPackage",D1824&lt;&gt;"tracks_scope",E1824&lt;&gt;"Scope",F1824=""),"",IFERROR(INDEX(SCOPES!$K$5:$K$2000,MATCH(F1824,SCOPES!$A$5:$A$2000,0)),"UNMATCHED"))</f>
        <v/>
      </c>
    </row>
    <row r="1825" ht="21.75" customHeight="1" s="130">
      <c r="J1825" s="107">
        <f>IF(OR(B1825&lt;&gt;"WorkPackage",D1825&lt;&gt;"tracks_scope",E1825&lt;&gt;"Scope",F1825=""),"",IFERROR(INDEX(SCOPES!$K$5:$K$2000,MATCH(F1825,SCOPES!$A$5:$A$2000,0)),"UNMATCHED"))</f>
        <v/>
      </c>
    </row>
    <row r="1826" ht="21.75" customHeight="1" s="130">
      <c r="J1826" s="107">
        <f>IF(OR(B1826&lt;&gt;"WorkPackage",D1826&lt;&gt;"tracks_scope",E1826&lt;&gt;"Scope",F1826=""),"",IFERROR(INDEX(SCOPES!$K$5:$K$2000,MATCH(F1826,SCOPES!$A$5:$A$2000,0)),"UNMATCHED"))</f>
        <v/>
      </c>
    </row>
    <row r="1827" ht="21.75" customHeight="1" s="130">
      <c r="J1827" s="107">
        <f>IF(OR(B1827&lt;&gt;"WorkPackage",D1827&lt;&gt;"tracks_scope",E1827&lt;&gt;"Scope",F1827=""),"",IFERROR(INDEX(SCOPES!$K$5:$K$2000,MATCH(F1827,SCOPES!$A$5:$A$2000,0)),"UNMATCHED"))</f>
        <v/>
      </c>
    </row>
    <row r="1828" ht="21.75" customHeight="1" s="130">
      <c r="J1828" s="107">
        <f>IF(OR(B1828&lt;&gt;"WorkPackage",D1828&lt;&gt;"tracks_scope",E1828&lt;&gt;"Scope",F1828=""),"",IFERROR(INDEX(SCOPES!$K$5:$K$2000,MATCH(F1828,SCOPES!$A$5:$A$2000,0)),"UNMATCHED"))</f>
        <v/>
      </c>
    </row>
    <row r="1829" ht="21.75" customHeight="1" s="130">
      <c r="J1829" s="107">
        <f>IF(OR(B1829&lt;&gt;"WorkPackage",D1829&lt;&gt;"tracks_scope",E1829&lt;&gt;"Scope",F1829=""),"",IFERROR(INDEX(SCOPES!$K$5:$K$2000,MATCH(F1829,SCOPES!$A$5:$A$2000,0)),"UNMATCHED"))</f>
        <v/>
      </c>
    </row>
    <row r="1830" ht="21.75" customHeight="1" s="130">
      <c r="J1830" s="107">
        <f>IF(OR(B1830&lt;&gt;"WorkPackage",D1830&lt;&gt;"tracks_scope",E1830&lt;&gt;"Scope",F1830=""),"",IFERROR(INDEX(SCOPES!$K$5:$K$2000,MATCH(F1830,SCOPES!$A$5:$A$2000,0)),"UNMATCHED"))</f>
        <v/>
      </c>
    </row>
    <row r="1831" ht="21.75" customHeight="1" s="130">
      <c r="J1831" s="107">
        <f>IF(OR(B1831&lt;&gt;"WorkPackage",D1831&lt;&gt;"tracks_scope",E1831&lt;&gt;"Scope",F1831=""),"",IFERROR(INDEX(SCOPES!$K$5:$K$2000,MATCH(F1831,SCOPES!$A$5:$A$2000,0)),"UNMATCHED"))</f>
        <v/>
      </c>
    </row>
    <row r="1832" ht="21.75" customHeight="1" s="130">
      <c r="J1832" s="107">
        <f>IF(OR(B1832&lt;&gt;"WorkPackage",D1832&lt;&gt;"tracks_scope",E1832&lt;&gt;"Scope",F1832=""),"",IFERROR(INDEX(SCOPES!$K$5:$K$2000,MATCH(F1832,SCOPES!$A$5:$A$2000,0)),"UNMATCHED"))</f>
        <v/>
      </c>
    </row>
    <row r="1833" ht="21.75" customHeight="1" s="130">
      <c r="J1833" s="107">
        <f>IF(OR(B1833&lt;&gt;"WorkPackage",D1833&lt;&gt;"tracks_scope",E1833&lt;&gt;"Scope",F1833=""),"",IFERROR(INDEX(SCOPES!$K$5:$K$2000,MATCH(F1833,SCOPES!$A$5:$A$2000,0)),"UNMATCHED"))</f>
        <v/>
      </c>
    </row>
    <row r="1834" ht="21.75" customHeight="1" s="130">
      <c r="J1834" s="107">
        <f>IF(OR(B1834&lt;&gt;"WorkPackage",D1834&lt;&gt;"tracks_scope",E1834&lt;&gt;"Scope",F1834=""),"",IFERROR(INDEX(SCOPES!$K$5:$K$2000,MATCH(F1834,SCOPES!$A$5:$A$2000,0)),"UNMATCHED"))</f>
        <v/>
      </c>
    </row>
    <row r="1835" ht="21.75" customHeight="1" s="130">
      <c r="J1835" s="107">
        <f>IF(OR(B1835&lt;&gt;"WorkPackage",D1835&lt;&gt;"tracks_scope",E1835&lt;&gt;"Scope",F1835=""),"",IFERROR(INDEX(SCOPES!$K$5:$K$2000,MATCH(F1835,SCOPES!$A$5:$A$2000,0)),"UNMATCHED"))</f>
        <v/>
      </c>
    </row>
    <row r="1836" ht="21.75" customHeight="1" s="130">
      <c r="J1836" s="107">
        <f>IF(OR(B1836&lt;&gt;"WorkPackage",D1836&lt;&gt;"tracks_scope",E1836&lt;&gt;"Scope",F1836=""),"",IFERROR(INDEX(SCOPES!$K$5:$K$2000,MATCH(F1836,SCOPES!$A$5:$A$2000,0)),"UNMATCHED"))</f>
        <v/>
      </c>
    </row>
    <row r="1837" ht="21.75" customHeight="1" s="130">
      <c r="J1837" s="107">
        <f>IF(OR(B1837&lt;&gt;"WorkPackage",D1837&lt;&gt;"tracks_scope",E1837&lt;&gt;"Scope",F1837=""),"",IFERROR(INDEX(SCOPES!$K$5:$K$2000,MATCH(F1837,SCOPES!$A$5:$A$2000,0)),"UNMATCHED"))</f>
        <v/>
      </c>
    </row>
    <row r="1838" ht="21.75" customHeight="1" s="130">
      <c r="J1838" s="107">
        <f>IF(OR(B1838&lt;&gt;"WorkPackage",D1838&lt;&gt;"tracks_scope",E1838&lt;&gt;"Scope",F1838=""),"",IFERROR(INDEX(SCOPES!$K$5:$K$2000,MATCH(F1838,SCOPES!$A$5:$A$2000,0)),"UNMATCHED"))</f>
        <v/>
      </c>
    </row>
    <row r="1839" ht="21.75" customHeight="1" s="130">
      <c r="J1839" s="107">
        <f>IF(OR(B1839&lt;&gt;"WorkPackage",D1839&lt;&gt;"tracks_scope",E1839&lt;&gt;"Scope",F1839=""),"",IFERROR(INDEX(SCOPES!$K$5:$K$2000,MATCH(F1839,SCOPES!$A$5:$A$2000,0)),"UNMATCHED"))</f>
        <v/>
      </c>
    </row>
    <row r="1840" ht="21.75" customHeight="1" s="130">
      <c r="J1840" s="107">
        <f>IF(OR(B1840&lt;&gt;"WorkPackage",D1840&lt;&gt;"tracks_scope",E1840&lt;&gt;"Scope",F1840=""),"",IFERROR(INDEX(SCOPES!$K$5:$K$2000,MATCH(F1840,SCOPES!$A$5:$A$2000,0)),"UNMATCHED"))</f>
        <v/>
      </c>
    </row>
    <row r="1841" ht="21.75" customHeight="1" s="130">
      <c r="J1841" s="107">
        <f>IF(OR(B1841&lt;&gt;"WorkPackage",D1841&lt;&gt;"tracks_scope",E1841&lt;&gt;"Scope",F1841=""),"",IFERROR(INDEX(SCOPES!$K$5:$K$2000,MATCH(F1841,SCOPES!$A$5:$A$2000,0)),"UNMATCHED"))</f>
        <v/>
      </c>
    </row>
    <row r="1842" ht="21.75" customHeight="1" s="130">
      <c r="J1842" s="107">
        <f>IF(OR(B1842&lt;&gt;"WorkPackage",D1842&lt;&gt;"tracks_scope",E1842&lt;&gt;"Scope",F1842=""),"",IFERROR(INDEX(SCOPES!$K$5:$K$2000,MATCH(F1842,SCOPES!$A$5:$A$2000,0)),"UNMATCHED"))</f>
        <v/>
      </c>
    </row>
    <row r="1843" ht="21.75" customHeight="1" s="130">
      <c r="J1843" s="107">
        <f>IF(OR(B1843&lt;&gt;"WorkPackage",D1843&lt;&gt;"tracks_scope",E1843&lt;&gt;"Scope",F1843=""),"",IFERROR(INDEX(SCOPES!$K$5:$K$2000,MATCH(F1843,SCOPES!$A$5:$A$2000,0)),"UNMATCHED"))</f>
        <v/>
      </c>
    </row>
    <row r="1844" ht="21.75" customHeight="1" s="130">
      <c r="J1844" s="107">
        <f>IF(OR(B1844&lt;&gt;"WorkPackage",D1844&lt;&gt;"tracks_scope",E1844&lt;&gt;"Scope",F1844=""),"",IFERROR(INDEX(SCOPES!$K$5:$K$2000,MATCH(F1844,SCOPES!$A$5:$A$2000,0)),"UNMATCHED"))</f>
        <v/>
      </c>
    </row>
    <row r="1845" ht="21.75" customHeight="1" s="130">
      <c r="J1845" s="107">
        <f>IF(OR(B1845&lt;&gt;"WorkPackage",D1845&lt;&gt;"tracks_scope",E1845&lt;&gt;"Scope",F1845=""),"",IFERROR(INDEX(SCOPES!$K$5:$K$2000,MATCH(F1845,SCOPES!$A$5:$A$2000,0)),"UNMATCHED"))</f>
        <v/>
      </c>
    </row>
    <row r="1846" ht="21.75" customHeight="1" s="130">
      <c r="J1846" s="107">
        <f>IF(OR(B1846&lt;&gt;"WorkPackage",D1846&lt;&gt;"tracks_scope",E1846&lt;&gt;"Scope",F1846=""),"",IFERROR(INDEX(SCOPES!$K$5:$K$2000,MATCH(F1846,SCOPES!$A$5:$A$2000,0)),"UNMATCHED"))</f>
        <v/>
      </c>
    </row>
    <row r="1847" ht="21.75" customHeight="1" s="130">
      <c r="J1847" s="107">
        <f>IF(OR(B1847&lt;&gt;"WorkPackage",D1847&lt;&gt;"tracks_scope",E1847&lt;&gt;"Scope",F1847=""),"",IFERROR(INDEX(SCOPES!$K$5:$K$2000,MATCH(F1847,SCOPES!$A$5:$A$2000,0)),"UNMATCHED"))</f>
        <v/>
      </c>
    </row>
    <row r="1848" ht="21.75" customHeight="1" s="130">
      <c r="J1848" s="107">
        <f>IF(OR(B1848&lt;&gt;"WorkPackage",D1848&lt;&gt;"tracks_scope",E1848&lt;&gt;"Scope",F1848=""),"",IFERROR(INDEX(SCOPES!$K$5:$K$2000,MATCH(F1848,SCOPES!$A$5:$A$2000,0)),"UNMATCHED"))</f>
        <v/>
      </c>
    </row>
    <row r="1849" ht="21.75" customHeight="1" s="130">
      <c r="J1849" s="107">
        <f>IF(OR(B1849&lt;&gt;"WorkPackage",D1849&lt;&gt;"tracks_scope",E1849&lt;&gt;"Scope",F1849=""),"",IFERROR(INDEX(SCOPES!$K$5:$K$2000,MATCH(F1849,SCOPES!$A$5:$A$2000,0)),"UNMATCHED"))</f>
        <v/>
      </c>
    </row>
    <row r="1850" ht="21.75" customHeight="1" s="130">
      <c r="J1850" s="107">
        <f>IF(OR(B1850&lt;&gt;"WorkPackage",D1850&lt;&gt;"tracks_scope",E1850&lt;&gt;"Scope",F1850=""),"",IFERROR(INDEX(SCOPES!$K$5:$K$2000,MATCH(F1850,SCOPES!$A$5:$A$2000,0)),"UNMATCHED"))</f>
        <v/>
      </c>
    </row>
    <row r="1851" ht="21.75" customHeight="1" s="130">
      <c r="J1851" s="107">
        <f>IF(OR(B1851&lt;&gt;"WorkPackage",D1851&lt;&gt;"tracks_scope",E1851&lt;&gt;"Scope",F1851=""),"",IFERROR(INDEX(SCOPES!$K$5:$K$2000,MATCH(F1851,SCOPES!$A$5:$A$2000,0)),"UNMATCHED"))</f>
        <v/>
      </c>
    </row>
    <row r="1852" ht="21.75" customHeight="1" s="130">
      <c r="J1852" s="107">
        <f>IF(OR(B1852&lt;&gt;"WorkPackage",D1852&lt;&gt;"tracks_scope",E1852&lt;&gt;"Scope",F1852=""),"",IFERROR(INDEX(SCOPES!$K$5:$K$2000,MATCH(F1852,SCOPES!$A$5:$A$2000,0)),"UNMATCHED"))</f>
        <v/>
      </c>
    </row>
    <row r="1853" ht="21.75" customHeight="1" s="130">
      <c r="J1853" s="107">
        <f>IF(OR(B1853&lt;&gt;"WorkPackage",D1853&lt;&gt;"tracks_scope",E1853&lt;&gt;"Scope",F1853=""),"",IFERROR(INDEX(SCOPES!$K$5:$K$2000,MATCH(F1853,SCOPES!$A$5:$A$2000,0)),"UNMATCHED"))</f>
        <v/>
      </c>
    </row>
    <row r="1854" ht="21.75" customHeight="1" s="130">
      <c r="J1854" s="107">
        <f>IF(OR(B1854&lt;&gt;"WorkPackage",D1854&lt;&gt;"tracks_scope",E1854&lt;&gt;"Scope",F1854=""),"",IFERROR(INDEX(SCOPES!$K$5:$K$2000,MATCH(F1854,SCOPES!$A$5:$A$2000,0)),"UNMATCHED"))</f>
        <v/>
      </c>
    </row>
    <row r="1855" ht="21.75" customHeight="1" s="130">
      <c r="J1855" s="107">
        <f>IF(OR(B1855&lt;&gt;"WorkPackage",D1855&lt;&gt;"tracks_scope",E1855&lt;&gt;"Scope",F1855=""),"",IFERROR(INDEX(SCOPES!$K$5:$K$2000,MATCH(F1855,SCOPES!$A$5:$A$2000,0)),"UNMATCHED"))</f>
        <v/>
      </c>
    </row>
    <row r="1856" ht="21.75" customHeight="1" s="130">
      <c r="J1856" s="107">
        <f>IF(OR(B1856&lt;&gt;"WorkPackage",D1856&lt;&gt;"tracks_scope",E1856&lt;&gt;"Scope",F1856=""),"",IFERROR(INDEX(SCOPES!$K$5:$K$2000,MATCH(F1856,SCOPES!$A$5:$A$2000,0)),"UNMATCHED"))</f>
        <v/>
      </c>
    </row>
    <row r="1857" ht="21.75" customHeight="1" s="130">
      <c r="J1857" s="107">
        <f>IF(OR(B1857&lt;&gt;"WorkPackage",D1857&lt;&gt;"tracks_scope",E1857&lt;&gt;"Scope",F1857=""),"",IFERROR(INDEX(SCOPES!$K$5:$K$2000,MATCH(F1857,SCOPES!$A$5:$A$2000,0)),"UNMATCHED"))</f>
        <v/>
      </c>
    </row>
    <row r="1858" ht="21.75" customHeight="1" s="130">
      <c r="J1858" s="107">
        <f>IF(OR(B1858&lt;&gt;"WorkPackage",D1858&lt;&gt;"tracks_scope",E1858&lt;&gt;"Scope",F1858=""),"",IFERROR(INDEX(SCOPES!$K$5:$K$2000,MATCH(F1858,SCOPES!$A$5:$A$2000,0)),"UNMATCHED"))</f>
        <v/>
      </c>
    </row>
    <row r="1859" ht="21.75" customHeight="1" s="130">
      <c r="J1859" s="107">
        <f>IF(OR(B1859&lt;&gt;"WorkPackage",D1859&lt;&gt;"tracks_scope",E1859&lt;&gt;"Scope",F1859=""),"",IFERROR(INDEX(SCOPES!$K$5:$K$2000,MATCH(F1859,SCOPES!$A$5:$A$2000,0)),"UNMATCHED"))</f>
        <v/>
      </c>
    </row>
    <row r="1860" ht="21.75" customHeight="1" s="130">
      <c r="J1860" s="107">
        <f>IF(OR(B1860&lt;&gt;"WorkPackage",D1860&lt;&gt;"tracks_scope",E1860&lt;&gt;"Scope",F1860=""),"",IFERROR(INDEX(SCOPES!$K$5:$K$2000,MATCH(F1860,SCOPES!$A$5:$A$2000,0)),"UNMATCHED"))</f>
        <v/>
      </c>
    </row>
    <row r="1861" ht="21.75" customHeight="1" s="130">
      <c r="J1861" s="107">
        <f>IF(OR(B1861&lt;&gt;"WorkPackage",D1861&lt;&gt;"tracks_scope",E1861&lt;&gt;"Scope",F1861=""),"",IFERROR(INDEX(SCOPES!$K$5:$K$2000,MATCH(F1861,SCOPES!$A$5:$A$2000,0)),"UNMATCHED"))</f>
        <v/>
      </c>
    </row>
    <row r="1862" ht="21.75" customHeight="1" s="130">
      <c r="J1862" s="107">
        <f>IF(OR(B1862&lt;&gt;"WorkPackage",D1862&lt;&gt;"tracks_scope",E1862&lt;&gt;"Scope",F1862=""),"",IFERROR(INDEX(SCOPES!$K$5:$K$2000,MATCH(F1862,SCOPES!$A$5:$A$2000,0)),"UNMATCHED"))</f>
        <v/>
      </c>
    </row>
    <row r="1863" ht="21.75" customHeight="1" s="130">
      <c r="J1863" s="107">
        <f>IF(OR(B1863&lt;&gt;"WorkPackage",D1863&lt;&gt;"tracks_scope",E1863&lt;&gt;"Scope",F1863=""),"",IFERROR(INDEX(SCOPES!$K$5:$K$2000,MATCH(F1863,SCOPES!$A$5:$A$2000,0)),"UNMATCHED"))</f>
        <v/>
      </c>
    </row>
    <row r="1864" ht="21.75" customHeight="1" s="130">
      <c r="J1864" s="107">
        <f>IF(OR(B1864&lt;&gt;"WorkPackage",D1864&lt;&gt;"tracks_scope",E1864&lt;&gt;"Scope",F1864=""),"",IFERROR(INDEX(SCOPES!$K$5:$K$2000,MATCH(F1864,SCOPES!$A$5:$A$2000,0)),"UNMATCHED"))</f>
        <v/>
      </c>
    </row>
    <row r="1865" ht="21.75" customHeight="1" s="130">
      <c r="J1865" s="107">
        <f>IF(OR(B1865&lt;&gt;"WorkPackage",D1865&lt;&gt;"tracks_scope",E1865&lt;&gt;"Scope",F1865=""),"",IFERROR(INDEX(SCOPES!$K$5:$K$2000,MATCH(F1865,SCOPES!$A$5:$A$2000,0)),"UNMATCHED"))</f>
        <v/>
      </c>
    </row>
    <row r="1866" ht="21.75" customHeight="1" s="130">
      <c r="J1866" s="107">
        <f>IF(OR(B1866&lt;&gt;"WorkPackage",D1866&lt;&gt;"tracks_scope",E1866&lt;&gt;"Scope",F1866=""),"",IFERROR(INDEX(SCOPES!$K$5:$K$2000,MATCH(F1866,SCOPES!$A$5:$A$2000,0)),"UNMATCHED"))</f>
        <v/>
      </c>
    </row>
    <row r="1867" ht="21.75" customHeight="1" s="130">
      <c r="J1867" s="107">
        <f>IF(OR(B1867&lt;&gt;"WorkPackage",D1867&lt;&gt;"tracks_scope",E1867&lt;&gt;"Scope",F1867=""),"",IFERROR(INDEX(SCOPES!$K$5:$K$2000,MATCH(F1867,SCOPES!$A$5:$A$2000,0)),"UNMATCHED"))</f>
        <v/>
      </c>
    </row>
    <row r="1868" ht="21.75" customHeight="1" s="130">
      <c r="J1868" s="107">
        <f>IF(OR(B1868&lt;&gt;"WorkPackage",D1868&lt;&gt;"tracks_scope",E1868&lt;&gt;"Scope",F1868=""),"",IFERROR(INDEX(SCOPES!$K$5:$K$2000,MATCH(F1868,SCOPES!$A$5:$A$2000,0)),"UNMATCHED"))</f>
        <v/>
      </c>
    </row>
    <row r="1869" ht="21.75" customHeight="1" s="130">
      <c r="J1869" s="107">
        <f>IF(OR(B1869&lt;&gt;"WorkPackage",D1869&lt;&gt;"tracks_scope",E1869&lt;&gt;"Scope",F1869=""),"",IFERROR(INDEX(SCOPES!$K$5:$K$2000,MATCH(F1869,SCOPES!$A$5:$A$2000,0)),"UNMATCHED"))</f>
        <v/>
      </c>
    </row>
    <row r="1870" ht="21.75" customHeight="1" s="130">
      <c r="J1870" s="107">
        <f>IF(OR(B1870&lt;&gt;"WorkPackage",D1870&lt;&gt;"tracks_scope",E1870&lt;&gt;"Scope",F1870=""),"",IFERROR(INDEX(SCOPES!$K$5:$K$2000,MATCH(F1870,SCOPES!$A$5:$A$2000,0)),"UNMATCHED"))</f>
        <v/>
      </c>
    </row>
    <row r="1871" ht="21.75" customHeight="1" s="130">
      <c r="J1871" s="107">
        <f>IF(OR(B1871&lt;&gt;"WorkPackage",D1871&lt;&gt;"tracks_scope",E1871&lt;&gt;"Scope",F1871=""),"",IFERROR(INDEX(SCOPES!$K$5:$K$2000,MATCH(F1871,SCOPES!$A$5:$A$2000,0)),"UNMATCHED"))</f>
        <v/>
      </c>
    </row>
    <row r="1872" ht="21.75" customHeight="1" s="130">
      <c r="J1872" s="107">
        <f>IF(OR(B1872&lt;&gt;"WorkPackage",D1872&lt;&gt;"tracks_scope",E1872&lt;&gt;"Scope",F1872=""),"",IFERROR(INDEX(SCOPES!$K$5:$K$2000,MATCH(F1872,SCOPES!$A$5:$A$2000,0)),"UNMATCHED"))</f>
        <v/>
      </c>
    </row>
    <row r="1873" ht="21.75" customHeight="1" s="130">
      <c r="J1873" s="107">
        <f>IF(OR(B1873&lt;&gt;"WorkPackage",D1873&lt;&gt;"tracks_scope",E1873&lt;&gt;"Scope",F1873=""),"",IFERROR(INDEX(SCOPES!$K$5:$K$2000,MATCH(F1873,SCOPES!$A$5:$A$2000,0)),"UNMATCHED"))</f>
        <v/>
      </c>
    </row>
    <row r="1874" ht="21.75" customHeight="1" s="130">
      <c r="J1874" s="107">
        <f>IF(OR(B1874&lt;&gt;"WorkPackage",D1874&lt;&gt;"tracks_scope",E1874&lt;&gt;"Scope",F1874=""),"",IFERROR(INDEX(SCOPES!$K$5:$K$2000,MATCH(F1874,SCOPES!$A$5:$A$2000,0)),"UNMATCHED"))</f>
        <v/>
      </c>
    </row>
    <row r="1875" ht="21.75" customHeight="1" s="130">
      <c r="J1875" s="107">
        <f>IF(OR(B1875&lt;&gt;"WorkPackage",D1875&lt;&gt;"tracks_scope",E1875&lt;&gt;"Scope",F1875=""),"",IFERROR(INDEX(SCOPES!$K$5:$K$2000,MATCH(F1875,SCOPES!$A$5:$A$2000,0)),"UNMATCHED"))</f>
        <v/>
      </c>
    </row>
    <row r="1876" ht="21.75" customHeight="1" s="130">
      <c r="J1876" s="107">
        <f>IF(OR(B1876&lt;&gt;"WorkPackage",D1876&lt;&gt;"tracks_scope",E1876&lt;&gt;"Scope",F1876=""),"",IFERROR(INDEX(SCOPES!$K$5:$K$2000,MATCH(F1876,SCOPES!$A$5:$A$2000,0)),"UNMATCHED"))</f>
        <v/>
      </c>
    </row>
    <row r="1877" ht="21.75" customHeight="1" s="130">
      <c r="J1877" s="107">
        <f>IF(OR(B1877&lt;&gt;"WorkPackage",D1877&lt;&gt;"tracks_scope",E1877&lt;&gt;"Scope",F1877=""),"",IFERROR(INDEX(SCOPES!$K$5:$K$2000,MATCH(F1877,SCOPES!$A$5:$A$2000,0)),"UNMATCHED"))</f>
        <v/>
      </c>
    </row>
    <row r="1878" ht="21.75" customHeight="1" s="130">
      <c r="J1878" s="107">
        <f>IF(OR(B1878&lt;&gt;"WorkPackage",D1878&lt;&gt;"tracks_scope",E1878&lt;&gt;"Scope",F1878=""),"",IFERROR(INDEX(SCOPES!$K$5:$K$2000,MATCH(F1878,SCOPES!$A$5:$A$2000,0)),"UNMATCHED"))</f>
        <v/>
      </c>
    </row>
    <row r="1879" ht="21.75" customHeight="1" s="130">
      <c r="J1879" s="107">
        <f>IF(OR(B1879&lt;&gt;"WorkPackage",D1879&lt;&gt;"tracks_scope",E1879&lt;&gt;"Scope",F1879=""),"",IFERROR(INDEX(SCOPES!$K$5:$K$2000,MATCH(F1879,SCOPES!$A$5:$A$2000,0)),"UNMATCHED"))</f>
        <v/>
      </c>
    </row>
    <row r="1880" ht="21.75" customHeight="1" s="130">
      <c r="J1880" s="107">
        <f>IF(OR(B1880&lt;&gt;"WorkPackage",D1880&lt;&gt;"tracks_scope",E1880&lt;&gt;"Scope",F1880=""),"",IFERROR(INDEX(SCOPES!$K$5:$K$2000,MATCH(F1880,SCOPES!$A$5:$A$2000,0)),"UNMATCHED"))</f>
        <v/>
      </c>
    </row>
    <row r="1881" ht="21.75" customHeight="1" s="130">
      <c r="J1881" s="107">
        <f>IF(OR(B1881&lt;&gt;"WorkPackage",D1881&lt;&gt;"tracks_scope",E1881&lt;&gt;"Scope",F1881=""),"",IFERROR(INDEX(SCOPES!$K$5:$K$2000,MATCH(F1881,SCOPES!$A$5:$A$2000,0)),"UNMATCHED"))</f>
        <v/>
      </c>
    </row>
    <row r="1882" ht="21.75" customHeight="1" s="130">
      <c r="J1882" s="107">
        <f>IF(OR(B1882&lt;&gt;"WorkPackage",D1882&lt;&gt;"tracks_scope",E1882&lt;&gt;"Scope",F1882=""),"",IFERROR(INDEX(SCOPES!$K$5:$K$2000,MATCH(F1882,SCOPES!$A$5:$A$2000,0)),"UNMATCHED"))</f>
        <v/>
      </c>
    </row>
    <row r="1883" ht="21.75" customHeight="1" s="130">
      <c r="J1883" s="107">
        <f>IF(OR(B1883&lt;&gt;"WorkPackage",D1883&lt;&gt;"tracks_scope",E1883&lt;&gt;"Scope",F1883=""),"",IFERROR(INDEX(SCOPES!$K$5:$K$2000,MATCH(F1883,SCOPES!$A$5:$A$2000,0)),"UNMATCHED"))</f>
        <v/>
      </c>
    </row>
    <row r="1884" ht="21.75" customHeight="1" s="130">
      <c r="J1884" s="107">
        <f>IF(OR(B1884&lt;&gt;"WorkPackage",D1884&lt;&gt;"tracks_scope",E1884&lt;&gt;"Scope",F1884=""),"",IFERROR(INDEX(SCOPES!$K$5:$K$2000,MATCH(F1884,SCOPES!$A$5:$A$2000,0)),"UNMATCHED"))</f>
        <v/>
      </c>
    </row>
    <row r="1885" ht="21.75" customHeight="1" s="130">
      <c r="J1885" s="107">
        <f>IF(OR(B1885&lt;&gt;"WorkPackage",D1885&lt;&gt;"tracks_scope",E1885&lt;&gt;"Scope",F1885=""),"",IFERROR(INDEX(SCOPES!$K$5:$K$2000,MATCH(F1885,SCOPES!$A$5:$A$2000,0)),"UNMATCHED"))</f>
        <v/>
      </c>
    </row>
    <row r="1886" ht="21.75" customHeight="1" s="130">
      <c r="J1886" s="107">
        <f>IF(OR(B1886&lt;&gt;"WorkPackage",D1886&lt;&gt;"tracks_scope",E1886&lt;&gt;"Scope",F1886=""),"",IFERROR(INDEX(SCOPES!$K$5:$K$2000,MATCH(F1886,SCOPES!$A$5:$A$2000,0)),"UNMATCHED"))</f>
        <v/>
      </c>
    </row>
    <row r="1887" ht="21.75" customHeight="1" s="130">
      <c r="J1887" s="107">
        <f>IF(OR(B1887&lt;&gt;"WorkPackage",D1887&lt;&gt;"tracks_scope",E1887&lt;&gt;"Scope",F1887=""),"",IFERROR(INDEX(SCOPES!$K$5:$K$2000,MATCH(F1887,SCOPES!$A$5:$A$2000,0)),"UNMATCHED"))</f>
        <v/>
      </c>
    </row>
    <row r="1888" ht="21.75" customHeight="1" s="130">
      <c r="J1888" s="107">
        <f>IF(OR(B1888&lt;&gt;"WorkPackage",D1888&lt;&gt;"tracks_scope",E1888&lt;&gt;"Scope",F1888=""),"",IFERROR(INDEX(SCOPES!$K$5:$K$2000,MATCH(F1888,SCOPES!$A$5:$A$2000,0)),"UNMATCHED"))</f>
        <v/>
      </c>
    </row>
    <row r="1889" ht="21.75" customHeight="1" s="130">
      <c r="J1889" s="107">
        <f>IF(OR(B1889&lt;&gt;"WorkPackage",D1889&lt;&gt;"tracks_scope",E1889&lt;&gt;"Scope",F1889=""),"",IFERROR(INDEX(SCOPES!$K$5:$K$2000,MATCH(F1889,SCOPES!$A$5:$A$2000,0)),"UNMATCHED"))</f>
        <v/>
      </c>
    </row>
    <row r="1890" ht="21.75" customHeight="1" s="130">
      <c r="J1890" s="107">
        <f>IF(OR(B1890&lt;&gt;"WorkPackage",D1890&lt;&gt;"tracks_scope",E1890&lt;&gt;"Scope",F1890=""),"",IFERROR(INDEX(SCOPES!$K$5:$K$2000,MATCH(F1890,SCOPES!$A$5:$A$2000,0)),"UNMATCHED"))</f>
        <v/>
      </c>
    </row>
    <row r="1891" ht="21.75" customHeight="1" s="130">
      <c r="J1891" s="107">
        <f>IF(OR(B1891&lt;&gt;"WorkPackage",D1891&lt;&gt;"tracks_scope",E1891&lt;&gt;"Scope",F1891=""),"",IFERROR(INDEX(SCOPES!$K$5:$K$2000,MATCH(F1891,SCOPES!$A$5:$A$2000,0)),"UNMATCHED"))</f>
        <v/>
      </c>
    </row>
    <row r="1892" ht="21.75" customHeight="1" s="130">
      <c r="J1892" s="107">
        <f>IF(OR(B1892&lt;&gt;"WorkPackage",D1892&lt;&gt;"tracks_scope",E1892&lt;&gt;"Scope",F1892=""),"",IFERROR(INDEX(SCOPES!$K$5:$K$2000,MATCH(F1892,SCOPES!$A$5:$A$2000,0)),"UNMATCHED"))</f>
        <v/>
      </c>
    </row>
    <row r="1893" ht="21.75" customHeight="1" s="130">
      <c r="J1893" s="107">
        <f>IF(OR(B1893&lt;&gt;"WorkPackage",D1893&lt;&gt;"tracks_scope",E1893&lt;&gt;"Scope",F1893=""),"",IFERROR(INDEX(SCOPES!$K$5:$K$2000,MATCH(F1893,SCOPES!$A$5:$A$2000,0)),"UNMATCHED"))</f>
        <v/>
      </c>
    </row>
    <row r="1894" ht="21.75" customHeight="1" s="130">
      <c r="J1894" s="107">
        <f>IF(OR(B1894&lt;&gt;"WorkPackage",D1894&lt;&gt;"tracks_scope",E1894&lt;&gt;"Scope",F1894=""),"",IFERROR(INDEX(SCOPES!$K$5:$K$2000,MATCH(F1894,SCOPES!$A$5:$A$2000,0)),"UNMATCHED"))</f>
        <v/>
      </c>
    </row>
    <row r="1895" ht="21.75" customHeight="1" s="130">
      <c r="J1895" s="107">
        <f>IF(OR(B1895&lt;&gt;"WorkPackage",D1895&lt;&gt;"tracks_scope",E1895&lt;&gt;"Scope",F1895=""),"",IFERROR(INDEX(SCOPES!$K$5:$K$2000,MATCH(F1895,SCOPES!$A$5:$A$2000,0)),"UNMATCHED"))</f>
        <v/>
      </c>
    </row>
    <row r="1896" ht="21.75" customHeight="1" s="130">
      <c r="J1896" s="107">
        <f>IF(OR(B1896&lt;&gt;"WorkPackage",D1896&lt;&gt;"tracks_scope",E1896&lt;&gt;"Scope",F1896=""),"",IFERROR(INDEX(SCOPES!$K$5:$K$2000,MATCH(F1896,SCOPES!$A$5:$A$2000,0)),"UNMATCHED"))</f>
        <v/>
      </c>
    </row>
    <row r="1897" ht="21.75" customHeight="1" s="130">
      <c r="J1897" s="107">
        <f>IF(OR(B1897&lt;&gt;"WorkPackage",D1897&lt;&gt;"tracks_scope",E1897&lt;&gt;"Scope",F1897=""),"",IFERROR(INDEX(SCOPES!$K$5:$K$2000,MATCH(F1897,SCOPES!$A$5:$A$2000,0)),"UNMATCHED"))</f>
        <v/>
      </c>
    </row>
    <row r="1898" ht="21.75" customHeight="1" s="130">
      <c r="J1898" s="107">
        <f>IF(OR(B1898&lt;&gt;"WorkPackage",D1898&lt;&gt;"tracks_scope",E1898&lt;&gt;"Scope",F1898=""),"",IFERROR(INDEX(SCOPES!$K$5:$K$2000,MATCH(F1898,SCOPES!$A$5:$A$2000,0)),"UNMATCHED"))</f>
        <v/>
      </c>
    </row>
    <row r="1899" ht="21.75" customHeight="1" s="130">
      <c r="J1899" s="107">
        <f>IF(OR(B1899&lt;&gt;"WorkPackage",D1899&lt;&gt;"tracks_scope",E1899&lt;&gt;"Scope",F1899=""),"",IFERROR(INDEX(SCOPES!$K$5:$K$2000,MATCH(F1899,SCOPES!$A$5:$A$2000,0)),"UNMATCHED"))</f>
        <v/>
      </c>
    </row>
    <row r="1900" ht="21.75" customHeight="1" s="130">
      <c r="J1900" s="107">
        <f>IF(OR(B1900&lt;&gt;"WorkPackage",D1900&lt;&gt;"tracks_scope",E1900&lt;&gt;"Scope",F1900=""),"",IFERROR(INDEX(SCOPES!$K$5:$K$2000,MATCH(F1900,SCOPES!$A$5:$A$2000,0)),"UNMATCHED"))</f>
        <v/>
      </c>
    </row>
    <row r="1901" ht="21.75" customHeight="1" s="130">
      <c r="J1901" s="107">
        <f>IF(OR(B1901&lt;&gt;"WorkPackage",D1901&lt;&gt;"tracks_scope",E1901&lt;&gt;"Scope",F1901=""),"",IFERROR(INDEX(SCOPES!$K$5:$K$2000,MATCH(F1901,SCOPES!$A$5:$A$2000,0)),"UNMATCHED"))</f>
        <v/>
      </c>
    </row>
    <row r="1902" ht="21.75" customHeight="1" s="130">
      <c r="J1902" s="107">
        <f>IF(OR(B1902&lt;&gt;"WorkPackage",D1902&lt;&gt;"tracks_scope",E1902&lt;&gt;"Scope",F1902=""),"",IFERROR(INDEX(SCOPES!$K$5:$K$2000,MATCH(F1902,SCOPES!$A$5:$A$2000,0)),"UNMATCHED"))</f>
        <v/>
      </c>
    </row>
    <row r="1903" ht="21.75" customHeight="1" s="130">
      <c r="J1903" s="107">
        <f>IF(OR(B1903&lt;&gt;"WorkPackage",D1903&lt;&gt;"tracks_scope",E1903&lt;&gt;"Scope",F1903=""),"",IFERROR(INDEX(SCOPES!$K$5:$K$2000,MATCH(F1903,SCOPES!$A$5:$A$2000,0)),"UNMATCHED"))</f>
        <v/>
      </c>
    </row>
    <row r="1904" ht="21.75" customHeight="1" s="130">
      <c r="J1904" s="107">
        <f>IF(OR(B1904&lt;&gt;"WorkPackage",D1904&lt;&gt;"tracks_scope",E1904&lt;&gt;"Scope",F1904=""),"",IFERROR(INDEX(SCOPES!$K$5:$K$2000,MATCH(F1904,SCOPES!$A$5:$A$2000,0)),"UNMATCHED"))</f>
        <v/>
      </c>
    </row>
    <row r="1905" ht="21.75" customHeight="1" s="130">
      <c r="J1905" s="107">
        <f>IF(OR(B1905&lt;&gt;"WorkPackage",D1905&lt;&gt;"tracks_scope",E1905&lt;&gt;"Scope",F1905=""),"",IFERROR(INDEX(SCOPES!$K$5:$K$2000,MATCH(F1905,SCOPES!$A$5:$A$2000,0)),"UNMATCHED"))</f>
        <v/>
      </c>
    </row>
    <row r="1906" ht="21.75" customHeight="1" s="130">
      <c r="J1906" s="107">
        <f>IF(OR(B1906&lt;&gt;"WorkPackage",D1906&lt;&gt;"tracks_scope",E1906&lt;&gt;"Scope",F1906=""),"",IFERROR(INDEX(SCOPES!$K$5:$K$2000,MATCH(F1906,SCOPES!$A$5:$A$2000,0)),"UNMATCHED"))</f>
        <v/>
      </c>
    </row>
    <row r="1907" ht="21.75" customHeight="1" s="130">
      <c r="J1907" s="107">
        <f>IF(OR(B1907&lt;&gt;"WorkPackage",D1907&lt;&gt;"tracks_scope",E1907&lt;&gt;"Scope",F1907=""),"",IFERROR(INDEX(SCOPES!$K$5:$K$2000,MATCH(F1907,SCOPES!$A$5:$A$2000,0)),"UNMATCHED"))</f>
        <v/>
      </c>
    </row>
    <row r="1908" ht="21.75" customHeight="1" s="130">
      <c r="J1908" s="107">
        <f>IF(OR(B1908&lt;&gt;"WorkPackage",D1908&lt;&gt;"tracks_scope",E1908&lt;&gt;"Scope",F1908=""),"",IFERROR(INDEX(SCOPES!$K$5:$K$2000,MATCH(F1908,SCOPES!$A$5:$A$2000,0)),"UNMATCHED"))</f>
        <v/>
      </c>
    </row>
    <row r="1909" ht="21.75" customHeight="1" s="130">
      <c r="J1909" s="107">
        <f>IF(OR(B1909&lt;&gt;"WorkPackage",D1909&lt;&gt;"tracks_scope",E1909&lt;&gt;"Scope",F1909=""),"",IFERROR(INDEX(SCOPES!$K$5:$K$2000,MATCH(F1909,SCOPES!$A$5:$A$2000,0)),"UNMATCHED"))</f>
        <v/>
      </c>
    </row>
    <row r="1910" ht="21.75" customHeight="1" s="130">
      <c r="J1910" s="107">
        <f>IF(OR(B1910&lt;&gt;"WorkPackage",D1910&lt;&gt;"tracks_scope",E1910&lt;&gt;"Scope",F1910=""),"",IFERROR(INDEX(SCOPES!$K$5:$K$2000,MATCH(F1910,SCOPES!$A$5:$A$2000,0)),"UNMATCHED"))</f>
        <v/>
      </c>
    </row>
    <row r="1911" ht="21.75" customHeight="1" s="130">
      <c r="J1911" s="107">
        <f>IF(OR(B1911&lt;&gt;"WorkPackage",D1911&lt;&gt;"tracks_scope",E1911&lt;&gt;"Scope",F1911=""),"",IFERROR(INDEX(SCOPES!$K$5:$K$2000,MATCH(F1911,SCOPES!$A$5:$A$2000,0)),"UNMATCHED"))</f>
        <v/>
      </c>
    </row>
    <row r="1912" ht="21.75" customHeight="1" s="130">
      <c r="J1912" s="107">
        <f>IF(OR(B1912&lt;&gt;"WorkPackage",D1912&lt;&gt;"tracks_scope",E1912&lt;&gt;"Scope",F1912=""),"",IFERROR(INDEX(SCOPES!$K$5:$K$2000,MATCH(F1912,SCOPES!$A$5:$A$2000,0)),"UNMATCHED"))</f>
        <v/>
      </c>
    </row>
    <row r="1913" ht="21.75" customHeight="1" s="130">
      <c r="J1913" s="107">
        <f>IF(OR(B1913&lt;&gt;"WorkPackage",D1913&lt;&gt;"tracks_scope",E1913&lt;&gt;"Scope",F1913=""),"",IFERROR(INDEX(SCOPES!$K$5:$K$2000,MATCH(F1913,SCOPES!$A$5:$A$2000,0)),"UNMATCHED"))</f>
        <v/>
      </c>
    </row>
    <row r="1914" ht="21.75" customHeight="1" s="130">
      <c r="J1914" s="107">
        <f>IF(OR(B1914&lt;&gt;"WorkPackage",D1914&lt;&gt;"tracks_scope",E1914&lt;&gt;"Scope",F1914=""),"",IFERROR(INDEX(SCOPES!$K$5:$K$2000,MATCH(F1914,SCOPES!$A$5:$A$2000,0)),"UNMATCHED"))</f>
        <v/>
      </c>
    </row>
    <row r="1915" ht="21.75" customHeight="1" s="130">
      <c r="J1915" s="107">
        <f>IF(OR(B1915&lt;&gt;"WorkPackage",D1915&lt;&gt;"tracks_scope",E1915&lt;&gt;"Scope",F1915=""),"",IFERROR(INDEX(SCOPES!$K$5:$K$2000,MATCH(F1915,SCOPES!$A$5:$A$2000,0)),"UNMATCHED"))</f>
        <v/>
      </c>
    </row>
    <row r="1916" ht="21.75" customHeight="1" s="130">
      <c r="J1916" s="107">
        <f>IF(OR(B1916&lt;&gt;"WorkPackage",D1916&lt;&gt;"tracks_scope",E1916&lt;&gt;"Scope",F1916=""),"",IFERROR(INDEX(SCOPES!$K$5:$K$2000,MATCH(F1916,SCOPES!$A$5:$A$2000,0)),"UNMATCHED"))</f>
        <v/>
      </c>
    </row>
    <row r="1917" ht="21.75" customHeight="1" s="130">
      <c r="J1917" s="107">
        <f>IF(OR(B1917&lt;&gt;"WorkPackage",D1917&lt;&gt;"tracks_scope",E1917&lt;&gt;"Scope",F1917=""),"",IFERROR(INDEX(SCOPES!$K$5:$K$2000,MATCH(F1917,SCOPES!$A$5:$A$2000,0)),"UNMATCHED"))</f>
        <v/>
      </c>
    </row>
    <row r="1918" ht="21.75" customHeight="1" s="130">
      <c r="J1918" s="107">
        <f>IF(OR(B1918&lt;&gt;"WorkPackage",D1918&lt;&gt;"tracks_scope",E1918&lt;&gt;"Scope",F1918=""),"",IFERROR(INDEX(SCOPES!$K$5:$K$2000,MATCH(F1918,SCOPES!$A$5:$A$2000,0)),"UNMATCHED"))</f>
        <v/>
      </c>
    </row>
    <row r="1919" ht="21.75" customHeight="1" s="130">
      <c r="J1919" s="107">
        <f>IF(OR(B1919&lt;&gt;"WorkPackage",D1919&lt;&gt;"tracks_scope",E1919&lt;&gt;"Scope",F1919=""),"",IFERROR(INDEX(SCOPES!$K$5:$K$2000,MATCH(F1919,SCOPES!$A$5:$A$2000,0)),"UNMATCHED"))</f>
        <v/>
      </c>
    </row>
    <row r="1920" ht="21.75" customHeight="1" s="130">
      <c r="J1920" s="107">
        <f>IF(OR(B1920&lt;&gt;"WorkPackage",D1920&lt;&gt;"tracks_scope",E1920&lt;&gt;"Scope",F1920=""),"",IFERROR(INDEX(SCOPES!$K$5:$K$2000,MATCH(F1920,SCOPES!$A$5:$A$2000,0)),"UNMATCHED"))</f>
        <v/>
      </c>
    </row>
    <row r="1921" ht="21.75" customHeight="1" s="130">
      <c r="J1921" s="107">
        <f>IF(OR(B1921&lt;&gt;"WorkPackage",D1921&lt;&gt;"tracks_scope",E1921&lt;&gt;"Scope",F1921=""),"",IFERROR(INDEX(SCOPES!$K$5:$K$2000,MATCH(F1921,SCOPES!$A$5:$A$2000,0)),"UNMATCHED"))</f>
        <v/>
      </c>
    </row>
    <row r="1922" ht="21.75" customHeight="1" s="130">
      <c r="J1922" s="107">
        <f>IF(OR(B1922&lt;&gt;"WorkPackage",D1922&lt;&gt;"tracks_scope",E1922&lt;&gt;"Scope",F1922=""),"",IFERROR(INDEX(SCOPES!$K$5:$K$2000,MATCH(F1922,SCOPES!$A$5:$A$2000,0)),"UNMATCHED"))</f>
        <v/>
      </c>
    </row>
    <row r="1923" ht="21.75" customHeight="1" s="130">
      <c r="J1923" s="107">
        <f>IF(OR(B1923&lt;&gt;"WorkPackage",D1923&lt;&gt;"tracks_scope",E1923&lt;&gt;"Scope",F1923=""),"",IFERROR(INDEX(SCOPES!$K$5:$K$2000,MATCH(F1923,SCOPES!$A$5:$A$2000,0)),"UNMATCHED"))</f>
        <v/>
      </c>
    </row>
    <row r="1924" ht="21.75" customHeight="1" s="130">
      <c r="J1924" s="107">
        <f>IF(OR(B1924&lt;&gt;"WorkPackage",D1924&lt;&gt;"tracks_scope",E1924&lt;&gt;"Scope",F1924=""),"",IFERROR(INDEX(SCOPES!$K$5:$K$2000,MATCH(F1924,SCOPES!$A$5:$A$2000,0)),"UNMATCHED"))</f>
        <v/>
      </c>
    </row>
    <row r="1925" ht="21.75" customHeight="1" s="130">
      <c r="J1925" s="107">
        <f>IF(OR(B1925&lt;&gt;"WorkPackage",D1925&lt;&gt;"tracks_scope",E1925&lt;&gt;"Scope",F1925=""),"",IFERROR(INDEX(SCOPES!$K$5:$K$2000,MATCH(F1925,SCOPES!$A$5:$A$2000,0)),"UNMATCHED"))</f>
        <v/>
      </c>
    </row>
    <row r="1926" ht="21.75" customHeight="1" s="130">
      <c r="J1926" s="107">
        <f>IF(OR(B1926&lt;&gt;"WorkPackage",D1926&lt;&gt;"tracks_scope",E1926&lt;&gt;"Scope",F1926=""),"",IFERROR(INDEX(SCOPES!$K$5:$K$2000,MATCH(F1926,SCOPES!$A$5:$A$2000,0)),"UNMATCHED"))</f>
        <v/>
      </c>
    </row>
    <row r="1927" ht="21.75" customHeight="1" s="130">
      <c r="J1927" s="107">
        <f>IF(OR(B1927&lt;&gt;"WorkPackage",D1927&lt;&gt;"tracks_scope",E1927&lt;&gt;"Scope",F1927=""),"",IFERROR(INDEX(SCOPES!$K$5:$K$2000,MATCH(F1927,SCOPES!$A$5:$A$2000,0)),"UNMATCHED"))</f>
        <v/>
      </c>
    </row>
    <row r="1928" ht="21.75" customHeight="1" s="130">
      <c r="J1928" s="107">
        <f>IF(OR(B1928&lt;&gt;"WorkPackage",D1928&lt;&gt;"tracks_scope",E1928&lt;&gt;"Scope",F1928=""),"",IFERROR(INDEX(SCOPES!$K$5:$K$2000,MATCH(F1928,SCOPES!$A$5:$A$2000,0)),"UNMATCHED"))</f>
        <v/>
      </c>
    </row>
    <row r="1929" ht="21.75" customHeight="1" s="130">
      <c r="J1929" s="107">
        <f>IF(OR(B1929&lt;&gt;"WorkPackage",D1929&lt;&gt;"tracks_scope",E1929&lt;&gt;"Scope",F1929=""),"",IFERROR(INDEX(SCOPES!$K$5:$K$2000,MATCH(F1929,SCOPES!$A$5:$A$2000,0)),"UNMATCHED"))</f>
        <v/>
      </c>
    </row>
    <row r="1930" ht="21.75" customHeight="1" s="130">
      <c r="J1930" s="107">
        <f>IF(OR(B1930&lt;&gt;"WorkPackage",D1930&lt;&gt;"tracks_scope",E1930&lt;&gt;"Scope",F1930=""),"",IFERROR(INDEX(SCOPES!$K$5:$K$2000,MATCH(F1930,SCOPES!$A$5:$A$2000,0)),"UNMATCHED"))</f>
        <v/>
      </c>
    </row>
    <row r="1931" ht="21.75" customHeight="1" s="130">
      <c r="J1931" s="107">
        <f>IF(OR(B1931&lt;&gt;"WorkPackage",D1931&lt;&gt;"tracks_scope",E1931&lt;&gt;"Scope",F1931=""),"",IFERROR(INDEX(SCOPES!$K$5:$K$2000,MATCH(F1931,SCOPES!$A$5:$A$2000,0)),"UNMATCHED"))</f>
        <v/>
      </c>
    </row>
    <row r="1932" ht="21.75" customHeight="1" s="130">
      <c r="J1932" s="107">
        <f>IF(OR(B1932&lt;&gt;"WorkPackage",D1932&lt;&gt;"tracks_scope",E1932&lt;&gt;"Scope",F1932=""),"",IFERROR(INDEX(SCOPES!$K$5:$K$2000,MATCH(F1932,SCOPES!$A$5:$A$2000,0)),"UNMATCHED"))</f>
        <v/>
      </c>
    </row>
    <row r="1933" ht="21.75" customHeight="1" s="130">
      <c r="J1933" s="107">
        <f>IF(OR(B1933&lt;&gt;"WorkPackage",D1933&lt;&gt;"tracks_scope",E1933&lt;&gt;"Scope",F1933=""),"",IFERROR(INDEX(SCOPES!$K$5:$K$2000,MATCH(F1933,SCOPES!$A$5:$A$2000,0)),"UNMATCHED"))</f>
        <v/>
      </c>
    </row>
    <row r="1934" ht="21.75" customHeight="1" s="130">
      <c r="J1934" s="107">
        <f>IF(OR(B1934&lt;&gt;"WorkPackage",D1934&lt;&gt;"tracks_scope",E1934&lt;&gt;"Scope",F1934=""),"",IFERROR(INDEX(SCOPES!$K$5:$K$2000,MATCH(F1934,SCOPES!$A$5:$A$2000,0)),"UNMATCHED"))</f>
        <v/>
      </c>
    </row>
    <row r="1935" ht="21.75" customHeight="1" s="130">
      <c r="J1935" s="107">
        <f>IF(OR(B1935&lt;&gt;"WorkPackage",D1935&lt;&gt;"tracks_scope",E1935&lt;&gt;"Scope",F1935=""),"",IFERROR(INDEX(SCOPES!$K$5:$K$2000,MATCH(F1935,SCOPES!$A$5:$A$2000,0)),"UNMATCHED"))</f>
        <v/>
      </c>
    </row>
    <row r="1936" ht="21.75" customHeight="1" s="130">
      <c r="J1936" s="107">
        <f>IF(OR(B1936&lt;&gt;"WorkPackage",D1936&lt;&gt;"tracks_scope",E1936&lt;&gt;"Scope",F1936=""),"",IFERROR(INDEX(SCOPES!$K$5:$K$2000,MATCH(F1936,SCOPES!$A$5:$A$2000,0)),"UNMATCHED"))</f>
        <v/>
      </c>
    </row>
    <row r="1937" ht="21.75" customHeight="1" s="130">
      <c r="J1937" s="107">
        <f>IF(OR(B1937&lt;&gt;"WorkPackage",D1937&lt;&gt;"tracks_scope",E1937&lt;&gt;"Scope",F1937=""),"",IFERROR(INDEX(SCOPES!$K$5:$K$2000,MATCH(F1937,SCOPES!$A$5:$A$2000,0)),"UNMATCHED"))</f>
        <v/>
      </c>
    </row>
    <row r="1938" ht="21.75" customHeight="1" s="130">
      <c r="J1938" s="107">
        <f>IF(OR(B1938&lt;&gt;"WorkPackage",D1938&lt;&gt;"tracks_scope",E1938&lt;&gt;"Scope",F1938=""),"",IFERROR(INDEX(SCOPES!$K$5:$K$2000,MATCH(F1938,SCOPES!$A$5:$A$2000,0)),"UNMATCHED"))</f>
        <v/>
      </c>
    </row>
    <row r="1939" ht="21.75" customHeight="1" s="130">
      <c r="J1939" s="107">
        <f>IF(OR(B1939&lt;&gt;"WorkPackage",D1939&lt;&gt;"tracks_scope",E1939&lt;&gt;"Scope",F1939=""),"",IFERROR(INDEX(SCOPES!$K$5:$K$2000,MATCH(F1939,SCOPES!$A$5:$A$2000,0)),"UNMATCHED"))</f>
        <v/>
      </c>
    </row>
    <row r="1940" ht="21.75" customHeight="1" s="130">
      <c r="J1940" s="107">
        <f>IF(OR(B1940&lt;&gt;"WorkPackage",D1940&lt;&gt;"tracks_scope",E1940&lt;&gt;"Scope",F1940=""),"",IFERROR(INDEX(SCOPES!$K$5:$K$2000,MATCH(F1940,SCOPES!$A$5:$A$2000,0)),"UNMATCHED"))</f>
        <v/>
      </c>
    </row>
    <row r="1941" ht="21.75" customHeight="1" s="130">
      <c r="J1941" s="107">
        <f>IF(OR(B1941&lt;&gt;"WorkPackage",D1941&lt;&gt;"tracks_scope",E1941&lt;&gt;"Scope",F1941=""),"",IFERROR(INDEX(SCOPES!$K$5:$K$2000,MATCH(F1941,SCOPES!$A$5:$A$2000,0)),"UNMATCHED"))</f>
        <v/>
      </c>
    </row>
    <row r="1942" ht="21.75" customHeight="1" s="130">
      <c r="J1942" s="107">
        <f>IF(OR(B1942&lt;&gt;"WorkPackage",D1942&lt;&gt;"tracks_scope",E1942&lt;&gt;"Scope",F1942=""),"",IFERROR(INDEX(SCOPES!$K$5:$K$2000,MATCH(F1942,SCOPES!$A$5:$A$2000,0)),"UNMATCHED"))</f>
        <v/>
      </c>
    </row>
    <row r="1943" ht="21.75" customHeight="1" s="130">
      <c r="J1943" s="107">
        <f>IF(OR(B1943&lt;&gt;"WorkPackage",D1943&lt;&gt;"tracks_scope",E1943&lt;&gt;"Scope",F1943=""),"",IFERROR(INDEX(SCOPES!$K$5:$K$2000,MATCH(F1943,SCOPES!$A$5:$A$2000,0)),"UNMATCHED"))</f>
        <v/>
      </c>
    </row>
    <row r="1944" ht="21.75" customHeight="1" s="130">
      <c r="J1944" s="107">
        <f>IF(OR(B1944&lt;&gt;"WorkPackage",D1944&lt;&gt;"tracks_scope",E1944&lt;&gt;"Scope",F1944=""),"",IFERROR(INDEX(SCOPES!$K$5:$K$2000,MATCH(F1944,SCOPES!$A$5:$A$2000,0)),"UNMATCHED"))</f>
        <v/>
      </c>
    </row>
    <row r="1945" ht="21.75" customHeight="1" s="130">
      <c r="J1945" s="107">
        <f>IF(OR(B1945&lt;&gt;"WorkPackage",D1945&lt;&gt;"tracks_scope",E1945&lt;&gt;"Scope",F1945=""),"",IFERROR(INDEX(SCOPES!$K$5:$K$2000,MATCH(F1945,SCOPES!$A$5:$A$2000,0)),"UNMATCHED"))</f>
        <v/>
      </c>
    </row>
    <row r="1946" ht="21.75" customHeight="1" s="130">
      <c r="J1946" s="107">
        <f>IF(OR(B1946&lt;&gt;"WorkPackage",D1946&lt;&gt;"tracks_scope",E1946&lt;&gt;"Scope",F1946=""),"",IFERROR(INDEX(SCOPES!$K$5:$K$2000,MATCH(F1946,SCOPES!$A$5:$A$2000,0)),"UNMATCHED"))</f>
        <v/>
      </c>
    </row>
    <row r="1947" ht="21.75" customHeight="1" s="130">
      <c r="J1947" s="107">
        <f>IF(OR(B1947&lt;&gt;"WorkPackage",D1947&lt;&gt;"tracks_scope",E1947&lt;&gt;"Scope",F1947=""),"",IFERROR(INDEX(SCOPES!$K$5:$K$2000,MATCH(F1947,SCOPES!$A$5:$A$2000,0)),"UNMATCHED"))</f>
        <v/>
      </c>
    </row>
    <row r="1948" ht="21.75" customHeight="1" s="130">
      <c r="J1948" s="107">
        <f>IF(OR(B1948&lt;&gt;"WorkPackage",D1948&lt;&gt;"tracks_scope",E1948&lt;&gt;"Scope",F1948=""),"",IFERROR(INDEX(SCOPES!$K$5:$K$2000,MATCH(F1948,SCOPES!$A$5:$A$2000,0)),"UNMATCHED"))</f>
        <v/>
      </c>
    </row>
    <row r="1949" ht="21.75" customHeight="1" s="130">
      <c r="J1949" s="107">
        <f>IF(OR(B1949&lt;&gt;"WorkPackage",D1949&lt;&gt;"tracks_scope",E1949&lt;&gt;"Scope",F1949=""),"",IFERROR(INDEX(SCOPES!$K$5:$K$2000,MATCH(F1949,SCOPES!$A$5:$A$2000,0)),"UNMATCHED"))</f>
        <v/>
      </c>
    </row>
    <row r="1950" ht="21.75" customHeight="1" s="130">
      <c r="J1950" s="107">
        <f>IF(OR(B1950&lt;&gt;"WorkPackage",D1950&lt;&gt;"tracks_scope",E1950&lt;&gt;"Scope",F1950=""),"",IFERROR(INDEX(SCOPES!$K$5:$K$2000,MATCH(F1950,SCOPES!$A$5:$A$2000,0)),"UNMATCHED"))</f>
        <v/>
      </c>
    </row>
    <row r="1951" ht="21.75" customHeight="1" s="130">
      <c r="J1951" s="107">
        <f>IF(OR(B1951&lt;&gt;"WorkPackage",D1951&lt;&gt;"tracks_scope",E1951&lt;&gt;"Scope",F1951=""),"",IFERROR(INDEX(SCOPES!$K$5:$K$2000,MATCH(F1951,SCOPES!$A$5:$A$2000,0)),"UNMATCHED"))</f>
        <v/>
      </c>
    </row>
    <row r="1952" ht="21.75" customHeight="1" s="130">
      <c r="J1952" s="107">
        <f>IF(OR(B1952&lt;&gt;"WorkPackage",D1952&lt;&gt;"tracks_scope",E1952&lt;&gt;"Scope",F1952=""),"",IFERROR(INDEX(SCOPES!$K$5:$K$2000,MATCH(F1952,SCOPES!$A$5:$A$2000,0)),"UNMATCHED"))</f>
        <v/>
      </c>
    </row>
    <row r="1953" ht="21.75" customHeight="1" s="130">
      <c r="J1953" s="107">
        <f>IF(OR(B1953&lt;&gt;"WorkPackage",D1953&lt;&gt;"tracks_scope",E1953&lt;&gt;"Scope",F1953=""),"",IFERROR(INDEX(SCOPES!$K$5:$K$2000,MATCH(F1953,SCOPES!$A$5:$A$2000,0)),"UNMATCHED"))</f>
        <v/>
      </c>
    </row>
    <row r="1954" ht="21.75" customHeight="1" s="130">
      <c r="J1954" s="107">
        <f>IF(OR(B1954&lt;&gt;"WorkPackage",D1954&lt;&gt;"tracks_scope",E1954&lt;&gt;"Scope",F1954=""),"",IFERROR(INDEX(SCOPES!$K$5:$K$2000,MATCH(F1954,SCOPES!$A$5:$A$2000,0)),"UNMATCHED"))</f>
        <v/>
      </c>
    </row>
    <row r="1955" ht="21.75" customHeight="1" s="130">
      <c r="J1955" s="107">
        <f>IF(OR(B1955&lt;&gt;"WorkPackage",D1955&lt;&gt;"tracks_scope",E1955&lt;&gt;"Scope",F1955=""),"",IFERROR(INDEX(SCOPES!$K$5:$K$2000,MATCH(F1955,SCOPES!$A$5:$A$2000,0)),"UNMATCHED"))</f>
        <v/>
      </c>
    </row>
    <row r="1956" ht="21.75" customHeight="1" s="130">
      <c r="J1956" s="107">
        <f>IF(OR(B1956&lt;&gt;"WorkPackage",D1956&lt;&gt;"tracks_scope",E1956&lt;&gt;"Scope",F1956=""),"",IFERROR(INDEX(SCOPES!$K$5:$K$2000,MATCH(F1956,SCOPES!$A$5:$A$2000,0)),"UNMATCHED"))</f>
        <v/>
      </c>
    </row>
    <row r="1957" ht="21.75" customHeight="1" s="130">
      <c r="J1957" s="107">
        <f>IF(OR(B1957&lt;&gt;"WorkPackage",D1957&lt;&gt;"tracks_scope",E1957&lt;&gt;"Scope",F1957=""),"",IFERROR(INDEX(SCOPES!$K$5:$K$2000,MATCH(F1957,SCOPES!$A$5:$A$2000,0)),"UNMATCHED"))</f>
        <v/>
      </c>
    </row>
    <row r="1958" ht="21.75" customHeight="1" s="130">
      <c r="J1958" s="107">
        <f>IF(OR(B1958&lt;&gt;"WorkPackage",D1958&lt;&gt;"tracks_scope",E1958&lt;&gt;"Scope",F1958=""),"",IFERROR(INDEX(SCOPES!$K$5:$K$2000,MATCH(F1958,SCOPES!$A$5:$A$2000,0)),"UNMATCHED"))</f>
        <v/>
      </c>
    </row>
    <row r="1959" ht="21.75" customHeight="1" s="130">
      <c r="J1959" s="107">
        <f>IF(OR(B1959&lt;&gt;"WorkPackage",D1959&lt;&gt;"tracks_scope",E1959&lt;&gt;"Scope",F1959=""),"",IFERROR(INDEX(SCOPES!$K$5:$K$2000,MATCH(F1959,SCOPES!$A$5:$A$2000,0)),"UNMATCHED"))</f>
        <v/>
      </c>
    </row>
    <row r="1960" ht="21.75" customHeight="1" s="130">
      <c r="J1960" s="107">
        <f>IF(OR(B1960&lt;&gt;"WorkPackage",D1960&lt;&gt;"tracks_scope",E1960&lt;&gt;"Scope",F1960=""),"",IFERROR(INDEX(SCOPES!$K$5:$K$2000,MATCH(F1960,SCOPES!$A$5:$A$2000,0)),"UNMATCHED"))</f>
        <v/>
      </c>
    </row>
    <row r="1961" ht="21.75" customHeight="1" s="130">
      <c r="J1961" s="107">
        <f>IF(OR(B1961&lt;&gt;"WorkPackage",D1961&lt;&gt;"tracks_scope",E1961&lt;&gt;"Scope",F1961=""),"",IFERROR(INDEX(SCOPES!$K$5:$K$2000,MATCH(F1961,SCOPES!$A$5:$A$2000,0)),"UNMATCHED"))</f>
        <v/>
      </c>
    </row>
    <row r="1962" ht="21.75" customHeight="1" s="130">
      <c r="J1962" s="107">
        <f>IF(OR(B1962&lt;&gt;"WorkPackage",D1962&lt;&gt;"tracks_scope",E1962&lt;&gt;"Scope",F1962=""),"",IFERROR(INDEX(SCOPES!$K$5:$K$2000,MATCH(F1962,SCOPES!$A$5:$A$2000,0)),"UNMATCHED"))</f>
        <v/>
      </c>
    </row>
    <row r="1963" ht="21.75" customHeight="1" s="130">
      <c r="J1963" s="107">
        <f>IF(OR(B1963&lt;&gt;"WorkPackage",D1963&lt;&gt;"tracks_scope",E1963&lt;&gt;"Scope",F1963=""),"",IFERROR(INDEX(SCOPES!$K$5:$K$2000,MATCH(F1963,SCOPES!$A$5:$A$2000,0)),"UNMATCHED"))</f>
        <v/>
      </c>
    </row>
    <row r="1964" ht="21.75" customHeight="1" s="130">
      <c r="J1964" s="107">
        <f>IF(OR(B1964&lt;&gt;"WorkPackage",D1964&lt;&gt;"tracks_scope",E1964&lt;&gt;"Scope",F1964=""),"",IFERROR(INDEX(SCOPES!$K$5:$K$2000,MATCH(F1964,SCOPES!$A$5:$A$2000,0)),"UNMATCHED"))</f>
        <v/>
      </c>
    </row>
    <row r="1965" ht="21.75" customHeight="1" s="130">
      <c r="J1965" s="107">
        <f>IF(OR(B1965&lt;&gt;"WorkPackage",D1965&lt;&gt;"tracks_scope",E1965&lt;&gt;"Scope",F1965=""),"",IFERROR(INDEX(SCOPES!$K$5:$K$2000,MATCH(F1965,SCOPES!$A$5:$A$2000,0)),"UNMATCHED"))</f>
        <v/>
      </c>
    </row>
    <row r="1966" ht="21.75" customHeight="1" s="130">
      <c r="J1966" s="107">
        <f>IF(OR(B1966&lt;&gt;"WorkPackage",D1966&lt;&gt;"tracks_scope",E1966&lt;&gt;"Scope",F1966=""),"",IFERROR(INDEX(SCOPES!$K$5:$K$2000,MATCH(F1966,SCOPES!$A$5:$A$2000,0)),"UNMATCHED"))</f>
        <v/>
      </c>
    </row>
    <row r="1967" ht="21.75" customHeight="1" s="130">
      <c r="J1967" s="107">
        <f>IF(OR(B1967&lt;&gt;"WorkPackage",D1967&lt;&gt;"tracks_scope",E1967&lt;&gt;"Scope",F1967=""),"",IFERROR(INDEX(SCOPES!$K$5:$K$2000,MATCH(F1967,SCOPES!$A$5:$A$2000,0)),"UNMATCHED"))</f>
        <v/>
      </c>
    </row>
    <row r="1968" ht="21.75" customHeight="1" s="130">
      <c r="J1968" s="107">
        <f>IF(OR(B1968&lt;&gt;"WorkPackage",D1968&lt;&gt;"tracks_scope",E1968&lt;&gt;"Scope",F1968=""),"",IFERROR(INDEX(SCOPES!$K$5:$K$2000,MATCH(F1968,SCOPES!$A$5:$A$2000,0)),"UNMATCHED"))</f>
        <v/>
      </c>
    </row>
    <row r="1969" ht="21.75" customHeight="1" s="130">
      <c r="J1969" s="107">
        <f>IF(OR(B1969&lt;&gt;"WorkPackage",D1969&lt;&gt;"tracks_scope",E1969&lt;&gt;"Scope",F1969=""),"",IFERROR(INDEX(SCOPES!$K$5:$K$2000,MATCH(F1969,SCOPES!$A$5:$A$2000,0)),"UNMATCHED"))</f>
        <v/>
      </c>
    </row>
    <row r="1970" ht="21.75" customHeight="1" s="130">
      <c r="J1970" s="107">
        <f>IF(OR(B1970&lt;&gt;"WorkPackage",D1970&lt;&gt;"tracks_scope",E1970&lt;&gt;"Scope",F1970=""),"",IFERROR(INDEX(SCOPES!$K$5:$K$2000,MATCH(F1970,SCOPES!$A$5:$A$2000,0)),"UNMATCHED"))</f>
        <v/>
      </c>
    </row>
    <row r="1971" ht="21.75" customHeight="1" s="130">
      <c r="J1971" s="107">
        <f>IF(OR(B1971&lt;&gt;"WorkPackage",D1971&lt;&gt;"tracks_scope",E1971&lt;&gt;"Scope",F1971=""),"",IFERROR(INDEX(SCOPES!$K$5:$K$2000,MATCH(F1971,SCOPES!$A$5:$A$2000,0)),"UNMATCHED"))</f>
        <v/>
      </c>
    </row>
    <row r="1972" ht="21.75" customHeight="1" s="130">
      <c r="J1972" s="107">
        <f>IF(OR(B1972&lt;&gt;"WorkPackage",D1972&lt;&gt;"tracks_scope",E1972&lt;&gt;"Scope",F1972=""),"",IFERROR(INDEX(SCOPES!$K$5:$K$2000,MATCH(F1972,SCOPES!$A$5:$A$2000,0)),"UNMATCHED"))</f>
        <v/>
      </c>
    </row>
    <row r="1973" ht="21.75" customHeight="1" s="130">
      <c r="J1973" s="107">
        <f>IF(OR(B1973&lt;&gt;"WorkPackage",D1973&lt;&gt;"tracks_scope",E1973&lt;&gt;"Scope",F1973=""),"",IFERROR(INDEX(SCOPES!$K$5:$K$2000,MATCH(F1973,SCOPES!$A$5:$A$2000,0)),"UNMATCHED"))</f>
        <v/>
      </c>
    </row>
    <row r="1974" ht="21.75" customHeight="1" s="130">
      <c r="J1974" s="107">
        <f>IF(OR(B1974&lt;&gt;"WorkPackage",D1974&lt;&gt;"tracks_scope",E1974&lt;&gt;"Scope",F1974=""),"",IFERROR(INDEX(SCOPES!$K$5:$K$2000,MATCH(F1974,SCOPES!$A$5:$A$2000,0)),"UNMATCHED"))</f>
        <v/>
      </c>
    </row>
    <row r="1975" ht="21.75" customHeight="1" s="130">
      <c r="J1975" s="107">
        <f>IF(OR(B1975&lt;&gt;"WorkPackage",D1975&lt;&gt;"tracks_scope",E1975&lt;&gt;"Scope",F1975=""),"",IFERROR(INDEX(SCOPES!$K$5:$K$2000,MATCH(F1975,SCOPES!$A$5:$A$2000,0)),"UNMATCHED"))</f>
        <v/>
      </c>
    </row>
    <row r="1976" ht="21.75" customHeight="1" s="130">
      <c r="J1976" s="107">
        <f>IF(OR(B1976&lt;&gt;"WorkPackage",D1976&lt;&gt;"tracks_scope",E1976&lt;&gt;"Scope",F1976=""),"",IFERROR(INDEX(SCOPES!$K$5:$K$2000,MATCH(F1976,SCOPES!$A$5:$A$2000,0)),"UNMATCHED"))</f>
        <v/>
      </c>
    </row>
    <row r="1977" ht="21.75" customHeight="1" s="130">
      <c r="J1977" s="107">
        <f>IF(OR(B1977&lt;&gt;"WorkPackage",D1977&lt;&gt;"tracks_scope",E1977&lt;&gt;"Scope",F1977=""),"",IFERROR(INDEX(SCOPES!$K$5:$K$2000,MATCH(F1977,SCOPES!$A$5:$A$2000,0)),"UNMATCHED"))</f>
        <v/>
      </c>
    </row>
    <row r="1978" ht="21.75" customHeight="1" s="130">
      <c r="J1978" s="107">
        <f>IF(OR(B1978&lt;&gt;"WorkPackage",D1978&lt;&gt;"tracks_scope",E1978&lt;&gt;"Scope",F1978=""),"",IFERROR(INDEX(SCOPES!$K$5:$K$2000,MATCH(F1978,SCOPES!$A$5:$A$2000,0)),"UNMATCHED"))</f>
        <v/>
      </c>
    </row>
    <row r="1979" ht="21.75" customHeight="1" s="130">
      <c r="J1979" s="107">
        <f>IF(OR(B1979&lt;&gt;"WorkPackage",D1979&lt;&gt;"tracks_scope",E1979&lt;&gt;"Scope",F1979=""),"",IFERROR(INDEX(SCOPES!$K$5:$K$2000,MATCH(F1979,SCOPES!$A$5:$A$2000,0)),"UNMATCHED"))</f>
        <v/>
      </c>
    </row>
    <row r="1980" ht="21.75" customHeight="1" s="130">
      <c r="J1980" s="107">
        <f>IF(OR(B1980&lt;&gt;"WorkPackage",D1980&lt;&gt;"tracks_scope",E1980&lt;&gt;"Scope",F1980=""),"",IFERROR(INDEX(SCOPES!$K$5:$K$2000,MATCH(F1980,SCOPES!$A$5:$A$2000,0)),"UNMATCHED"))</f>
        <v/>
      </c>
    </row>
    <row r="1981" ht="21.75" customHeight="1" s="130">
      <c r="J1981" s="107">
        <f>IF(OR(B1981&lt;&gt;"WorkPackage",D1981&lt;&gt;"tracks_scope",E1981&lt;&gt;"Scope",F1981=""),"",IFERROR(INDEX(SCOPES!$K$5:$K$2000,MATCH(F1981,SCOPES!$A$5:$A$2000,0)),"UNMATCHED"))</f>
        <v/>
      </c>
    </row>
    <row r="1982" ht="21.75" customHeight="1" s="130">
      <c r="J1982" s="107">
        <f>IF(OR(B1982&lt;&gt;"WorkPackage",D1982&lt;&gt;"tracks_scope",E1982&lt;&gt;"Scope",F1982=""),"",IFERROR(INDEX(SCOPES!$K$5:$K$2000,MATCH(F1982,SCOPES!$A$5:$A$2000,0)),"UNMATCHED"))</f>
        <v/>
      </c>
    </row>
    <row r="1983" ht="21.75" customHeight="1" s="130">
      <c r="J1983" s="107">
        <f>IF(OR(B1983&lt;&gt;"WorkPackage",D1983&lt;&gt;"tracks_scope",E1983&lt;&gt;"Scope",F1983=""),"",IFERROR(INDEX(SCOPES!$K$5:$K$2000,MATCH(F1983,SCOPES!$A$5:$A$2000,0)),"UNMATCHED"))</f>
        <v/>
      </c>
    </row>
    <row r="1984" ht="21.75" customHeight="1" s="130">
      <c r="J1984" s="107">
        <f>IF(OR(B1984&lt;&gt;"WorkPackage",D1984&lt;&gt;"tracks_scope",E1984&lt;&gt;"Scope",F1984=""),"",IFERROR(INDEX(SCOPES!$K$5:$K$2000,MATCH(F1984,SCOPES!$A$5:$A$2000,0)),"UNMATCHED"))</f>
        <v/>
      </c>
    </row>
    <row r="1985" ht="21.75" customHeight="1" s="130">
      <c r="J1985" s="107">
        <f>IF(OR(B1985&lt;&gt;"WorkPackage",D1985&lt;&gt;"tracks_scope",E1985&lt;&gt;"Scope",F1985=""),"",IFERROR(INDEX(SCOPES!$K$5:$K$2000,MATCH(F1985,SCOPES!$A$5:$A$2000,0)),"UNMATCHED"))</f>
        <v/>
      </c>
    </row>
    <row r="1986" ht="21.75" customHeight="1" s="130">
      <c r="J1986" s="107">
        <f>IF(OR(B1986&lt;&gt;"WorkPackage",D1986&lt;&gt;"tracks_scope",E1986&lt;&gt;"Scope",F1986=""),"",IFERROR(INDEX(SCOPES!$K$5:$K$2000,MATCH(F1986,SCOPES!$A$5:$A$2000,0)),"UNMATCHED"))</f>
        <v/>
      </c>
    </row>
    <row r="1987" ht="21.75" customHeight="1" s="130">
      <c r="J1987" s="107">
        <f>IF(OR(B1987&lt;&gt;"WorkPackage",D1987&lt;&gt;"tracks_scope",E1987&lt;&gt;"Scope",F1987=""),"",IFERROR(INDEX(SCOPES!$K$5:$K$2000,MATCH(F1987,SCOPES!$A$5:$A$2000,0)),"UNMATCHED"))</f>
        <v/>
      </c>
    </row>
    <row r="1988" ht="21.75" customHeight="1" s="130">
      <c r="J1988" s="107">
        <f>IF(OR(B1988&lt;&gt;"WorkPackage",D1988&lt;&gt;"tracks_scope",E1988&lt;&gt;"Scope",F1988=""),"",IFERROR(INDEX(SCOPES!$K$5:$K$2000,MATCH(F1988,SCOPES!$A$5:$A$2000,0)),"UNMATCHED"))</f>
        <v/>
      </c>
    </row>
    <row r="1989" ht="21.75" customHeight="1" s="130">
      <c r="J1989" s="107">
        <f>IF(OR(B1989&lt;&gt;"WorkPackage",D1989&lt;&gt;"tracks_scope",E1989&lt;&gt;"Scope",F1989=""),"",IFERROR(INDEX(SCOPES!$K$5:$K$2000,MATCH(F1989,SCOPES!$A$5:$A$2000,0)),"UNMATCHED"))</f>
        <v/>
      </c>
    </row>
    <row r="1990" ht="21.75" customHeight="1" s="130">
      <c r="J1990" s="107">
        <f>IF(OR(B1990&lt;&gt;"WorkPackage",D1990&lt;&gt;"tracks_scope",E1990&lt;&gt;"Scope",F1990=""),"",IFERROR(INDEX(SCOPES!$K$5:$K$2000,MATCH(F1990,SCOPES!$A$5:$A$2000,0)),"UNMATCHED"))</f>
        <v/>
      </c>
    </row>
    <row r="1991" ht="21.75" customHeight="1" s="130">
      <c r="J1991" s="107">
        <f>IF(OR(B1991&lt;&gt;"WorkPackage",D1991&lt;&gt;"tracks_scope",E1991&lt;&gt;"Scope",F1991=""),"",IFERROR(INDEX(SCOPES!$K$5:$K$2000,MATCH(F1991,SCOPES!$A$5:$A$2000,0)),"UNMATCHED"))</f>
        <v/>
      </c>
    </row>
    <row r="1992" ht="21.75" customHeight="1" s="130">
      <c r="J1992" s="107">
        <f>IF(OR(B1992&lt;&gt;"WorkPackage",D1992&lt;&gt;"tracks_scope",E1992&lt;&gt;"Scope",F1992=""),"",IFERROR(INDEX(SCOPES!$K$5:$K$2000,MATCH(F1992,SCOPES!$A$5:$A$2000,0)),"UNMATCHED"))</f>
        <v/>
      </c>
    </row>
    <row r="1993" ht="21.75" customHeight="1" s="130">
      <c r="J1993" s="107">
        <f>IF(OR(B1993&lt;&gt;"WorkPackage",D1993&lt;&gt;"tracks_scope",E1993&lt;&gt;"Scope",F1993=""),"",IFERROR(INDEX(SCOPES!$K$5:$K$2000,MATCH(F1993,SCOPES!$A$5:$A$2000,0)),"UNMATCHED"))</f>
        <v/>
      </c>
    </row>
    <row r="1994" ht="21.75" customHeight="1" s="130">
      <c r="J1994" s="107">
        <f>IF(OR(B1994&lt;&gt;"WorkPackage",D1994&lt;&gt;"tracks_scope",E1994&lt;&gt;"Scope",F1994=""),"",IFERROR(INDEX(SCOPES!$K$5:$K$2000,MATCH(F1994,SCOPES!$A$5:$A$2000,0)),"UNMATCHED"))</f>
        <v/>
      </c>
    </row>
    <row r="1995" ht="21.75" customHeight="1" s="130">
      <c r="J1995" s="107">
        <f>IF(OR(B1995&lt;&gt;"WorkPackage",D1995&lt;&gt;"tracks_scope",E1995&lt;&gt;"Scope",F1995=""),"",IFERROR(INDEX(SCOPES!$K$5:$K$2000,MATCH(F1995,SCOPES!$A$5:$A$2000,0)),"UNMATCHED"))</f>
        <v/>
      </c>
    </row>
    <row r="1996" ht="21.75" customHeight="1" s="130">
      <c r="J1996" s="107">
        <f>IF(OR(B1996&lt;&gt;"WorkPackage",D1996&lt;&gt;"tracks_scope",E1996&lt;&gt;"Scope",F1996=""),"",IFERROR(INDEX(SCOPES!$K$5:$K$2000,MATCH(F1996,SCOPES!$A$5:$A$2000,0)),"UNMATCHED"))</f>
        <v/>
      </c>
    </row>
    <row r="1997" ht="21.75" customHeight="1" s="130">
      <c r="J1997" s="107">
        <f>IF(OR(B1997&lt;&gt;"WorkPackage",D1997&lt;&gt;"tracks_scope",E1997&lt;&gt;"Scope",F1997=""),"",IFERROR(INDEX(SCOPES!$K$5:$K$2000,MATCH(F1997,SCOPES!$A$5:$A$2000,0)),"UNMATCHED"))</f>
        <v/>
      </c>
    </row>
    <row r="1998" ht="21.75" customHeight="1" s="130">
      <c r="J1998" s="107">
        <f>IF(OR(B1998&lt;&gt;"WorkPackage",D1998&lt;&gt;"tracks_scope",E1998&lt;&gt;"Scope",F1998=""),"",IFERROR(INDEX(SCOPES!$K$5:$K$2000,MATCH(F1998,SCOPES!$A$5:$A$2000,0)),"UNMATCHED"))</f>
        <v/>
      </c>
    </row>
    <row r="1999" ht="21.75" customHeight="1" s="130">
      <c r="J1999" s="107">
        <f>IF(OR(B1999&lt;&gt;"WorkPackage",D1999&lt;&gt;"tracks_scope",E1999&lt;&gt;"Scope",F1999=""),"",IFERROR(INDEX(SCOPES!$K$5:$K$2000,MATCH(F1999,SCOPES!$A$5:$A$2000,0)),"UNMATCHED"))</f>
        <v/>
      </c>
    </row>
    <row r="2000" ht="21.75" customHeight="1" s="130">
      <c r="J2000" s="107">
        <f>IF(OR(B2000&lt;&gt;"WorkPackage",D2000&lt;&gt;"tracks_scope",E2000&lt;&gt;"Scope",F2000=""),"",IFERROR(INDEX(SCOPES!$K$5:$K$2000,MATCH(F2000,SCOPES!$A$5:$A$2000,0)),"UNMATCHED"))</f>
        <v/>
      </c>
    </row>
  </sheetData>
  <autoFilter ref="A4:J2000"/>
  <mergeCells count="2">
    <mergeCell ref="A1:J1"/>
    <mergeCell ref="A2:J2"/>
  </mergeCells>
  <dataValidations count="2">
    <dataValidation sqref="H5:H2000" showDropDown="0" showInputMessage="0" showErrorMessage="1" allowBlank="1" type="list" errorStyle="warning">
      <formula1>"unreviewed,candidate,reviewed,approved"</formula1>
      <formula2>0</formula2>
    </dataValidation>
    <dataValidation sqref="D5:D2000" showDropDown="0" showInputMessage="0" showErrorMessage="1" allowBlank="1" type="list" errorStyle="warning">
      <formula1>"contains,serves,served_by,monitors,controls,depends_on,connects_to,derived_from,verifies,impacts,applies_to,tracks_scope,tracks_equipment,tracks_system"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0" min="1" max="1"/>
    <col width="21" customWidth="1" style="130" min="2" max="2"/>
    <col width="23" customWidth="1" style="130" min="3" max="3"/>
    <col width="21" customWidth="1" style="130" min="4" max="4"/>
    <col width="20" customWidth="1" style="130" min="5" max="5"/>
    <col width="44" customWidth="1" style="130" min="6" max="7"/>
    <col width="29" customWidth="1" style="130" min="8" max="8"/>
    <col width="40" customWidth="1" style="130" min="9" max="9"/>
    <col width="32" customWidth="1" style="130" min="10" max="10"/>
    <col width="64" customWidth="1" style="130" min="11" max="11"/>
  </cols>
  <sheetData>
    <row r="1" ht="27.75" customHeight="1" s="130">
      <c r="A1" s="131" t="inlineStr">
        <is>
          <t>CHANGE LOG | Record Revision Events</t>
        </is>
      </c>
    </row>
    <row r="2" ht="24.75" customHeight="1" s="130">
      <c r="A2" s="129" t="inlineStr">
        <is>
          <t>Persistent change records must be written during an authorized process; this tab does not log edits automatically.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Change ID</t>
        </is>
      </c>
      <c r="B4" s="135" t="inlineStr">
        <is>
          <t>Timestamp</t>
        </is>
      </c>
      <c r="C4" s="135" t="inlineStr">
        <is>
          <t>Object Type</t>
        </is>
      </c>
      <c r="D4" s="135" t="inlineStr">
        <is>
          <t>Object ID</t>
        </is>
      </c>
      <c r="E4" s="135" t="inlineStr">
        <is>
          <t>Action</t>
        </is>
      </c>
      <c r="F4" s="135" t="inlineStr">
        <is>
          <t>Old Rev / Value</t>
        </is>
      </c>
      <c r="G4" s="135" t="inlineStr">
        <is>
          <t>New Rev / Value</t>
        </is>
      </c>
      <c r="H4" s="135" t="inlineStr">
        <is>
          <t>By / Approved By</t>
        </is>
      </c>
      <c r="I4" s="135" t="inlineStr">
        <is>
          <t>Source / Basis</t>
        </is>
      </c>
      <c r="J4" s="135" t="inlineStr">
        <is>
          <t>Affected IDs</t>
        </is>
      </c>
      <c r="K4" s="135" t="inlineStr">
        <is>
          <t>Notes</t>
        </is>
      </c>
    </row>
    <row r="5" ht="28.5" customHeight="1" s="130">
      <c r="A5" s="135" t="n"/>
      <c r="B5" s="113" t="n"/>
      <c r="C5" s="135" t="n"/>
      <c r="D5" s="135" t="n"/>
      <c r="E5" s="135" t="n"/>
      <c r="F5" s="135" t="n"/>
      <c r="G5" s="135" t="n"/>
      <c r="H5" s="135" t="n"/>
      <c r="I5" s="135" t="n"/>
      <c r="J5" s="135" t="n"/>
      <c r="K5" s="135" t="n"/>
    </row>
    <row r="6" ht="18.75" customHeight="1" s="130">
      <c r="A6" s="135" t="n"/>
      <c r="B6" s="113" t="n"/>
      <c r="C6" s="135" t="n"/>
      <c r="D6" s="135" t="n"/>
      <c r="E6" s="135" t="n"/>
      <c r="F6" s="135" t="n"/>
      <c r="G6" s="135" t="n"/>
      <c r="H6" s="135" t="n"/>
      <c r="I6" s="135" t="n"/>
      <c r="J6" s="135" t="n"/>
      <c r="K6" s="135" t="n"/>
    </row>
    <row r="7" ht="18.75" customHeight="1" s="130">
      <c r="B7" s="109" t="n"/>
    </row>
    <row r="8" ht="45" customHeight="1" s="130">
      <c r="A8" s="54" t="n"/>
      <c r="B8" s="110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</row>
    <row r="9" ht="18.75" customHeight="1" s="130">
      <c r="B9" s="109" t="n"/>
    </row>
    <row r="10" ht="41.25" customHeight="1" s="130">
      <c r="A10" s="54" t="n"/>
      <c r="B10" s="110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</row>
    <row r="11" ht="18.75" customHeight="1" s="130">
      <c r="B11" s="109" t="n"/>
    </row>
    <row r="12" ht="18.75" customHeight="1" s="130">
      <c r="B12" s="109" t="n"/>
    </row>
    <row r="13" ht="18.75" customHeight="1" s="130">
      <c r="B13" s="109" t="n"/>
    </row>
    <row r="14" ht="18.75" customHeight="1" s="130">
      <c r="B14" s="109" t="n"/>
    </row>
    <row r="15" ht="18.75" customHeight="1" s="130">
      <c r="B15" s="109" t="n"/>
    </row>
    <row r="16" ht="18.75" customHeight="1" s="130">
      <c r="B16" s="109" t="n"/>
    </row>
    <row r="17" ht="18.75" customHeight="1" s="130">
      <c r="A17" s="54" t="n"/>
      <c r="B17" s="110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</row>
    <row r="18" ht="18.75" customHeight="1" s="130">
      <c r="A18" s="54" t="n"/>
      <c r="B18" s="110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</row>
    <row r="19" ht="18.75" customHeight="1" s="130">
      <c r="A19" s="54" t="n"/>
      <c r="B19" s="110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</row>
    <row r="20" ht="18.75" customHeight="1" s="130"/>
    <row r="21" ht="18.75" customHeight="1" s="130"/>
    <row r="22" ht="18.75" customHeight="1" s="130"/>
    <row r="23" ht="18.75" customHeight="1" s="130"/>
    <row r="24" ht="18.75" customHeight="1" s="130"/>
    <row r="25" ht="18.75" customHeight="1" s="130"/>
    <row r="26" ht="18.75" customHeight="1" s="130"/>
    <row r="27" ht="18.75" customHeight="1" s="130"/>
    <row r="28" ht="18.75" customHeight="1" s="130"/>
    <row r="29" ht="18.75" customHeight="1" s="130"/>
    <row r="30" ht="18.75" customHeight="1" s="130"/>
    <row r="31" ht="18.75" customHeight="1" s="130"/>
    <row r="32" ht="18.75" customHeight="1" s="130"/>
    <row r="33" ht="18.75" customHeight="1" s="130"/>
    <row r="34" ht="18.75" customHeight="1" s="130"/>
    <row r="35" ht="18.75" customHeight="1" s="130"/>
    <row r="36" ht="18.75" customHeight="1" s="130"/>
    <row r="37" ht="18.75" customHeight="1" s="130"/>
    <row r="38" ht="18.75" customHeight="1" s="130"/>
    <row r="39" ht="18.75" customHeight="1" s="130"/>
    <row r="40" ht="18.75" customHeight="1" s="130"/>
    <row r="41" ht="18.75" customHeight="1" s="130"/>
    <row r="42" ht="18.75" customHeight="1" s="130"/>
    <row r="43" ht="18.75" customHeight="1" s="130"/>
    <row r="44" ht="18.75" customHeight="1" s="130"/>
    <row r="45" ht="18.75" customHeight="1" s="130"/>
    <row r="46" ht="18.75" customHeight="1" s="130"/>
    <row r="47" ht="18.75" customHeight="1" s="130"/>
    <row r="48" ht="18.75" customHeight="1" s="130"/>
    <row r="49" ht="18.75" customHeight="1" s="130"/>
    <row r="50" ht="18.75" customHeight="1" s="130"/>
    <row r="51" ht="18.75" customHeight="1" s="130"/>
    <row r="52" ht="18.75" customHeight="1" s="130"/>
    <row r="53" ht="18.75" customHeight="1" s="130"/>
    <row r="54" ht="18.75" customHeight="1" s="130"/>
    <row r="55" ht="18.75" customHeight="1" s="130"/>
    <row r="56" ht="18.75" customHeight="1" s="130"/>
    <row r="57" ht="18.75" customHeight="1" s="130"/>
    <row r="58" ht="18.75" customHeight="1" s="130"/>
    <row r="59" ht="18.75" customHeight="1" s="130"/>
    <row r="60" ht="18.75" customHeight="1" s="130"/>
    <row r="61" ht="18.75" customHeight="1" s="130"/>
    <row r="62" ht="18.75" customHeight="1" s="130"/>
    <row r="63" ht="18.75" customHeight="1" s="130"/>
    <row r="64" ht="18.75" customHeight="1" s="130"/>
    <row r="65" ht="18.75" customHeight="1" s="130"/>
    <row r="66" ht="18.75" customHeight="1" s="130"/>
    <row r="67" ht="18.75" customHeight="1" s="130"/>
    <row r="68" ht="18.75" customHeight="1" s="130"/>
    <row r="69" ht="18.75" customHeight="1" s="130"/>
    <row r="70" ht="18.75" customHeight="1" s="130"/>
    <row r="71" ht="18.75" customHeight="1" s="130"/>
    <row r="72" ht="18.75" customHeight="1" s="130"/>
    <row r="73" ht="18.75" customHeight="1" s="130"/>
    <row r="74" ht="18.75" customHeight="1" s="130"/>
    <row r="75" ht="18.75" customHeight="1" s="130"/>
    <row r="76" ht="18.75" customHeight="1" s="130"/>
    <row r="77" ht="18.75" customHeight="1" s="130"/>
    <row r="78" ht="18.75" customHeight="1" s="130"/>
    <row r="79" ht="18.75" customHeight="1" s="130"/>
    <row r="80" ht="18.75" customHeight="1" s="130"/>
    <row r="81" ht="18.75" customHeight="1" s="130"/>
    <row r="82" ht="18.75" customHeight="1" s="130"/>
    <row r="83" ht="18.75" customHeight="1" s="130"/>
    <row r="84" ht="18.75" customHeight="1" s="130"/>
    <row r="85" ht="18.75" customHeight="1" s="130"/>
    <row r="86" ht="18.75" customHeight="1" s="130"/>
    <row r="87" ht="18.75" customHeight="1" s="130"/>
    <row r="88" ht="18.75" customHeight="1" s="130"/>
    <row r="89" ht="18.75" customHeight="1" s="130"/>
    <row r="90" ht="18.75" customHeight="1" s="130"/>
    <row r="91" ht="18.75" customHeight="1" s="130"/>
    <row r="92" ht="18.75" customHeight="1" s="130"/>
    <row r="93" ht="18.75" customHeight="1" s="130"/>
    <row r="94" ht="18.75" customHeight="1" s="130"/>
    <row r="95" ht="18.75" customHeight="1" s="130"/>
    <row r="96" ht="18.75" customHeight="1" s="130"/>
    <row r="97" ht="18.75" customHeight="1" s="130"/>
    <row r="98" ht="18.75" customHeight="1" s="130"/>
    <row r="99" ht="18.75" customHeight="1" s="130"/>
    <row r="100" ht="18.75" customHeight="1" s="130"/>
    <row r="101" ht="18.75" customHeight="1" s="130"/>
    <row r="102" ht="18.75" customHeight="1" s="130"/>
    <row r="103" ht="18.75" customHeight="1" s="130"/>
    <row r="104" ht="18.75" customHeight="1" s="130"/>
    <row r="105" ht="18.75" customHeight="1" s="130"/>
    <row r="106" ht="18.75" customHeight="1" s="130"/>
    <row r="107" ht="18.75" customHeight="1" s="130"/>
    <row r="108" ht="18.75" customHeight="1" s="130"/>
    <row r="109" ht="18.75" customHeight="1" s="130"/>
    <row r="110" ht="18.75" customHeight="1" s="130"/>
    <row r="111" ht="18.75" customHeight="1" s="130"/>
    <row r="112" ht="18.75" customHeight="1" s="130"/>
    <row r="113" ht="18.75" customHeight="1" s="130"/>
    <row r="114" ht="18.75" customHeight="1" s="130"/>
    <row r="115" ht="18.75" customHeight="1" s="130"/>
    <row r="116" ht="18.75" customHeight="1" s="130"/>
    <row r="117" ht="18.75" customHeight="1" s="130"/>
    <row r="118" ht="18.75" customHeight="1" s="130"/>
    <row r="119" ht="18.75" customHeight="1" s="130"/>
    <row r="120" ht="18.75" customHeight="1" s="130"/>
    <row r="121" ht="18.75" customHeight="1" s="130"/>
    <row r="122" ht="18.75" customHeight="1" s="130"/>
    <row r="123" ht="18.75" customHeight="1" s="130"/>
    <row r="124" ht="18.75" customHeight="1" s="130"/>
    <row r="125" ht="18.75" customHeight="1" s="130"/>
    <row r="126" ht="18.75" customHeight="1" s="130"/>
    <row r="127" ht="18.75" customHeight="1" s="130"/>
    <row r="128" ht="18.75" customHeight="1" s="130"/>
    <row r="129" ht="18.75" customHeight="1" s="130"/>
    <row r="130" ht="18.75" customHeight="1" s="130"/>
    <row r="131" ht="18.75" customHeight="1" s="130"/>
    <row r="132" ht="18.75" customHeight="1" s="130"/>
    <row r="133" ht="18.75" customHeight="1" s="130"/>
    <row r="134" ht="18.75" customHeight="1" s="130"/>
    <row r="135" ht="18.75" customHeight="1" s="130"/>
    <row r="136" ht="18.75" customHeight="1" s="130"/>
    <row r="137" ht="18.75" customHeight="1" s="130"/>
    <row r="138" ht="18.75" customHeight="1" s="130"/>
    <row r="139" ht="18.75" customHeight="1" s="130"/>
    <row r="140" ht="18.75" customHeight="1" s="130"/>
    <row r="141" ht="18.75" customHeight="1" s="130"/>
    <row r="142" ht="18.75" customHeight="1" s="130"/>
    <row r="143" ht="18.75" customHeight="1" s="130"/>
    <row r="144" ht="18.75" customHeight="1" s="130"/>
    <row r="145" ht="18.75" customHeight="1" s="130"/>
    <row r="146" ht="18.75" customHeight="1" s="130"/>
    <row r="147" ht="18.75" customHeight="1" s="130"/>
    <row r="148" ht="18.75" customHeight="1" s="130"/>
    <row r="149" ht="18.75" customHeight="1" s="130"/>
    <row r="150" ht="18.75" customHeight="1" s="130"/>
    <row r="151" ht="18.75" customHeight="1" s="130"/>
    <row r="152" ht="18.75" customHeight="1" s="130"/>
    <row r="153" ht="18.75" customHeight="1" s="130"/>
    <row r="154" ht="18.75" customHeight="1" s="130"/>
    <row r="155" ht="18.75" customHeight="1" s="130"/>
    <row r="156" ht="18.75" customHeight="1" s="130"/>
    <row r="157" ht="18.75" customHeight="1" s="130"/>
    <row r="158" ht="18.75" customHeight="1" s="130"/>
    <row r="159" ht="18.75" customHeight="1" s="130"/>
    <row r="160" ht="18.75" customHeight="1" s="130"/>
    <row r="161" ht="18.75" customHeight="1" s="130"/>
    <row r="162" ht="18.75" customHeight="1" s="130"/>
    <row r="163" ht="18.75" customHeight="1" s="130"/>
    <row r="164" ht="18.75" customHeight="1" s="130"/>
    <row r="165" ht="18.75" customHeight="1" s="130"/>
    <row r="166" ht="18.75" customHeight="1" s="130"/>
    <row r="167" ht="18.75" customHeight="1" s="130"/>
    <row r="168" ht="18.75" customHeight="1" s="130"/>
    <row r="169" ht="18.75" customHeight="1" s="130"/>
    <row r="170" ht="18.75" customHeight="1" s="130"/>
    <row r="171" ht="18.75" customHeight="1" s="130"/>
    <row r="172" ht="18.75" customHeight="1" s="130"/>
    <row r="173" ht="18.75" customHeight="1" s="130"/>
    <row r="174" ht="18.75" customHeight="1" s="130"/>
    <row r="175" ht="18.75" customHeight="1" s="130"/>
    <row r="176" ht="18.75" customHeight="1" s="130"/>
    <row r="177" ht="18.75" customHeight="1" s="130"/>
    <row r="178" ht="18.75" customHeight="1" s="130"/>
    <row r="179" ht="18.75" customHeight="1" s="130"/>
    <row r="180" ht="18.75" customHeight="1" s="130"/>
    <row r="181" ht="18.75" customHeight="1" s="130"/>
    <row r="182" ht="18.75" customHeight="1" s="130"/>
    <row r="183" ht="18.75" customHeight="1" s="130"/>
    <row r="184" ht="18.75" customHeight="1" s="130"/>
    <row r="185" ht="18.75" customHeight="1" s="130"/>
    <row r="186" ht="18.75" customHeight="1" s="130"/>
    <row r="187" ht="18.75" customHeight="1" s="130"/>
    <row r="188" ht="18.75" customHeight="1" s="130"/>
    <row r="189" ht="18.75" customHeight="1" s="130"/>
    <row r="190" ht="18.75" customHeight="1" s="130"/>
    <row r="191" ht="18.75" customHeight="1" s="130"/>
    <row r="192" ht="18.75" customHeight="1" s="130"/>
    <row r="193" ht="18.75" customHeight="1" s="130"/>
    <row r="194" ht="18.75" customHeight="1" s="130"/>
    <row r="195" ht="18.75" customHeight="1" s="130"/>
    <row r="196" ht="18.75" customHeight="1" s="130"/>
    <row r="197" ht="18.75" customHeight="1" s="130"/>
    <row r="198" ht="18.75" customHeight="1" s="130"/>
    <row r="199" ht="18.75" customHeight="1" s="130"/>
    <row r="200" ht="18.75" customHeight="1" s="130"/>
    <row r="201" ht="18.75" customHeight="1" s="130"/>
    <row r="202" ht="18.75" customHeight="1" s="130"/>
    <row r="203" ht="18.75" customHeight="1" s="130"/>
    <row r="204" ht="18.75" customHeight="1" s="130"/>
    <row r="205" ht="18.75" customHeight="1" s="130"/>
    <row r="206" ht="18.75" customHeight="1" s="130"/>
    <row r="207" ht="18.75" customHeight="1" s="130"/>
    <row r="208" ht="18.75" customHeight="1" s="130"/>
    <row r="209" ht="18.75" customHeight="1" s="130"/>
    <row r="210" ht="18.75" customHeight="1" s="130"/>
    <row r="211" ht="18.75" customHeight="1" s="130"/>
    <row r="212" ht="18.75" customHeight="1" s="130"/>
    <row r="213" ht="18.75" customHeight="1" s="130"/>
    <row r="214" ht="18.75" customHeight="1" s="130"/>
    <row r="215" ht="18.75" customHeight="1" s="130"/>
    <row r="216" ht="18.75" customHeight="1" s="130"/>
    <row r="217" ht="18.75" customHeight="1" s="130"/>
    <row r="218" ht="18.75" customHeight="1" s="130"/>
    <row r="219" ht="18.75" customHeight="1" s="130"/>
    <row r="220" ht="18.75" customHeight="1" s="130"/>
    <row r="221" ht="18.75" customHeight="1" s="130"/>
    <row r="222" ht="18.75" customHeight="1" s="130"/>
    <row r="223" ht="18.75" customHeight="1" s="130"/>
    <row r="224" ht="18.75" customHeight="1" s="130"/>
    <row r="225" ht="18.75" customHeight="1" s="130"/>
    <row r="226" ht="18.75" customHeight="1" s="130"/>
    <row r="227" ht="18.75" customHeight="1" s="130"/>
    <row r="228" ht="18.75" customHeight="1" s="130"/>
    <row r="229" ht="18.75" customHeight="1" s="130"/>
    <row r="230" ht="18.75" customHeight="1" s="130"/>
    <row r="231" ht="18.75" customHeight="1" s="130"/>
    <row r="232" ht="18.75" customHeight="1" s="130"/>
    <row r="233" ht="18.75" customHeight="1" s="130"/>
    <row r="234" ht="18.75" customHeight="1" s="130"/>
    <row r="235" ht="18.75" customHeight="1" s="130"/>
    <row r="236" ht="18.75" customHeight="1" s="130"/>
    <row r="237" ht="18.75" customHeight="1" s="130"/>
    <row r="238" ht="18.75" customHeight="1" s="130"/>
    <row r="239" ht="18.75" customHeight="1" s="130"/>
    <row r="240" ht="18.75" customHeight="1" s="130"/>
    <row r="241" ht="18.75" customHeight="1" s="130"/>
    <row r="242" ht="18.75" customHeight="1" s="130"/>
    <row r="243" ht="18.75" customHeight="1" s="130"/>
    <row r="244" ht="18.75" customHeight="1" s="130"/>
    <row r="245" ht="18.75" customHeight="1" s="130"/>
    <row r="246" ht="18.75" customHeight="1" s="130"/>
    <row r="247" ht="18.75" customHeight="1" s="130"/>
    <row r="248" ht="18.75" customHeight="1" s="130"/>
    <row r="249" ht="18.75" customHeight="1" s="130"/>
    <row r="250" ht="18.75" customHeight="1" s="130"/>
    <row r="251" ht="18.75" customHeight="1" s="130"/>
    <row r="252" ht="18.75" customHeight="1" s="130"/>
    <row r="253" ht="18.75" customHeight="1" s="130"/>
    <row r="254" ht="18.75" customHeight="1" s="130"/>
    <row r="255" ht="18.75" customHeight="1" s="130"/>
    <row r="256" ht="18.75" customHeight="1" s="130"/>
    <row r="257" ht="18.75" customHeight="1" s="130"/>
    <row r="258" ht="18.75" customHeight="1" s="130"/>
    <row r="259" ht="18.75" customHeight="1" s="130"/>
    <row r="260" ht="18.75" customHeight="1" s="130"/>
    <row r="261" ht="18.75" customHeight="1" s="130"/>
    <row r="262" ht="18.75" customHeight="1" s="130"/>
    <row r="263" ht="18.75" customHeight="1" s="130"/>
    <row r="264" ht="18.75" customHeight="1" s="130"/>
    <row r="265" ht="18.75" customHeight="1" s="130"/>
    <row r="266" ht="18.75" customHeight="1" s="130"/>
    <row r="267" ht="18.75" customHeight="1" s="130"/>
    <row r="268" ht="18.75" customHeight="1" s="130"/>
    <row r="269" ht="18.75" customHeight="1" s="130"/>
    <row r="270" ht="18.75" customHeight="1" s="130"/>
    <row r="271" ht="18.75" customHeight="1" s="130"/>
    <row r="272" ht="18.75" customHeight="1" s="130"/>
    <row r="273" ht="18.75" customHeight="1" s="130"/>
    <row r="274" ht="18.75" customHeight="1" s="130"/>
    <row r="275" ht="18.75" customHeight="1" s="130"/>
    <row r="276" ht="18.75" customHeight="1" s="130"/>
    <row r="277" ht="18.75" customHeight="1" s="130"/>
    <row r="278" ht="18.75" customHeight="1" s="130"/>
    <row r="279" ht="18.75" customHeight="1" s="130"/>
    <row r="280" ht="18.75" customHeight="1" s="130"/>
    <row r="281" ht="18.75" customHeight="1" s="130"/>
    <row r="282" ht="18.75" customHeight="1" s="130"/>
    <row r="283" ht="18.75" customHeight="1" s="130"/>
    <row r="284" ht="18.75" customHeight="1" s="130"/>
    <row r="285" ht="18.75" customHeight="1" s="130"/>
    <row r="286" ht="18.75" customHeight="1" s="130"/>
    <row r="287" ht="18.75" customHeight="1" s="130"/>
    <row r="288" ht="18.75" customHeight="1" s="130"/>
    <row r="289" ht="18.75" customHeight="1" s="130"/>
    <row r="290" ht="18.75" customHeight="1" s="130"/>
    <row r="291" ht="18.75" customHeight="1" s="130"/>
    <row r="292" ht="18.75" customHeight="1" s="130"/>
    <row r="293" ht="18.75" customHeight="1" s="130"/>
    <row r="294" ht="18.75" customHeight="1" s="130"/>
    <row r="295" ht="18.75" customHeight="1" s="130"/>
    <row r="296" ht="18.75" customHeight="1" s="130"/>
    <row r="297" ht="18.75" customHeight="1" s="130"/>
    <row r="298" ht="18.75" customHeight="1" s="130"/>
    <row r="299" ht="18.75" customHeight="1" s="130"/>
    <row r="300" ht="18.75" customHeight="1" s="130"/>
    <row r="301" ht="18.75" customHeight="1" s="130"/>
    <row r="302" ht="18.75" customHeight="1" s="130"/>
    <row r="303" ht="18.75" customHeight="1" s="130"/>
    <row r="304" ht="18.75" customHeight="1" s="130"/>
    <row r="305" ht="18.75" customHeight="1" s="130"/>
    <row r="306" ht="18.75" customHeight="1" s="130"/>
    <row r="307" ht="18.75" customHeight="1" s="130"/>
    <row r="308" ht="18.75" customHeight="1" s="130"/>
    <row r="309" ht="18.75" customHeight="1" s="130"/>
    <row r="310" ht="18.75" customHeight="1" s="130"/>
    <row r="311" ht="18.75" customHeight="1" s="130"/>
    <row r="312" ht="18.75" customHeight="1" s="130"/>
    <row r="313" ht="18.75" customHeight="1" s="130"/>
    <row r="314" ht="18.75" customHeight="1" s="130"/>
    <row r="315" ht="18.75" customHeight="1" s="130"/>
    <row r="316" ht="18.75" customHeight="1" s="130"/>
    <row r="317" ht="18.75" customHeight="1" s="130"/>
    <row r="318" ht="18.75" customHeight="1" s="130"/>
    <row r="319" ht="18.75" customHeight="1" s="130"/>
    <row r="320" ht="18.75" customHeight="1" s="130"/>
    <row r="321" ht="18.75" customHeight="1" s="130"/>
    <row r="322" ht="18.75" customHeight="1" s="130"/>
    <row r="323" ht="18.75" customHeight="1" s="130"/>
    <row r="324" ht="18.75" customHeight="1" s="130"/>
    <row r="325" ht="18.75" customHeight="1" s="130"/>
    <row r="326" ht="18.75" customHeight="1" s="130"/>
    <row r="327" ht="18.75" customHeight="1" s="130"/>
    <row r="328" ht="18.75" customHeight="1" s="130"/>
    <row r="329" ht="18.75" customHeight="1" s="130"/>
    <row r="330" ht="18.75" customHeight="1" s="130"/>
    <row r="331" ht="18.75" customHeight="1" s="130"/>
    <row r="332" ht="18.75" customHeight="1" s="130"/>
    <row r="333" ht="18.75" customHeight="1" s="130"/>
    <row r="334" ht="18.75" customHeight="1" s="130"/>
    <row r="335" ht="18.75" customHeight="1" s="130"/>
    <row r="336" ht="18.75" customHeight="1" s="130"/>
    <row r="337" ht="18.75" customHeight="1" s="130"/>
    <row r="338" ht="18.75" customHeight="1" s="130"/>
    <row r="339" ht="18.75" customHeight="1" s="130"/>
    <row r="340" ht="18.75" customHeight="1" s="130"/>
    <row r="341" ht="18.75" customHeight="1" s="130"/>
    <row r="342" ht="18.75" customHeight="1" s="130"/>
    <row r="343" ht="18.75" customHeight="1" s="130"/>
    <row r="344" ht="18.75" customHeight="1" s="130"/>
    <row r="345" ht="18.75" customHeight="1" s="130"/>
    <row r="346" ht="18.75" customHeight="1" s="130"/>
    <row r="347" ht="18.75" customHeight="1" s="130"/>
    <row r="348" ht="18.75" customHeight="1" s="130"/>
    <row r="349" ht="18.75" customHeight="1" s="130"/>
    <row r="350" ht="18.75" customHeight="1" s="130"/>
    <row r="351" ht="18.75" customHeight="1" s="130"/>
    <row r="352" ht="18.75" customHeight="1" s="130"/>
    <row r="353" ht="18.75" customHeight="1" s="130"/>
    <row r="354" ht="18.75" customHeight="1" s="130"/>
    <row r="355" ht="18.75" customHeight="1" s="130"/>
    <row r="356" ht="18.75" customHeight="1" s="130"/>
    <row r="357" ht="18.75" customHeight="1" s="130"/>
    <row r="358" ht="18.75" customHeight="1" s="130"/>
    <row r="359" ht="18.75" customHeight="1" s="130"/>
    <row r="360" ht="18.75" customHeight="1" s="130"/>
    <row r="361" ht="18.75" customHeight="1" s="130"/>
    <row r="362" ht="18.75" customHeight="1" s="130"/>
    <row r="363" ht="18.75" customHeight="1" s="130"/>
    <row r="364" ht="18.75" customHeight="1" s="130"/>
    <row r="365" ht="18.75" customHeight="1" s="130"/>
    <row r="366" ht="18.75" customHeight="1" s="130"/>
    <row r="367" ht="18.75" customHeight="1" s="130"/>
    <row r="368" ht="18.75" customHeight="1" s="130"/>
    <row r="369" ht="18.75" customHeight="1" s="130"/>
    <row r="370" ht="18.75" customHeight="1" s="130"/>
    <row r="371" ht="18.75" customHeight="1" s="130"/>
    <row r="372" ht="18.75" customHeight="1" s="130"/>
    <row r="373" ht="18.75" customHeight="1" s="130"/>
    <row r="374" ht="18.75" customHeight="1" s="130"/>
    <row r="375" ht="18.75" customHeight="1" s="130"/>
    <row r="376" ht="18.75" customHeight="1" s="130"/>
    <row r="377" ht="18.75" customHeight="1" s="130"/>
    <row r="378" ht="18.75" customHeight="1" s="130"/>
    <row r="379" ht="18.75" customHeight="1" s="130"/>
    <row r="380" ht="18.75" customHeight="1" s="130"/>
    <row r="381" ht="18.75" customHeight="1" s="130"/>
    <row r="382" ht="18.75" customHeight="1" s="130"/>
    <row r="383" ht="18.75" customHeight="1" s="130"/>
    <row r="384" ht="18.75" customHeight="1" s="130"/>
    <row r="385" ht="18.75" customHeight="1" s="130"/>
    <row r="386" ht="18.75" customHeight="1" s="130"/>
    <row r="387" ht="18.75" customHeight="1" s="130"/>
    <row r="388" ht="18.75" customHeight="1" s="130"/>
    <row r="389" ht="18.75" customHeight="1" s="130"/>
    <row r="390" ht="18.75" customHeight="1" s="130"/>
    <row r="391" ht="18.75" customHeight="1" s="130"/>
    <row r="392" ht="18.75" customHeight="1" s="130"/>
    <row r="393" ht="18.75" customHeight="1" s="130"/>
    <row r="394" ht="18.75" customHeight="1" s="130"/>
    <row r="395" ht="18.75" customHeight="1" s="130"/>
    <row r="396" ht="18.75" customHeight="1" s="130"/>
    <row r="397" ht="18.75" customHeight="1" s="130"/>
    <row r="398" ht="18.75" customHeight="1" s="130"/>
    <row r="399" ht="18.75" customHeight="1" s="130"/>
    <row r="400" ht="18.75" customHeight="1" s="130"/>
    <row r="401" ht="18.75" customHeight="1" s="130"/>
    <row r="402" ht="18.75" customHeight="1" s="130"/>
    <row r="403" ht="18.75" customHeight="1" s="130"/>
    <row r="404" ht="18.75" customHeight="1" s="130"/>
    <row r="405" ht="18.75" customHeight="1" s="130"/>
    <row r="406" ht="18.75" customHeight="1" s="130"/>
    <row r="407" ht="18.75" customHeight="1" s="130"/>
    <row r="408" ht="18.75" customHeight="1" s="130"/>
    <row r="409" ht="18.75" customHeight="1" s="130"/>
    <row r="410" ht="18.75" customHeight="1" s="130"/>
    <row r="411" ht="18.75" customHeight="1" s="130"/>
    <row r="412" ht="18.75" customHeight="1" s="130"/>
    <row r="413" ht="18.75" customHeight="1" s="130"/>
    <row r="414" ht="18.75" customHeight="1" s="130"/>
    <row r="415" ht="18.75" customHeight="1" s="130"/>
    <row r="416" ht="18.75" customHeight="1" s="130"/>
    <row r="417" ht="18.75" customHeight="1" s="130"/>
    <row r="418" ht="18.75" customHeight="1" s="130"/>
    <row r="419" ht="18.75" customHeight="1" s="130"/>
    <row r="420" ht="18.75" customHeight="1" s="130"/>
    <row r="421" ht="18.75" customHeight="1" s="130"/>
    <row r="422" ht="18.75" customHeight="1" s="130"/>
    <row r="423" ht="18.75" customHeight="1" s="130"/>
    <row r="424" ht="18.75" customHeight="1" s="130"/>
    <row r="425" ht="18.75" customHeight="1" s="130"/>
    <row r="426" ht="18.75" customHeight="1" s="130"/>
    <row r="427" ht="18.75" customHeight="1" s="130"/>
    <row r="428" ht="18.75" customHeight="1" s="130"/>
    <row r="429" ht="18.75" customHeight="1" s="130"/>
    <row r="430" ht="18.75" customHeight="1" s="130"/>
    <row r="431" ht="18.75" customHeight="1" s="130"/>
    <row r="432" ht="18.75" customHeight="1" s="130"/>
    <row r="433" ht="18.75" customHeight="1" s="130"/>
    <row r="434" ht="18.75" customHeight="1" s="130"/>
    <row r="435" ht="18.75" customHeight="1" s="130"/>
    <row r="436" ht="18.75" customHeight="1" s="130"/>
    <row r="437" ht="18.75" customHeight="1" s="130"/>
    <row r="438" ht="18.75" customHeight="1" s="130"/>
    <row r="439" ht="18.75" customHeight="1" s="130"/>
    <row r="440" ht="18.75" customHeight="1" s="130"/>
    <row r="441" ht="18.75" customHeight="1" s="130"/>
    <row r="442" ht="18.75" customHeight="1" s="130"/>
    <row r="443" ht="18.75" customHeight="1" s="130"/>
    <row r="444" ht="18.75" customHeight="1" s="130"/>
    <row r="445" ht="18.75" customHeight="1" s="130"/>
    <row r="446" ht="18.75" customHeight="1" s="130"/>
    <row r="447" ht="18.75" customHeight="1" s="130"/>
    <row r="448" ht="18.75" customHeight="1" s="130"/>
    <row r="449" ht="18.75" customHeight="1" s="130"/>
    <row r="450" ht="18.75" customHeight="1" s="130"/>
    <row r="451" ht="18.75" customHeight="1" s="130"/>
    <row r="452" ht="18.75" customHeight="1" s="130"/>
    <row r="453" ht="18.75" customHeight="1" s="130"/>
    <row r="454" ht="18.75" customHeight="1" s="130"/>
    <row r="455" ht="18.75" customHeight="1" s="130"/>
    <row r="456" ht="18.75" customHeight="1" s="130"/>
    <row r="457" ht="18.75" customHeight="1" s="130"/>
    <row r="458" ht="18.75" customHeight="1" s="130"/>
    <row r="459" ht="18.75" customHeight="1" s="130"/>
    <row r="460" ht="18.75" customHeight="1" s="130"/>
    <row r="461" ht="18.75" customHeight="1" s="130"/>
    <row r="462" ht="18.75" customHeight="1" s="130"/>
    <row r="463" ht="18.75" customHeight="1" s="130"/>
    <row r="464" ht="18.75" customHeight="1" s="130"/>
    <row r="465" ht="18.75" customHeight="1" s="130"/>
    <row r="466" ht="18.75" customHeight="1" s="130"/>
    <row r="467" ht="18.75" customHeight="1" s="130"/>
    <row r="468" ht="18.75" customHeight="1" s="130"/>
    <row r="469" ht="18.75" customHeight="1" s="130"/>
    <row r="470" ht="18.75" customHeight="1" s="130"/>
    <row r="471" ht="18.75" customHeight="1" s="130"/>
    <row r="472" ht="18.75" customHeight="1" s="130"/>
    <row r="473" ht="18.75" customHeight="1" s="130"/>
    <row r="474" ht="18.75" customHeight="1" s="130"/>
    <row r="475" ht="18.75" customHeight="1" s="130"/>
    <row r="476" ht="18.75" customHeight="1" s="130"/>
    <row r="477" ht="18.75" customHeight="1" s="130"/>
    <row r="478" ht="18.75" customHeight="1" s="130"/>
    <row r="479" ht="18.75" customHeight="1" s="130"/>
    <row r="480" ht="18.75" customHeight="1" s="130"/>
    <row r="481" ht="18.75" customHeight="1" s="130"/>
    <row r="482" ht="18.75" customHeight="1" s="130"/>
    <row r="483" ht="18.75" customHeight="1" s="130"/>
    <row r="484" ht="18.75" customHeight="1" s="130"/>
    <row r="485" ht="18.75" customHeight="1" s="130"/>
    <row r="486" ht="18.75" customHeight="1" s="130"/>
    <row r="487" ht="18.75" customHeight="1" s="130"/>
    <row r="488" ht="18.75" customHeight="1" s="130"/>
    <row r="489" ht="18.75" customHeight="1" s="130"/>
    <row r="490" ht="18.75" customHeight="1" s="130"/>
    <row r="491" ht="18.75" customHeight="1" s="130"/>
    <row r="492" ht="18.75" customHeight="1" s="130"/>
    <row r="493" ht="18.75" customHeight="1" s="130"/>
    <row r="494" ht="18.75" customHeight="1" s="130"/>
    <row r="495" ht="18.75" customHeight="1" s="130"/>
    <row r="496" ht="18.75" customHeight="1" s="130"/>
    <row r="497" ht="18.75" customHeight="1" s="130"/>
    <row r="498" ht="18.75" customHeight="1" s="130"/>
    <row r="499" ht="18.75" customHeight="1" s="130"/>
    <row r="500" ht="18.75" customHeight="1" s="130"/>
    <row r="501" ht="18.75" customHeight="1" s="130"/>
    <row r="502" ht="18.75" customHeight="1" s="130"/>
    <row r="503" ht="18.75" customHeight="1" s="130"/>
    <row r="504" ht="18.75" customHeight="1" s="130"/>
    <row r="505" ht="18.75" customHeight="1" s="130"/>
    <row r="506" ht="18.75" customHeight="1" s="130"/>
    <row r="507" ht="18.75" customHeight="1" s="130"/>
    <row r="508" ht="18.75" customHeight="1" s="130"/>
    <row r="509" ht="18.75" customHeight="1" s="130"/>
    <row r="510" ht="18.75" customHeight="1" s="130"/>
    <row r="511" ht="18.75" customHeight="1" s="130"/>
    <row r="512" ht="18.75" customHeight="1" s="130"/>
    <row r="513" ht="18.75" customHeight="1" s="130"/>
    <row r="514" ht="18.75" customHeight="1" s="130"/>
    <row r="515" ht="18.75" customHeight="1" s="130"/>
    <row r="516" ht="18.75" customHeight="1" s="130"/>
    <row r="517" ht="18.75" customHeight="1" s="130"/>
    <row r="518" ht="18.75" customHeight="1" s="130"/>
    <row r="519" ht="18.75" customHeight="1" s="130"/>
    <row r="520" ht="18.75" customHeight="1" s="130"/>
    <row r="521" ht="18.75" customHeight="1" s="130"/>
    <row r="522" ht="18.75" customHeight="1" s="130"/>
    <row r="523" ht="18.75" customHeight="1" s="130"/>
    <row r="524" ht="18.75" customHeight="1" s="130"/>
    <row r="525" ht="18.75" customHeight="1" s="130"/>
    <row r="526" ht="18.75" customHeight="1" s="130"/>
    <row r="527" ht="18.75" customHeight="1" s="130"/>
    <row r="528" ht="18.75" customHeight="1" s="130"/>
    <row r="529" ht="18.75" customHeight="1" s="130"/>
    <row r="530" ht="18.75" customHeight="1" s="130"/>
    <row r="531" ht="18.75" customHeight="1" s="130"/>
    <row r="532" ht="18.75" customHeight="1" s="130"/>
    <row r="533" ht="18.75" customHeight="1" s="130"/>
    <row r="534" ht="18.75" customHeight="1" s="130"/>
    <row r="535" ht="18.75" customHeight="1" s="130"/>
    <row r="536" ht="18.75" customHeight="1" s="130"/>
    <row r="537" ht="18.75" customHeight="1" s="130"/>
    <row r="538" ht="18.75" customHeight="1" s="130"/>
    <row r="539" ht="18.75" customHeight="1" s="130"/>
    <row r="540" ht="18.75" customHeight="1" s="130"/>
    <row r="541" ht="18.75" customHeight="1" s="130"/>
    <row r="542" ht="18.75" customHeight="1" s="130"/>
    <row r="543" ht="18.75" customHeight="1" s="130"/>
    <row r="544" ht="18.75" customHeight="1" s="130"/>
    <row r="545" ht="18.75" customHeight="1" s="130"/>
    <row r="546" ht="18.75" customHeight="1" s="130"/>
    <row r="547" ht="18.75" customHeight="1" s="130"/>
    <row r="548" ht="18.75" customHeight="1" s="130"/>
    <row r="549" ht="18.75" customHeight="1" s="130"/>
    <row r="550" ht="18.75" customHeight="1" s="130"/>
    <row r="551" ht="18.75" customHeight="1" s="130"/>
    <row r="552" ht="18.75" customHeight="1" s="130"/>
    <row r="553" ht="18.75" customHeight="1" s="130"/>
    <row r="554" ht="18.75" customHeight="1" s="130"/>
    <row r="555" ht="18.75" customHeight="1" s="130"/>
    <row r="556" ht="18.75" customHeight="1" s="130"/>
    <row r="557" ht="18.75" customHeight="1" s="130"/>
    <row r="558" ht="18.75" customHeight="1" s="130"/>
    <row r="559" ht="18.75" customHeight="1" s="130"/>
    <row r="560" ht="18.75" customHeight="1" s="130"/>
    <row r="561" ht="18.75" customHeight="1" s="130"/>
    <row r="562" ht="18.75" customHeight="1" s="130"/>
    <row r="563" ht="18.75" customHeight="1" s="130"/>
    <row r="564" ht="18.75" customHeight="1" s="130"/>
    <row r="565" ht="18.75" customHeight="1" s="130"/>
    <row r="566" ht="18.75" customHeight="1" s="130"/>
    <row r="567" ht="18.75" customHeight="1" s="130"/>
    <row r="568" ht="18.75" customHeight="1" s="130"/>
    <row r="569" ht="18.75" customHeight="1" s="130"/>
    <row r="570" ht="18.75" customHeight="1" s="130"/>
    <row r="571" ht="18.75" customHeight="1" s="130"/>
    <row r="572" ht="18.75" customHeight="1" s="130"/>
    <row r="573" ht="18.75" customHeight="1" s="130"/>
    <row r="574" ht="18.75" customHeight="1" s="130"/>
    <row r="575" ht="18.75" customHeight="1" s="130"/>
    <row r="576" ht="18.75" customHeight="1" s="130"/>
    <row r="577" ht="18.75" customHeight="1" s="130"/>
    <row r="578" ht="18.75" customHeight="1" s="130"/>
    <row r="579" ht="18.75" customHeight="1" s="130"/>
    <row r="580" ht="18.75" customHeight="1" s="130"/>
    <row r="581" ht="18.75" customHeight="1" s="130"/>
    <row r="582" ht="18.75" customHeight="1" s="130"/>
    <row r="583" ht="18.75" customHeight="1" s="130"/>
    <row r="584" ht="18.75" customHeight="1" s="130"/>
    <row r="585" ht="18.75" customHeight="1" s="130"/>
    <row r="586" ht="18.75" customHeight="1" s="130"/>
    <row r="587" ht="18.75" customHeight="1" s="130"/>
    <row r="588" ht="18.75" customHeight="1" s="130"/>
    <row r="589" ht="18.75" customHeight="1" s="130"/>
    <row r="590" ht="18.75" customHeight="1" s="130"/>
    <row r="591" ht="18.75" customHeight="1" s="130"/>
    <row r="592" ht="18.75" customHeight="1" s="130"/>
    <row r="593" ht="18.75" customHeight="1" s="130"/>
    <row r="594" ht="18.75" customHeight="1" s="130"/>
    <row r="595" ht="18.75" customHeight="1" s="130"/>
    <row r="596" ht="18.75" customHeight="1" s="130"/>
    <row r="597" ht="18.75" customHeight="1" s="130"/>
    <row r="598" ht="18.75" customHeight="1" s="130"/>
    <row r="599" ht="18.75" customHeight="1" s="130"/>
    <row r="600" ht="18.75" customHeight="1" s="130"/>
    <row r="601" ht="18.75" customHeight="1" s="130"/>
    <row r="602" ht="18.75" customHeight="1" s="130"/>
    <row r="603" ht="18.75" customHeight="1" s="130"/>
    <row r="604" ht="18.75" customHeight="1" s="130"/>
    <row r="605" ht="18.75" customHeight="1" s="130"/>
    <row r="606" ht="18.75" customHeight="1" s="130"/>
    <row r="607" ht="18.75" customHeight="1" s="130"/>
    <row r="608" ht="18.75" customHeight="1" s="130"/>
    <row r="609" ht="18.75" customHeight="1" s="130"/>
    <row r="610" ht="18.75" customHeight="1" s="130"/>
    <row r="611" ht="18.75" customHeight="1" s="130"/>
    <row r="612" ht="18.75" customHeight="1" s="130"/>
    <row r="613" ht="18.75" customHeight="1" s="130"/>
    <row r="614" ht="18.75" customHeight="1" s="130"/>
    <row r="615" ht="18.75" customHeight="1" s="130"/>
    <row r="616" ht="18.75" customHeight="1" s="130"/>
    <row r="617" ht="18.75" customHeight="1" s="130"/>
    <row r="618" ht="18.75" customHeight="1" s="130"/>
    <row r="619" ht="18.75" customHeight="1" s="130"/>
    <row r="620" ht="18.75" customHeight="1" s="130"/>
    <row r="621" ht="18.75" customHeight="1" s="130"/>
    <row r="622" ht="18.75" customHeight="1" s="130"/>
    <row r="623" ht="18.75" customHeight="1" s="130"/>
    <row r="624" ht="18.75" customHeight="1" s="130"/>
    <row r="625" ht="18.75" customHeight="1" s="130"/>
    <row r="626" ht="18.75" customHeight="1" s="130"/>
    <row r="627" ht="18.75" customHeight="1" s="130"/>
    <row r="628" ht="18.75" customHeight="1" s="130"/>
    <row r="629" ht="18.75" customHeight="1" s="130"/>
    <row r="630" ht="18.75" customHeight="1" s="130"/>
    <row r="631" ht="18.75" customHeight="1" s="130"/>
    <row r="632" ht="18.75" customHeight="1" s="130"/>
    <row r="633" ht="18.75" customHeight="1" s="130"/>
    <row r="634" ht="18.75" customHeight="1" s="130"/>
    <row r="635" ht="18.75" customHeight="1" s="130"/>
    <row r="636" ht="18.75" customHeight="1" s="130"/>
    <row r="637" ht="18.75" customHeight="1" s="130"/>
    <row r="638" ht="18.75" customHeight="1" s="130"/>
    <row r="639" ht="18.75" customHeight="1" s="130"/>
    <row r="640" ht="18.75" customHeight="1" s="130"/>
    <row r="641" ht="18.75" customHeight="1" s="130"/>
    <row r="642" ht="18.75" customHeight="1" s="130"/>
    <row r="643" ht="18.75" customHeight="1" s="130"/>
    <row r="644" ht="18.75" customHeight="1" s="130"/>
    <row r="645" ht="18.75" customHeight="1" s="130"/>
    <row r="646" ht="18.75" customHeight="1" s="130"/>
    <row r="647" ht="18.75" customHeight="1" s="130"/>
    <row r="648" ht="18.75" customHeight="1" s="130"/>
    <row r="649" ht="18.75" customHeight="1" s="130"/>
    <row r="650" ht="18.75" customHeight="1" s="130"/>
    <row r="651" ht="18.75" customHeight="1" s="130"/>
    <row r="652" ht="18.75" customHeight="1" s="130"/>
    <row r="653" ht="18.75" customHeight="1" s="130"/>
    <row r="654" ht="18.75" customHeight="1" s="130"/>
    <row r="655" ht="18.75" customHeight="1" s="130"/>
    <row r="656" ht="18.75" customHeight="1" s="130"/>
    <row r="657" ht="18.75" customHeight="1" s="130"/>
    <row r="658" ht="18.75" customHeight="1" s="130"/>
    <row r="659" ht="18.75" customHeight="1" s="130"/>
    <row r="660" ht="18.75" customHeight="1" s="130"/>
    <row r="661" ht="18.75" customHeight="1" s="130"/>
    <row r="662" ht="18.75" customHeight="1" s="130"/>
    <row r="663" ht="18.75" customHeight="1" s="130"/>
    <row r="664" ht="18.75" customHeight="1" s="130"/>
    <row r="665" ht="18.75" customHeight="1" s="130"/>
    <row r="666" ht="18.75" customHeight="1" s="130"/>
    <row r="667" ht="18.75" customHeight="1" s="130"/>
    <row r="668" ht="18.75" customHeight="1" s="130"/>
    <row r="669" ht="18.75" customHeight="1" s="130"/>
    <row r="670" ht="18.75" customHeight="1" s="130"/>
    <row r="671" ht="18.75" customHeight="1" s="130"/>
    <row r="672" ht="18.75" customHeight="1" s="130"/>
    <row r="673" ht="18.75" customHeight="1" s="130"/>
    <row r="674" ht="18.75" customHeight="1" s="130"/>
    <row r="675" ht="18.75" customHeight="1" s="130"/>
    <row r="676" ht="18.75" customHeight="1" s="130"/>
    <row r="677" ht="18.75" customHeight="1" s="130"/>
    <row r="678" ht="18.75" customHeight="1" s="130"/>
    <row r="679" ht="18.75" customHeight="1" s="130"/>
    <row r="680" ht="18.75" customHeight="1" s="130"/>
    <row r="681" ht="18.75" customHeight="1" s="130"/>
    <row r="682" ht="18.75" customHeight="1" s="130"/>
    <row r="683" ht="18.75" customHeight="1" s="130"/>
    <row r="684" ht="18.75" customHeight="1" s="130"/>
    <row r="685" ht="18.75" customHeight="1" s="130"/>
    <row r="686" ht="18.75" customHeight="1" s="130"/>
    <row r="687" ht="18.75" customHeight="1" s="130"/>
    <row r="688" ht="18.75" customHeight="1" s="130"/>
    <row r="689" ht="18.75" customHeight="1" s="130"/>
    <row r="690" ht="18.75" customHeight="1" s="130"/>
    <row r="691" ht="18.75" customHeight="1" s="130"/>
    <row r="692" ht="18.75" customHeight="1" s="130"/>
    <row r="693" ht="18.75" customHeight="1" s="130"/>
    <row r="694" ht="18.75" customHeight="1" s="130"/>
    <row r="695" ht="18.75" customHeight="1" s="130"/>
    <row r="696" ht="18.75" customHeight="1" s="130"/>
    <row r="697" ht="18.75" customHeight="1" s="130"/>
    <row r="698" ht="18.75" customHeight="1" s="130"/>
    <row r="699" ht="18.75" customHeight="1" s="130"/>
    <row r="700" ht="18.75" customHeight="1" s="130"/>
    <row r="701" ht="18.75" customHeight="1" s="130"/>
    <row r="702" ht="18.75" customHeight="1" s="130"/>
    <row r="703" ht="18.75" customHeight="1" s="130"/>
    <row r="704" ht="18.75" customHeight="1" s="130"/>
    <row r="705" ht="18.75" customHeight="1" s="130"/>
    <row r="706" ht="18.75" customHeight="1" s="130"/>
    <row r="707" ht="18.75" customHeight="1" s="130"/>
    <row r="708" ht="18.75" customHeight="1" s="130"/>
    <row r="709" ht="18.75" customHeight="1" s="130"/>
    <row r="710" ht="18.75" customHeight="1" s="130"/>
    <row r="711" ht="18.75" customHeight="1" s="130"/>
    <row r="712" ht="18.75" customHeight="1" s="130"/>
    <row r="713" ht="18.75" customHeight="1" s="130"/>
    <row r="714" ht="18.75" customHeight="1" s="130"/>
    <row r="715" ht="18.75" customHeight="1" s="130"/>
    <row r="716" ht="18.75" customHeight="1" s="130"/>
    <row r="717" ht="18.75" customHeight="1" s="130"/>
    <row r="718" ht="18.75" customHeight="1" s="130"/>
    <row r="719" ht="18.75" customHeight="1" s="130"/>
    <row r="720" ht="18.75" customHeight="1" s="130"/>
    <row r="721" ht="18.75" customHeight="1" s="130"/>
    <row r="722" ht="18.75" customHeight="1" s="130"/>
    <row r="723" ht="18.75" customHeight="1" s="130"/>
    <row r="724" ht="18.75" customHeight="1" s="130"/>
    <row r="725" ht="18.75" customHeight="1" s="130"/>
    <row r="726" ht="18.75" customHeight="1" s="130"/>
    <row r="727" ht="18.75" customHeight="1" s="130"/>
    <row r="728" ht="18.75" customHeight="1" s="130"/>
    <row r="729" ht="18.75" customHeight="1" s="130"/>
    <row r="730" ht="18.75" customHeight="1" s="130"/>
    <row r="731" ht="18.75" customHeight="1" s="130"/>
    <row r="732" ht="18.75" customHeight="1" s="130"/>
    <row r="733" ht="18.75" customHeight="1" s="130"/>
    <row r="734" ht="18.75" customHeight="1" s="130"/>
    <row r="735" ht="18.75" customHeight="1" s="130"/>
    <row r="736" ht="18.75" customHeight="1" s="130"/>
    <row r="737" ht="18.75" customHeight="1" s="130"/>
    <row r="738" ht="18.75" customHeight="1" s="130"/>
    <row r="739" ht="18.75" customHeight="1" s="130"/>
    <row r="740" ht="18.75" customHeight="1" s="130"/>
    <row r="741" ht="18.75" customHeight="1" s="130"/>
    <row r="742" ht="18.75" customHeight="1" s="130"/>
    <row r="743" ht="18.75" customHeight="1" s="130"/>
    <row r="744" ht="18.75" customHeight="1" s="130"/>
    <row r="745" ht="18.75" customHeight="1" s="130"/>
    <row r="746" ht="18.75" customHeight="1" s="130"/>
    <row r="747" ht="18.75" customHeight="1" s="130"/>
    <row r="748" ht="18.75" customHeight="1" s="130"/>
    <row r="749" ht="18.75" customHeight="1" s="130"/>
    <row r="750" ht="18.75" customHeight="1" s="130"/>
    <row r="751" ht="18.75" customHeight="1" s="130"/>
    <row r="752" ht="18.75" customHeight="1" s="130"/>
    <row r="753" ht="18.75" customHeight="1" s="130"/>
    <row r="754" ht="18.75" customHeight="1" s="130"/>
    <row r="755" ht="18.75" customHeight="1" s="130"/>
    <row r="756" ht="18.75" customHeight="1" s="130"/>
    <row r="757" ht="18.75" customHeight="1" s="130"/>
    <row r="758" ht="18.75" customHeight="1" s="130"/>
    <row r="759" ht="18.75" customHeight="1" s="130"/>
    <row r="760" ht="18.75" customHeight="1" s="130"/>
    <row r="761" ht="18.75" customHeight="1" s="130"/>
    <row r="762" ht="18.75" customHeight="1" s="130"/>
    <row r="763" ht="18.75" customHeight="1" s="130"/>
    <row r="764" ht="18.75" customHeight="1" s="130"/>
    <row r="765" ht="18.75" customHeight="1" s="130"/>
    <row r="766" ht="18.75" customHeight="1" s="130"/>
    <row r="767" ht="18.75" customHeight="1" s="130"/>
    <row r="768" ht="18.75" customHeight="1" s="130"/>
    <row r="769" ht="18.75" customHeight="1" s="130"/>
    <row r="770" ht="18.75" customHeight="1" s="130"/>
    <row r="771" ht="18.75" customHeight="1" s="130"/>
    <row r="772" ht="18.75" customHeight="1" s="130"/>
    <row r="773" ht="18.75" customHeight="1" s="130"/>
    <row r="774" ht="18.75" customHeight="1" s="130"/>
    <row r="775" ht="18.75" customHeight="1" s="130"/>
    <row r="776" ht="18.75" customHeight="1" s="130"/>
    <row r="777" ht="18.75" customHeight="1" s="130"/>
    <row r="778" ht="18.75" customHeight="1" s="130"/>
    <row r="779" ht="18.75" customHeight="1" s="130"/>
    <row r="780" ht="18.75" customHeight="1" s="130"/>
    <row r="781" ht="18.75" customHeight="1" s="130"/>
    <row r="782" ht="18.75" customHeight="1" s="130"/>
    <row r="783" ht="18.75" customHeight="1" s="130"/>
    <row r="784" ht="18.75" customHeight="1" s="130"/>
    <row r="785" ht="18.75" customHeight="1" s="130"/>
    <row r="786" ht="18.75" customHeight="1" s="130"/>
    <row r="787" ht="18.75" customHeight="1" s="130"/>
    <row r="788" ht="18.75" customHeight="1" s="130"/>
    <row r="789" ht="18.75" customHeight="1" s="130"/>
    <row r="790" ht="18.75" customHeight="1" s="130"/>
    <row r="791" ht="18.75" customHeight="1" s="130"/>
    <row r="792" ht="18.75" customHeight="1" s="130"/>
    <row r="793" ht="18.75" customHeight="1" s="130"/>
    <row r="794" ht="18.75" customHeight="1" s="130"/>
    <row r="795" ht="18.75" customHeight="1" s="130"/>
    <row r="796" ht="18.75" customHeight="1" s="130"/>
    <row r="797" ht="18.75" customHeight="1" s="130"/>
    <row r="798" ht="18.75" customHeight="1" s="130"/>
    <row r="799" ht="18.75" customHeight="1" s="130"/>
    <row r="800" ht="18.75" customHeight="1" s="130"/>
    <row r="801" ht="18.75" customHeight="1" s="130"/>
    <row r="802" ht="18.75" customHeight="1" s="130"/>
    <row r="803" ht="18.75" customHeight="1" s="130"/>
    <row r="804" ht="18.75" customHeight="1" s="130"/>
    <row r="805" ht="18.75" customHeight="1" s="130"/>
    <row r="806" ht="18.75" customHeight="1" s="130"/>
    <row r="807" ht="18.75" customHeight="1" s="130"/>
    <row r="808" ht="18.75" customHeight="1" s="130"/>
    <row r="809" ht="18.75" customHeight="1" s="130"/>
    <row r="810" ht="18.75" customHeight="1" s="130"/>
    <row r="811" ht="18.75" customHeight="1" s="130"/>
    <row r="812" ht="18.75" customHeight="1" s="130"/>
    <row r="813" ht="18.75" customHeight="1" s="130"/>
    <row r="814" ht="18.75" customHeight="1" s="130"/>
    <row r="815" ht="18.75" customHeight="1" s="130"/>
    <row r="816" ht="18.75" customHeight="1" s="130"/>
    <row r="817" ht="18.75" customHeight="1" s="130"/>
    <row r="818" ht="18.75" customHeight="1" s="130"/>
    <row r="819" ht="18.75" customHeight="1" s="130"/>
    <row r="820" ht="18.75" customHeight="1" s="130"/>
    <row r="821" ht="18.75" customHeight="1" s="130"/>
    <row r="822" ht="18.75" customHeight="1" s="130"/>
    <row r="823" ht="18.75" customHeight="1" s="130"/>
    <row r="824" ht="18.75" customHeight="1" s="130"/>
    <row r="825" ht="18.75" customHeight="1" s="130"/>
    <row r="826" ht="18.75" customHeight="1" s="130"/>
    <row r="827" ht="18.75" customHeight="1" s="130"/>
    <row r="828" ht="18.75" customHeight="1" s="130"/>
    <row r="829" ht="18.75" customHeight="1" s="130"/>
    <row r="830" ht="18.75" customHeight="1" s="130"/>
    <row r="831" ht="18.75" customHeight="1" s="130"/>
    <row r="832" ht="18.75" customHeight="1" s="130"/>
    <row r="833" ht="18.75" customHeight="1" s="130"/>
    <row r="834" ht="18.75" customHeight="1" s="130"/>
    <row r="835" ht="18.75" customHeight="1" s="130"/>
    <row r="836" ht="18.75" customHeight="1" s="130"/>
    <row r="837" ht="18.75" customHeight="1" s="130"/>
    <row r="838" ht="18.75" customHeight="1" s="130"/>
    <row r="839" ht="18.75" customHeight="1" s="130"/>
    <row r="840" ht="18.75" customHeight="1" s="130"/>
    <row r="841" ht="18.75" customHeight="1" s="130"/>
    <row r="842" ht="18.75" customHeight="1" s="130"/>
    <row r="843" ht="18.75" customHeight="1" s="130"/>
    <row r="844" ht="18.75" customHeight="1" s="130"/>
    <row r="845" ht="18.75" customHeight="1" s="130"/>
    <row r="846" ht="18.75" customHeight="1" s="130"/>
    <row r="847" ht="18.75" customHeight="1" s="130"/>
    <row r="848" ht="18.75" customHeight="1" s="130"/>
    <row r="849" ht="18.75" customHeight="1" s="130"/>
    <row r="850" ht="18.75" customHeight="1" s="130"/>
    <row r="851" ht="18.75" customHeight="1" s="130"/>
    <row r="852" ht="18.75" customHeight="1" s="130"/>
    <row r="853" ht="18.75" customHeight="1" s="130"/>
    <row r="854" ht="18.75" customHeight="1" s="130"/>
    <row r="855" ht="18.75" customHeight="1" s="130"/>
    <row r="856" ht="18.75" customHeight="1" s="130"/>
    <row r="857" ht="18.75" customHeight="1" s="130"/>
    <row r="858" ht="18.75" customHeight="1" s="130"/>
    <row r="859" ht="18.75" customHeight="1" s="130"/>
    <row r="860" ht="18.75" customHeight="1" s="130"/>
    <row r="861" ht="18.75" customHeight="1" s="130"/>
    <row r="862" ht="18.75" customHeight="1" s="130"/>
    <row r="863" ht="18.75" customHeight="1" s="130"/>
    <row r="864" ht="18.75" customHeight="1" s="130"/>
    <row r="865" ht="18.75" customHeight="1" s="130"/>
    <row r="866" ht="18.75" customHeight="1" s="130"/>
    <row r="867" ht="18.75" customHeight="1" s="130"/>
    <row r="868" ht="18.75" customHeight="1" s="130"/>
    <row r="869" ht="18.75" customHeight="1" s="130"/>
    <row r="870" ht="18.75" customHeight="1" s="130"/>
    <row r="871" ht="18.75" customHeight="1" s="130"/>
    <row r="872" ht="18.75" customHeight="1" s="130"/>
    <row r="873" ht="18.75" customHeight="1" s="130"/>
    <row r="874" ht="18.75" customHeight="1" s="130"/>
    <row r="875" ht="18.75" customHeight="1" s="130"/>
    <row r="876" ht="18.75" customHeight="1" s="130"/>
    <row r="877" ht="18.75" customHeight="1" s="130"/>
    <row r="878" ht="18.75" customHeight="1" s="130"/>
    <row r="879" ht="18.75" customHeight="1" s="130"/>
    <row r="880" ht="18.75" customHeight="1" s="130"/>
    <row r="881" ht="18.75" customHeight="1" s="130"/>
    <row r="882" ht="18.75" customHeight="1" s="130"/>
    <row r="883" ht="18.75" customHeight="1" s="130"/>
    <row r="884" ht="18.75" customHeight="1" s="130"/>
    <row r="885" ht="18.75" customHeight="1" s="130"/>
    <row r="886" ht="18.75" customHeight="1" s="130"/>
    <row r="887" ht="18.75" customHeight="1" s="130"/>
    <row r="888" ht="18.75" customHeight="1" s="130"/>
    <row r="889" ht="18.75" customHeight="1" s="130"/>
    <row r="890" ht="18.75" customHeight="1" s="130"/>
    <row r="891" ht="18.75" customHeight="1" s="130"/>
    <row r="892" ht="18.75" customHeight="1" s="130"/>
    <row r="893" ht="18.75" customHeight="1" s="130"/>
    <row r="894" ht="18.75" customHeight="1" s="130"/>
    <row r="895" ht="18.75" customHeight="1" s="130"/>
    <row r="896" ht="18.75" customHeight="1" s="130"/>
    <row r="897" ht="18.75" customHeight="1" s="130"/>
    <row r="898" ht="18.75" customHeight="1" s="130"/>
    <row r="899" ht="18.75" customHeight="1" s="130"/>
    <row r="900" ht="18.75" customHeight="1" s="130"/>
    <row r="901" ht="18.75" customHeight="1" s="130"/>
    <row r="902" ht="18.75" customHeight="1" s="130"/>
    <row r="903" ht="18.75" customHeight="1" s="130"/>
    <row r="904" ht="18.75" customHeight="1" s="130"/>
    <row r="905" ht="18.75" customHeight="1" s="130"/>
    <row r="906" ht="18.75" customHeight="1" s="130"/>
    <row r="907" ht="18.75" customHeight="1" s="130"/>
    <row r="908" ht="18.75" customHeight="1" s="130"/>
    <row r="909" ht="18.75" customHeight="1" s="130"/>
    <row r="910" ht="18.75" customHeight="1" s="130"/>
    <row r="911" ht="18.75" customHeight="1" s="130"/>
    <row r="912" ht="18.75" customHeight="1" s="130"/>
    <row r="913" ht="18.75" customHeight="1" s="130"/>
    <row r="914" ht="18.75" customHeight="1" s="130"/>
    <row r="915" ht="18.75" customHeight="1" s="130"/>
    <row r="916" ht="18.75" customHeight="1" s="130"/>
    <row r="917" ht="18.75" customHeight="1" s="130"/>
    <row r="918" ht="18.75" customHeight="1" s="130"/>
    <row r="919" ht="18.75" customHeight="1" s="130"/>
    <row r="920" ht="18.75" customHeight="1" s="130"/>
    <row r="921" ht="18.75" customHeight="1" s="130"/>
    <row r="922" ht="18.75" customHeight="1" s="130"/>
    <row r="923" ht="18.75" customHeight="1" s="130"/>
    <row r="924" ht="18.75" customHeight="1" s="130"/>
    <row r="925" ht="18.75" customHeight="1" s="130"/>
    <row r="926" ht="18.75" customHeight="1" s="130"/>
    <row r="927" ht="18.75" customHeight="1" s="130"/>
    <row r="928" ht="18.75" customHeight="1" s="130"/>
    <row r="929" ht="18.75" customHeight="1" s="130"/>
    <row r="930" ht="18.75" customHeight="1" s="130"/>
    <row r="931" ht="18.75" customHeight="1" s="130"/>
    <row r="932" ht="18.75" customHeight="1" s="130"/>
    <row r="933" ht="18.75" customHeight="1" s="130"/>
    <row r="934" ht="18.75" customHeight="1" s="130"/>
    <row r="935" ht="18.75" customHeight="1" s="130"/>
    <row r="936" ht="18.75" customHeight="1" s="130"/>
    <row r="937" ht="18.75" customHeight="1" s="130"/>
    <row r="938" ht="18.75" customHeight="1" s="130"/>
    <row r="939" ht="18.75" customHeight="1" s="130"/>
    <row r="940" ht="18.75" customHeight="1" s="130"/>
    <row r="941" ht="18.75" customHeight="1" s="130"/>
    <row r="942" ht="18.75" customHeight="1" s="130"/>
    <row r="943" ht="18.75" customHeight="1" s="130"/>
    <row r="944" ht="18.75" customHeight="1" s="130"/>
    <row r="945" ht="18.75" customHeight="1" s="130"/>
    <row r="946" ht="18.75" customHeight="1" s="130"/>
    <row r="947" ht="18.75" customHeight="1" s="130"/>
    <row r="948" ht="18.75" customHeight="1" s="130"/>
    <row r="949" ht="18.75" customHeight="1" s="130"/>
    <row r="950" ht="18.75" customHeight="1" s="130"/>
    <row r="951" ht="18.75" customHeight="1" s="130"/>
    <row r="952" ht="18.75" customHeight="1" s="130"/>
    <row r="953" ht="18.75" customHeight="1" s="130"/>
    <row r="954" ht="18.75" customHeight="1" s="130"/>
    <row r="955" ht="18.75" customHeight="1" s="130"/>
    <row r="956" ht="18.75" customHeight="1" s="130"/>
    <row r="957" ht="18.75" customHeight="1" s="130"/>
    <row r="958" ht="18.75" customHeight="1" s="130"/>
    <row r="959" ht="18.75" customHeight="1" s="130"/>
    <row r="960" ht="18.75" customHeight="1" s="130"/>
    <row r="961" ht="18.75" customHeight="1" s="130"/>
    <row r="962" ht="18.75" customHeight="1" s="130"/>
    <row r="963" ht="18.75" customHeight="1" s="130"/>
    <row r="964" ht="18.75" customHeight="1" s="130"/>
    <row r="965" ht="18.75" customHeight="1" s="130"/>
    <row r="966" ht="18.75" customHeight="1" s="130"/>
    <row r="967" ht="18.75" customHeight="1" s="130"/>
    <row r="968" ht="18.75" customHeight="1" s="130"/>
    <row r="969" ht="18.75" customHeight="1" s="130"/>
    <row r="970" ht="18.75" customHeight="1" s="130"/>
    <row r="971" ht="18.75" customHeight="1" s="130"/>
    <row r="972" ht="18.75" customHeight="1" s="130"/>
    <row r="973" ht="18.75" customHeight="1" s="130"/>
    <row r="974" ht="18.75" customHeight="1" s="130"/>
    <row r="975" ht="18.75" customHeight="1" s="130"/>
    <row r="976" ht="18.75" customHeight="1" s="130"/>
    <row r="977" ht="18.75" customHeight="1" s="130"/>
    <row r="978" ht="18.75" customHeight="1" s="130"/>
    <row r="979" ht="18.75" customHeight="1" s="130"/>
    <row r="980" ht="18.75" customHeight="1" s="130"/>
    <row r="981" ht="18.75" customHeight="1" s="130"/>
    <row r="982" ht="18.75" customHeight="1" s="130"/>
    <row r="983" ht="18.75" customHeight="1" s="130"/>
    <row r="984" ht="18.75" customHeight="1" s="130"/>
    <row r="985" ht="18.75" customHeight="1" s="130"/>
    <row r="986" ht="18.75" customHeight="1" s="130"/>
    <row r="987" ht="18.75" customHeight="1" s="130"/>
    <row r="988" ht="18.75" customHeight="1" s="130"/>
    <row r="989" ht="18.75" customHeight="1" s="130"/>
    <row r="990" ht="18.75" customHeight="1" s="130"/>
    <row r="991" ht="18.75" customHeight="1" s="130"/>
    <row r="992" ht="18.75" customHeight="1" s="130"/>
    <row r="993" ht="18.75" customHeight="1" s="130"/>
    <row r="994" ht="18.75" customHeight="1" s="130"/>
    <row r="995" ht="18.75" customHeight="1" s="130"/>
    <row r="996" ht="18.75" customHeight="1" s="130"/>
    <row r="997" ht="18.75" customHeight="1" s="130"/>
    <row r="998" ht="18.75" customHeight="1" s="130"/>
    <row r="999" ht="18.75" customHeight="1" s="130"/>
    <row r="1000" ht="18.75" customHeight="1" s="130"/>
    <row r="1001" ht="18.75" customHeight="1" s="130"/>
    <row r="1002" ht="18.75" customHeight="1" s="130"/>
    <row r="1003" ht="18.75" customHeight="1" s="130"/>
    <row r="1004" ht="18.75" customHeight="1" s="130"/>
    <row r="1005" ht="18.75" customHeight="1" s="130"/>
    <row r="1006" ht="18.75" customHeight="1" s="130"/>
    <row r="1007" ht="18.75" customHeight="1" s="130"/>
    <row r="1008" ht="18.75" customHeight="1" s="130"/>
    <row r="1009" ht="18.75" customHeight="1" s="130"/>
    <row r="1010" ht="18.75" customHeight="1" s="130"/>
    <row r="1011" ht="18.75" customHeight="1" s="130"/>
    <row r="1012" ht="18.75" customHeight="1" s="130"/>
    <row r="1013" ht="18.75" customHeight="1" s="130"/>
    <row r="1014" ht="18.75" customHeight="1" s="130"/>
    <row r="1015" ht="18.75" customHeight="1" s="130"/>
    <row r="1016" ht="18.75" customHeight="1" s="130"/>
  </sheetData>
  <autoFilter ref="A4:K60"/>
  <mergeCells count="2">
    <mergeCell ref="A2:K2"/>
    <mergeCell ref="A1:K1"/>
  </mergeCells>
  <dataValidations count="1">
    <dataValidation sqref="E5:E1016" showDropDown="0" showInputMessage="0" showErrorMessage="1" allowBlank="1" type="list" errorStyle="warning">
      <formula1>"created,edited,superseded,reopened,accepted,rejected,linked,unlinked"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0" min="1" max="1"/>
    <col width="17" customWidth="1" style="130" min="2" max="2"/>
    <col width="23" customWidth="1" style="130" min="3" max="3"/>
    <col width="26" customWidth="1" style="130" min="4" max="4"/>
    <col width="28" customWidth="1" style="130" min="5" max="5"/>
    <col width="48" customWidth="1" style="130" min="6" max="6"/>
    <col width="70" customWidth="1" style="130" min="7" max="8"/>
    <col width="18" customWidth="1" style="130" min="9" max="9"/>
    <col width="40" customWidth="1" style="130" min="10" max="10"/>
    <col width="53" customWidth="1" style="130" min="11" max="11"/>
  </cols>
  <sheetData>
    <row r="1" ht="27.75" customHeight="1" s="130">
      <c r="A1" s="131" t="inlineStr">
        <is>
          <t>BASELINES | Immutable Snapshots</t>
        </is>
      </c>
    </row>
    <row r="2" ht="24.75" customHeight="1" s="130">
      <c r="A2" s="129" t="inlineStr">
        <is>
          <t>Register snapshot metadata only. Archive a separate immutable file and manifest; a baseline is not blanket approval.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Baseline ID</t>
        </is>
      </c>
      <c r="B4" s="135" t="inlineStr">
        <is>
          <t>Milestone</t>
        </is>
      </c>
      <c r="C4" s="135" t="inlineStr">
        <is>
          <t>Captured At</t>
        </is>
      </c>
      <c r="D4" s="135" t="inlineStr">
        <is>
          <t>Authorized By</t>
        </is>
      </c>
      <c r="E4" s="135" t="inlineStr">
        <is>
          <t>Register Revision</t>
        </is>
      </c>
      <c r="F4" s="135" t="inlineStr">
        <is>
          <t>Source Manifest</t>
        </is>
      </c>
      <c r="G4" s="135" t="inlineStr">
        <is>
          <t>SHA-256 / Hash</t>
        </is>
      </c>
      <c r="H4" s="135" t="inlineStr">
        <is>
          <t>Storage Path</t>
        </is>
      </c>
      <c r="I4" s="135" t="inlineStr">
        <is>
          <t>Status</t>
        </is>
      </c>
      <c r="J4" s="135" t="inlineStr">
        <is>
          <t>Open Items</t>
        </is>
      </c>
      <c r="K4" s="135" t="inlineStr">
        <is>
          <t>Notes</t>
        </is>
      </c>
    </row>
    <row r="5" ht="18.75" customHeight="1" s="130">
      <c r="A5" s="135" t="n"/>
      <c r="B5" s="135" t="n"/>
      <c r="C5" s="135" t="n"/>
      <c r="D5" s="135" t="n"/>
      <c r="E5" s="135" t="n"/>
      <c r="F5" s="135" t="n"/>
      <c r="G5" s="135" t="n"/>
      <c r="H5" s="135" t="n"/>
      <c r="I5" s="135" t="n"/>
      <c r="J5" s="135" t="n"/>
      <c r="K5" s="135" t="n"/>
    </row>
  </sheetData>
  <autoFilter ref="A4:K60"/>
  <mergeCells count="2">
    <mergeCell ref="A2:K2"/>
    <mergeCell ref="A1:K1"/>
  </mergeCells>
  <dataValidations count="1">
    <dataValidation sqref="I5:I1005" showDropDown="0" showInputMessage="0" showErrorMessage="1" allowBlank="1" type="list" errorStyle="warning">
      <formula1>"snapshot,baseline,superseded"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0" min="1" max="1"/>
    <col width="17" customWidth="1" style="130" min="2" max="3"/>
    <col width="85" customWidth="1" style="130" min="4" max="4"/>
    <col width="18" customWidth="1" style="130" min="5" max="5"/>
    <col width="24" customWidth="1" style="130" min="6" max="6"/>
    <col width="22" customWidth="1" style="130" min="7" max="7"/>
    <col width="27" customWidth="1" style="130" min="8" max="8"/>
    <col width="67" customWidth="1" style="130" min="9" max="9"/>
    <col width="24" customWidth="1" style="130" min="10" max="10"/>
    <col width="18" customWidth="1" style="130" min="11" max="11"/>
    <col width="26" customWidth="1" style="130" min="12" max="12"/>
    <col width="24" customWidth="1" style="130" min="13" max="13"/>
    <col width="21" customWidth="1" style="130" min="14" max="14"/>
  </cols>
  <sheetData>
    <row r="1" ht="27.75" customHeight="1" s="130">
      <c r="A1" s="131" t="inlineStr">
        <is>
          <t>INTAKE QUEUE | Legacy Notes and RFIs</t>
        </is>
      </c>
    </row>
    <row r="2" ht="24.75" customHeight="1" s="130">
      <c r="A2" s="129" t="inlineStr">
        <is>
          <t>Verbatim legacy prior-work content queued for M1/M2 comparison; neither verified nor promoted automatically.</t>
        </is>
      </c>
    </row>
    <row r="3" ht="18" customHeight="1" s="130">
      <c r="A3" s="105" t="inlineStr">
        <is>
          <t>Blue = editable  •  Green = imported prior work  •  Orange = needs review  •  Formulas = read only</t>
        </is>
      </c>
    </row>
    <row r="4" ht="33.75" customHeight="1" s="130">
      <c r="A4" s="135" t="inlineStr">
        <is>
          <t>Intake ID</t>
        </is>
      </c>
      <c r="B4" s="135" t="inlineStr">
        <is>
          <t>Origin Tab</t>
        </is>
      </c>
      <c r="C4" s="135" t="inlineStr">
        <is>
          <t>Origin Row</t>
        </is>
      </c>
      <c r="D4" s="135" t="inlineStr">
        <is>
          <t>Verbatim Original Text</t>
        </is>
      </c>
      <c r="E4" s="135" t="inlineStr">
        <is>
          <t>Legacy Status</t>
        </is>
      </c>
      <c r="F4" s="135" t="inlineStr">
        <is>
          <t>Legacy System</t>
        </is>
      </c>
      <c r="G4" s="135" t="inlineStr">
        <is>
          <t>Legacy Tag</t>
        </is>
      </c>
      <c r="H4" s="135" t="inlineStr">
        <is>
          <t>Legacy Drawing</t>
        </is>
      </c>
      <c r="I4" s="135" t="inlineStr">
        <is>
          <t>Legacy Comment</t>
        </is>
      </c>
      <c r="J4" s="135" t="inlineStr">
        <is>
          <t>Suggested Kind</t>
        </is>
      </c>
      <c r="K4" s="135" t="inlineStr">
        <is>
          <t>Review State</t>
        </is>
      </c>
      <c r="L4" s="135" t="inlineStr">
        <is>
          <t>Promoted Record ID</t>
        </is>
      </c>
      <c r="M4" s="135" t="inlineStr">
        <is>
          <t>Source ID</t>
        </is>
      </c>
      <c r="N4" s="135" t="inlineStr">
        <is>
          <t>Legacy Cell</t>
        </is>
      </c>
    </row>
    <row r="5" ht="24.75" customHeight="1" s="130">
      <c r="A5" s="108" t="n"/>
      <c r="B5" s="108" t="n"/>
      <c r="C5" s="114" t="n"/>
      <c r="D5" s="108" t="n"/>
      <c r="J5" s="108" t="n"/>
      <c r="K5" s="108" t="n"/>
      <c r="M5" s="108" t="n"/>
      <c r="N5" s="108" t="n"/>
    </row>
    <row r="6" ht="24.75" customHeight="1" s="130">
      <c r="A6" s="108" t="n"/>
      <c r="B6" s="108" t="n"/>
      <c r="C6" s="114" t="n"/>
      <c r="D6" s="108" t="n"/>
      <c r="J6" s="108" t="n"/>
      <c r="K6" s="108" t="n"/>
      <c r="M6" s="108" t="n"/>
      <c r="N6" s="108" t="n"/>
    </row>
    <row r="7" ht="24.75" customHeight="1" s="130">
      <c r="A7" s="108" t="n"/>
      <c r="B7" s="108" t="n"/>
      <c r="C7" s="114" t="n"/>
      <c r="D7" s="108" t="n"/>
      <c r="J7" s="108" t="n"/>
      <c r="K7" s="108" t="n"/>
      <c r="M7" s="108" t="n"/>
      <c r="N7" s="108" t="n"/>
    </row>
    <row r="8" ht="24.75" customHeight="1" s="130">
      <c r="A8" s="108" t="n"/>
      <c r="B8" s="108" t="n"/>
      <c r="C8" s="114" t="n"/>
      <c r="D8" s="108" t="n"/>
      <c r="J8" s="108" t="n"/>
      <c r="K8" s="108" t="n"/>
      <c r="M8" s="108" t="n"/>
      <c r="N8" s="108" t="n"/>
    </row>
    <row r="9" ht="24.75" customHeight="1" s="130">
      <c r="A9" s="108" t="n"/>
      <c r="B9" s="108" t="n"/>
      <c r="C9" s="114" t="n"/>
      <c r="D9" s="108" t="n"/>
      <c r="E9" s="108" t="n"/>
      <c r="F9" s="108" t="n"/>
      <c r="J9" s="108" t="n"/>
      <c r="K9" s="108" t="n"/>
      <c r="M9" s="108" t="n"/>
      <c r="N9" s="108" t="n"/>
    </row>
    <row r="10" ht="24.75" customHeight="1" s="130">
      <c r="A10" s="108" t="n"/>
      <c r="B10" s="108" t="n"/>
      <c r="C10" s="114" t="n"/>
      <c r="D10" s="108" t="n"/>
      <c r="E10" s="108" t="n"/>
      <c r="J10" s="108" t="n"/>
      <c r="K10" s="108" t="n"/>
      <c r="M10" s="108" t="n"/>
      <c r="N10" s="108" t="n"/>
    </row>
    <row r="11" ht="24.75" customHeight="1" s="130">
      <c r="A11" s="108" t="n"/>
      <c r="B11" s="108" t="n"/>
      <c r="C11" s="114" t="n"/>
      <c r="D11" s="108" t="n"/>
      <c r="E11" s="108" t="n"/>
      <c r="J11" s="108" t="n"/>
      <c r="K11" s="108" t="n"/>
      <c r="M11" s="108" t="n"/>
      <c r="N11" s="108" t="n"/>
    </row>
    <row r="12" ht="24.75" customHeight="1" s="130">
      <c r="A12" s="108" t="n"/>
      <c r="B12" s="108" t="n"/>
      <c r="C12" s="114" t="n"/>
      <c r="D12" s="108" t="n"/>
      <c r="E12" s="108" t="n"/>
      <c r="J12" s="108" t="n"/>
      <c r="K12" s="108" t="n"/>
      <c r="M12" s="108" t="n"/>
      <c r="N12" s="108" t="n"/>
    </row>
    <row r="13" ht="24.75" customHeight="1" s="130">
      <c r="A13" s="108" t="n"/>
      <c r="B13" s="108" t="n"/>
      <c r="C13" s="114" t="n"/>
      <c r="D13" s="108" t="n"/>
      <c r="E13" s="108" t="n"/>
      <c r="J13" s="108" t="n"/>
      <c r="K13" s="108" t="n"/>
      <c r="M13" s="108" t="n"/>
      <c r="N13" s="108" t="n"/>
    </row>
    <row r="14" ht="24.75" customHeight="1" s="130">
      <c r="A14" s="108" t="n"/>
      <c r="B14" s="108" t="n"/>
      <c r="C14" s="114" t="n"/>
      <c r="D14" s="108" t="n"/>
      <c r="J14" s="108" t="n"/>
      <c r="K14" s="108" t="n"/>
      <c r="M14" s="108" t="n"/>
      <c r="N14" s="108" t="n"/>
    </row>
    <row r="15" ht="24.75" customHeight="1" s="130">
      <c r="A15" s="108" t="n"/>
      <c r="B15" s="108" t="n"/>
      <c r="C15" s="114" t="n"/>
      <c r="D15" s="108" t="n"/>
      <c r="F15" s="108" t="n"/>
      <c r="J15" s="108" t="n"/>
      <c r="K15" s="108" t="n"/>
      <c r="M15" s="108" t="n"/>
      <c r="N15" s="108" t="n"/>
    </row>
  </sheetData>
  <autoFilter ref="A4:N60"/>
  <mergeCells count="2">
    <mergeCell ref="A2:N2"/>
    <mergeCell ref="A1:N1"/>
  </mergeCells>
  <dataValidations count="1">
    <dataValidation sqref="K5:K1013" showDropDown="0" showInputMessage="0" showErrorMessage="1" allowBlank="1" type="list" errorStyle="warning">
      <formula1>"unreviewed,in_review,promoted,duplicate,out_of_scope,superseded"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2" customWidth="1" style="130" min="1" max="1"/>
    <col width="14" customWidth="1" style="130" min="2" max="8"/>
  </cols>
  <sheetData>
    <row r="1" ht="17.25" customHeight="1" s="130">
      <c r="A1" s="126" t="inlineStr">
        <is>
          <t>WP CHECKS</t>
        </is>
      </c>
    </row>
    <row r="3">
      <c r="A3" s="127" t="inlineStr">
        <is>
          <t>Structure check</t>
        </is>
      </c>
      <c r="B3" s="127" t="inlineStr">
        <is>
          <t>Value</t>
        </is>
      </c>
      <c r="C3" s="127" t="inlineStr">
        <is>
          <t>Expected</t>
        </is>
      </c>
      <c r="D3" s="127" t="inlineStr">
        <is>
          <t>Result</t>
        </is>
      </c>
    </row>
    <row r="4">
      <c r="A4" t="inlineStr">
        <is>
          <t>WP IDs defined in WORK PACKAGES</t>
        </is>
      </c>
      <c r="B4">
        <f>COUNTA('WORK PACKAGES'!$A$2:$A$100)</f>
        <v/>
      </c>
      <c r="D4">
        <f>IF(B4=B5,"PASS","FAIL")</f>
        <v/>
      </c>
    </row>
    <row r="5">
      <c r="A5" t="inlineStr">
        <is>
          <t>WP rows in WP PROGRESS</t>
        </is>
      </c>
      <c r="B5">
        <f>COUNTA('WP PROGRESS'!$A$2:$A$100)</f>
        <v/>
      </c>
    </row>
    <row r="6">
      <c r="A6" t="inlineStr">
        <is>
          <t>WPs with no progress row</t>
        </is>
      </c>
      <c r="B6">
        <f>COUNTIF('WORK PACKAGES'!$T$2:$T$100,"NO PROGRESS ROW")</f>
        <v/>
      </c>
      <c r="C6" t="n">
        <v>0</v>
      </c>
      <c r="D6">
        <f>IF(B6=C6,"PASS","FAIL")</f>
        <v/>
      </c>
    </row>
    <row r="7">
      <c r="A7" t="inlineStr">
        <is>
          <t>WPs with duplicate progress rows</t>
        </is>
      </c>
      <c r="B7">
        <f>COUNTIF('WORK PACKAGES'!$T$2:$T$100,"DUPLICATE PROGRESS ROWS")</f>
        <v/>
      </c>
      <c r="C7" t="n">
        <v>0</v>
      </c>
      <c r="D7">
        <f>IF(B7=C7,"PASS","FAIL")</f>
        <v/>
      </c>
    </row>
    <row r="8">
      <c r="A8" t="inlineStr">
        <is>
          <t>Progress rows not in WORK PACKAGES</t>
        </is>
      </c>
      <c r="B8">
        <f>COUNTIF('WP PROGRESS'!$AC$2:$AC$100,"NOT IN WORK PACKAGES")</f>
        <v/>
      </c>
      <c r="C8" t="n">
        <v>0</v>
      </c>
      <c r="D8">
        <f>IF(B8=C8,"PASS","FAIL")</f>
        <v/>
      </c>
    </row>
    <row r="9">
      <c r="A9" t="inlineStr">
        <is>
          <t>Progress values flagged CHECK</t>
        </is>
      </c>
      <c r="B9">
        <f>COUNTIF('WP PROGRESS'!$N$2:$S$100,"CHECK")</f>
        <v/>
      </c>
      <c r="C9" t="n">
        <v>0</v>
      </c>
      <c r="D9">
        <f>IF(B9=C9,"PASS","FAIL")</f>
        <v/>
      </c>
    </row>
    <row r="12">
      <c r="A12" s="127" t="inlineStr">
        <is>
          <t>Roll-up test (sample data, not project data)</t>
        </is>
      </c>
    </row>
    <row r="13">
      <c r="A13" s="127" t="inlineStr">
        <is>
          <t>Sample WP</t>
        </is>
      </c>
      <c r="B13" s="127" t="inlineStr">
        <is>
          <t>Scope</t>
        </is>
      </c>
      <c r="C13" s="127" t="inlineStr">
        <is>
          <t>Eng %</t>
        </is>
      </c>
      <c r="E13" s="127" t="inlineStr">
        <is>
          <t>Scope</t>
        </is>
      </c>
      <c r="F13" s="127" t="inlineStr">
        <is>
          <t>Derived Eng %</t>
        </is>
      </c>
      <c r="G13" s="127" t="inlineStr">
        <is>
          <t>Expected</t>
        </is>
      </c>
      <c r="H13" s="127" t="inlineStr">
        <is>
          <t>Result</t>
        </is>
      </c>
    </row>
    <row r="14">
      <c r="A14" t="inlineStr">
        <is>
          <t>S1</t>
        </is>
      </c>
      <c r="B14" t="inlineStr">
        <is>
          <t>SX</t>
        </is>
      </c>
      <c r="C14" t="n">
        <v>1</v>
      </c>
      <c r="E14" t="inlineStr">
        <is>
          <t>SX</t>
        </is>
      </c>
      <c r="F14">
        <f>IFERROR(AVERAGEIFS($C$14:$C$18,$B$14:$B$18,E14),"")</f>
        <v/>
      </c>
      <c r="G14" t="n">
        <v>0.75</v>
      </c>
      <c r="H14">
        <f>IF(ROUND(F14,6)=ROUND(G14,6),"PASS","FAIL")</f>
        <v/>
      </c>
    </row>
    <row r="15">
      <c r="A15" t="inlineStr">
        <is>
          <t>S2</t>
        </is>
      </c>
      <c r="B15" t="inlineStr">
        <is>
          <t>SX</t>
        </is>
      </c>
      <c r="C15" t="n">
        <v>0.5</v>
      </c>
      <c r="E15" t="inlineStr">
        <is>
          <t>SY</t>
        </is>
      </c>
      <c r="F15">
        <f>IFERROR(AVERAGEIFS($C$14:$C$18,$B$14:$B$18,E15),"")</f>
        <v/>
      </c>
      <c r="G15" t="n">
        <v>0</v>
      </c>
      <c r="H15">
        <f>IF(ROUND(F15,6)=ROUND(G15,6),"PASS","FAIL")</f>
        <v/>
      </c>
    </row>
    <row r="16">
      <c r="A16" t="inlineStr">
        <is>
          <t>S3</t>
        </is>
      </c>
      <c r="B16" t="inlineStr">
        <is>
          <t>SX</t>
        </is>
      </c>
      <c r="C16" t="inlineStr">
        <is>
          <t>--</t>
        </is>
      </c>
    </row>
    <row r="17">
      <c r="A17" t="inlineStr">
        <is>
          <t>S4</t>
        </is>
      </c>
      <c r="B17" t="inlineStr">
        <is>
          <t>SX</t>
        </is>
      </c>
    </row>
    <row r="18">
      <c r="A18" t="inlineStr">
        <is>
          <t>S5</t>
        </is>
      </c>
      <c r="B18" t="inlineStr">
        <is>
          <t>SY</t>
        </is>
      </c>
      <c r="C18" t="n">
        <v>0</v>
      </c>
    </row>
    <row r="20">
      <c r="A20" t="inlineStr">
        <is>
          <t>SX: 1 and 0.5 average to 0.75; '--' (not used) and blank (not entered) are left out. SY: 0 counts.</t>
        </is>
      </c>
    </row>
    <row r="22">
      <c r="A22" s="127" t="inlineStr">
        <is>
          <t>Overall</t>
        </is>
      </c>
      <c r="B22">
        <f>IF(COUNTIF(D5:D9,"FAIL")+COUNTIF(H14:H15,"FAIL")+IF(D4="FAIL",1,0)=0,"ALL PASS","FAILURES")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7" customWidth="1" style="130" min="1" max="1"/>
    <col width="9" customWidth="1" style="130" min="2" max="6"/>
    <col width="11" customWidth="1" style="130" min="7" max="7"/>
    <col width="10" customWidth="1" style="130" min="8" max="12"/>
    <col width="12" customWidth="1" style="130" min="13" max="13"/>
    <col width="8" customWidth="1" style="130" min="14" max="14"/>
    <col width="10" customWidth="1" style="130" min="15" max="15"/>
    <col width="12" customWidth="1" style="130" min="16" max="16"/>
    <col width="8" customWidth="1" style="130" min="17" max="17"/>
    <col width="60" customWidth="1" style="130" min="18" max="18"/>
  </cols>
  <sheetData>
    <row r="1" ht="30" customHeight="1" s="130">
      <c r="A1" s="128" t="inlineStr">
        <is>
          <t>Case</t>
        </is>
      </c>
      <c r="B1" s="128" t="inlineStr">
        <is>
          <t>Eng (G)</t>
        </is>
      </c>
      <c r="C1" s="128" t="inlineStr">
        <is>
          <t>Prog (H)</t>
        </is>
      </c>
      <c r="D1" s="128" t="inlineStr">
        <is>
          <t>C&amp;W (I)</t>
        </is>
      </c>
      <c r="E1" s="128" t="inlineStr">
        <is>
          <t>Dev (J)</t>
        </is>
      </c>
      <c r="F1" s="128" t="inlineStr">
        <is>
          <t>Loop (K)</t>
        </is>
      </c>
      <c r="G1" s="128" t="inlineStr">
        <is>
          <t>PreComm (L)</t>
        </is>
      </c>
      <c r="H1" s="128" t="inlineStr">
        <is>
          <t>Eng done?</t>
        </is>
      </c>
      <c r="I1" s="128" t="inlineStr">
        <is>
          <t>Prog done?</t>
        </is>
      </c>
      <c r="J1" s="128" t="inlineStr">
        <is>
          <t>C&amp;W done?</t>
        </is>
      </c>
      <c r="K1" s="128" t="inlineStr">
        <is>
          <t>Dev done?</t>
        </is>
      </c>
      <c r="L1" s="128" t="inlineStr">
        <is>
          <t>Loop done?</t>
        </is>
      </c>
      <c r="M1" s="128" t="inlineStr">
        <is>
          <t>PreComm done?</t>
        </is>
      </c>
      <c r="N1" s="128" t="inlineStr">
        <is>
          <t>Gate</t>
        </is>
      </c>
      <c r="O1" s="128" t="inlineStr">
        <is>
          <t>Expected gate</t>
        </is>
      </c>
      <c r="P1" s="128" t="inlineStr">
        <is>
          <t>Expected Eng done?</t>
        </is>
      </c>
      <c r="Q1" s="128" t="inlineStr">
        <is>
          <t>PASS?</t>
        </is>
      </c>
      <c r="R1" s="128" t="inlineStr">
        <is>
          <t>What it tests</t>
        </is>
      </c>
    </row>
    <row r="2">
      <c r="A2" t="inlineStr">
        <is>
          <t>T1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>
        <f>IF($A2="","",IF(ISBLANK(B2),"",IF(TRIM(B2)="--","--",IF(ISNUMBER(B2),IF(B2&gt;=1,"Yes",IF(B2=0,"No","PARTIAL")),"CHECK"))))</f>
        <v/>
      </c>
      <c r="I2">
        <f>IF($A2="","",IF(ISBLANK(C2),"",IF(TRIM(C2)="--","--",IF(ISNUMBER(C2),IF(C2&gt;=1,"Yes",IF(C2=0,"No","PARTIAL")),"CHECK"))))</f>
        <v/>
      </c>
      <c r="J2">
        <f>IF($A2="","",IF(ISBLANK(D2),"",IF(TRIM(D2)="--","--",IF(ISNUMBER(D2),IF(D2&gt;=1,"Yes",IF(D2=0,"No","PARTIAL")),"CHECK"))))</f>
        <v/>
      </c>
      <c r="K2">
        <f>IF($A2="","",IF(ISBLANK(E2),"",IF(TRIM(E2)="--","--",IF(ISNUMBER(E2),IF(E2&gt;=1,"Yes",IF(E2=0,"No","PARTIAL")),"CHECK"))))</f>
        <v/>
      </c>
      <c r="L2">
        <f>IF($A2="","",IF(ISBLANK(F2),"",IF(TRIM(F2)="--","--",IF(ISNUMBER(F2),IF(F2&gt;=1,"Yes",IF(F2=0,"No","PARTIAL")),"CHECK"))))</f>
        <v/>
      </c>
      <c r="M2">
        <f>IF($A2="","",IF(ISBLANK(G2),"",IF(TRIM(G2)="--","--",IF(ISNUMBER(G2),IF(G2&gt;=1,"Yes",IF(G2=0,"No","PARTIAL")),"CHECK"))))</f>
        <v/>
      </c>
      <c r="N2">
        <f>IF(COUNTIF(H2:M2,"--")=6,"--",IF(COUNTIF(H2:M2,"Yes")+COUNTIF(H2:M2,"--")=6,"Yes","No"))</f>
        <v/>
      </c>
      <c r="O2" t="inlineStr">
        <is>
          <t>Yes</t>
        </is>
      </c>
      <c r="P2" t="inlineStr">
        <is>
          <t>Yes</t>
        </is>
      </c>
      <c r="Q2">
        <f>IF(AND(N2=O2,H2=P2),"PASS","FAIL")</f>
        <v/>
      </c>
      <c r="R2" t="inlineStr">
        <is>
          <t>all complete</t>
        </is>
      </c>
    </row>
    <row r="3">
      <c r="A3" t="inlineStr">
        <is>
          <t>T2</t>
        </is>
      </c>
      <c r="B3" t="n">
        <v>1</v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>
        <f>IF($A3="","",IF(ISBLANK(B3),"",IF(TRIM(B3)="--","--",IF(ISNUMBER(B3),IF(B3&gt;=1,"Yes",IF(B3=0,"No","PARTIAL")),"CHECK"))))</f>
        <v/>
      </c>
      <c r="I3">
        <f>IF($A3="","",IF(ISBLANK(C3),"",IF(TRIM(C3)="--","--",IF(ISNUMBER(C3),IF(C3&gt;=1,"Yes",IF(C3=0,"No","PARTIAL")),"CHECK"))))</f>
        <v/>
      </c>
      <c r="J3">
        <f>IF($A3="","",IF(ISBLANK(D3),"",IF(TRIM(D3)="--","--",IF(ISNUMBER(D3),IF(D3&gt;=1,"Yes",IF(D3=0,"No","PARTIAL")),"CHECK"))))</f>
        <v/>
      </c>
      <c r="K3">
        <f>IF($A3="","",IF(ISBLANK(E3),"",IF(TRIM(E3)="--","--",IF(ISNUMBER(E3),IF(E3&gt;=1,"Yes",IF(E3=0,"No","PARTIAL")),"CHECK"))))</f>
        <v/>
      </c>
      <c r="L3">
        <f>IF($A3="","",IF(ISBLANK(F3),"",IF(TRIM(F3)="--","--",IF(ISNUMBER(F3),IF(F3&gt;=1,"Yes",IF(F3=0,"No","PARTIAL")),"CHECK"))))</f>
        <v/>
      </c>
      <c r="M3">
        <f>IF($A3="","",IF(ISBLANK(G3),"",IF(TRIM(G3)="--","--",IF(ISNUMBER(G3),IF(G3&gt;=1,"Yes",IF(G3=0,"No","PARTIAL")),"CHECK"))))</f>
        <v/>
      </c>
      <c r="N3">
        <f>IF(COUNTIF(H3:M3,"--")=6,"--",IF(COUNTIF(H3:M3,"Yes")+COUNTIF(H3:M3,"--")=6,"Yes","No"))</f>
        <v/>
      </c>
      <c r="O3" t="inlineStr">
        <is>
          <t>Yes</t>
        </is>
      </c>
      <c r="P3" t="inlineStr">
        <is>
          <t>Yes</t>
        </is>
      </c>
      <c r="Q3">
        <f>IF(AND(N3=O3,H3=P3),"PASS","FAIL")</f>
        <v/>
      </c>
      <c r="R3" t="inlineStr">
        <is>
          <t>Engineering-only WP (WP-ENG) complete</t>
        </is>
      </c>
    </row>
    <row r="4">
      <c r="A4" t="inlineStr">
        <is>
          <t>T3</t>
        </is>
      </c>
      <c r="B4" t="n">
        <v>0.5</v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>
        <f>IF($A4="","",IF(ISBLANK(B4),"",IF(TRIM(B4)="--","--",IF(ISNUMBER(B4),IF(B4&gt;=1,"Yes",IF(B4=0,"No","PARTIAL")),"CHECK"))))</f>
        <v/>
      </c>
      <c r="I4">
        <f>IF($A4="","",IF(ISBLANK(C4),"",IF(TRIM(C4)="--","--",IF(ISNUMBER(C4),IF(C4&gt;=1,"Yes",IF(C4=0,"No","PARTIAL")),"CHECK"))))</f>
        <v/>
      </c>
      <c r="J4">
        <f>IF($A4="","",IF(ISBLANK(D4),"",IF(TRIM(D4)="--","--",IF(ISNUMBER(D4),IF(D4&gt;=1,"Yes",IF(D4=0,"No","PARTIAL")),"CHECK"))))</f>
        <v/>
      </c>
      <c r="K4">
        <f>IF($A4="","",IF(ISBLANK(E4),"",IF(TRIM(E4)="--","--",IF(ISNUMBER(E4),IF(E4&gt;=1,"Yes",IF(E4=0,"No","PARTIAL")),"CHECK"))))</f>
        <v/>
      </c>
      <c r="L4">
        <f>IF($A4="","",IF(ISBLANK(F4),"",IF(TRIM(F4)="--","--",IF(ISNUMBER(F4),IF(F4&gt;=1,"Yes",IF(F4=0,"No","PARTIAL")),"CHECK"))))</f>
        <v/>
      </c>
      <c r="M4">
        <f>IF($A4="","",IF(ISBLANK(G4),"",IF(TRIM(G4)="--","--",IF(ISNUMBER(G4),IF(G4&gt;=1,"Yes",IF(G4=0,"No","PARTIAL")),"CHECK"))))</f>
        <v/>
      </c>
      <c r="N4">
        <f>IF(COUNTIF(H4:M4,"--")=6,"--",IF(COUNTIF(H4:M4,"Yes")+COUNTIF(H4:M4,"--")=6,"Yes","No"))</f>
        <v/>
      </c>
      <c r="O4" t="inlineStr">
        <is>
          <t>No</t>
        </is>
      </c>
      <c r="P4" t="inlineStr">
        <is>
          <t>PARTIAL</t>
        </is>
      </c>
      <c r="Q4">
        <f>IF(AND(N4=O4,H4=P4),"PASS","FAIL")</f>
        <v/>
      </c>
      <c r="R4" t="inlineStr">
        <is>
          <t>Engineering-only WP in progress</t>
        </is>
      </c>
    </row>
    <row r="5">
      <c r="A5" t="inlineStr">
        <is>
          <t>T4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>
        <f>IF($A5="","",IF(ISBLANK(B5),"",IF(TRIM(B5)="--","--",IF(ISNUMBER(B5),IF(B5&gt;=1,"Yes",IF(B5=0,"No","PARTIAL")),"CHECK"))))</f>
        <v/>
      </c>
      <c r="I5">
        <f>IF($A5="","",IF(ISBLANK(C5),"",IF(TRIM(C5)="--","--",IF(ISNUMBER(C5),IF(C5&gt;=1,"Yes",IF(C5=0,"No","PARTIAL")),"CHECK"))))</f>
        <v/>
      </c>
      <c r="J5">
        <f>IF($A5="","",IF(ISBLANK(D5),"",IF(TRIM(D5)="--","--",IF(ISNUMBER(D5),IF(D5&gt;=1,"Yes",IF(D5=0,"No","PARTIAL")),"CHECK"))))</f>
        <v/>
      </c>
      <c r="K5">
        <f>IF($A5="","",IF(ISBLANK(E5),"",IF(TRIM(E5)="--","--",IF(ISNUMBER(E5),IF(E5&gt;=1,"Yes",IF(E5=0,"No","PARTIAL")),"CHECK"))))</f>
        <v/>
      </c>
      <c r="L5">
        <f>IF($A5="","",IF(ISBLANK(F5),"",IF(TRIM(F5)="--","--",IF(ISNUMBER(F5),IF(F5&gt;=1,"Yes",IF(F5=0,"No","PARTIAL")),"CHECK"))))</f>
        <v/>
      </c>
      <c r="M5">
        <f>IF($A5="","",IF(ISBLANK(G5),"",IF(TRIM(G5)="--","--",IF(ISNUMBER(G5),IF(G5&gt;=1,"Yes",IF(G5=0,"No","PARTIAL")),"CHECK"))))</f>
        <v/>
      </c>
      <c r="N5">
        <f>IF(COUNTIF(H5:M5,"--")=6,"--",IF(COUNTIF(H5:M5,"Yes")+COUNTIF(H5:M5,"--")=6,"Yes","No"))</f>
        <v/>
      </c>
      <c r="O5" t="inlineStr">
        <is>
          <t>--</t>
        </is>
      </c>
      <c r="P5" t="inlineStr">
        <is>
          <t>--</t>
        </is>
      </c>
      <c r="Q5">
        <f>IF(AND(N5=O5,H5=P5),"PASS","FAIL")</f>
        <v/>
      </c>
      <c r="R5" t="inlineStr">
        <is>
          <t>WP with nothing in use</t>
        </is>
      </c>
    </row>
    <row r="6">
      <c r="A6" t="inlineStr">
        <is>
          <t>T5</t>
        </is>
      </c>
      <c r="B6" t="n">
        <v>1</v>
      </c>
      <c r="C6" t="inlineStr">
        <is>
          <t>--</t>
        </is>
      </c>
      <c r="D6" t="n">
        <v>1</v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>
        <f>IF($A6="","",IF(ISBLANK(B6),"",IF(TRIM(B6)="--","--",IF(ISNUMBER(B6),IF(B6&gt;=1,"Yes",IF(B6=0,"No","PARTIAL")),"CHECK"))))</f>
        <v/>
      </c>
      <c r="I6">
        <f>IF($A6="","",IF(ISBLANK(C6),"",IF(TRIM(C6)="--","--",IF(ISNUMBER(C6),IF(C6&gt;=1,"Yes",IF(C6=0,"No","PARTIAL")),"CHECK"))))</f>
        <v/>
      </c>
      <c r="J6">
        <f>IF($A6="","",IF(ISBLANK(D6),"",IF(TRIM(D6)="--","--",IF(ISNUMBER(D6),IF(D6&gt;=1,"Yes",IF(D6=0,"No","PARTIAL")),"CHECK"))))</f>
        <v/>
      </c>
      <c r="K6">
        <f>IF($A6="","",IF(ISBLANK(E6),"",IF(TRIM(E6)="--","--",IF(ISNUMBER(E6),IF(E6&gt;=1,"Yes",IF(E6=0,"No","PARTIAL")),"CHECK"))))</f>
        <v/>
      </c>
      <c r="L6">
        <f>IF($A6="","",IF(ISBLANK(F6),"",IF(TRIM(F6)="--","--",IF(ISNUMBER(F6),IF(F6&gt;=1,"Yes",IF(F6=0,"No","PARTIAL")),"CHECK"))))</f>
        <v/>
      </c>
      <c r="M6">
        <f>IF($A6="","",IF(ISBLANK(G6),"",IF(TRIM(G6)="--","--",IF(ISNUMBER(G6),IF(G6&gt;=1,"Yes",IF(G6=0,"No","PARTIAL")),"CHECK"))))</f>
        <v/>
      </c>
      <c r="N6">
        <f>IF(COUNTIF(H6:M6,"--")=6,"--",IF(COUNTIF(H6:M6,"Yes")+COUNTIF(H6:M6,"--")=6,"Yes","No"))</f>
        <v/>
      </c>
      <c r="O6" t="inlineStr">
        <is>
          <t>Yes</t>
        </is>
      </c>
      <c r="P6" t="inlineStr">
        <is>
          <t>Yes</t>
        </is>
      </c>
      <c r="Q6">
        <f>IF(AND(N6=O6,H6=P6),"PASS","FAIL")</f>
        <v/>
      </c>
      <c r="R6" t="inlineStr">
        <is>
          <t>By-others WP (Eng + Cond &amp; Wire) done</t>
        </is>
      </c>
    </row>
    <row r="7">
      <c r="A7" t="inlineStr">
        <is>
          <t>T6</t>
        </is>
      </c>
      <c r="B7" t="n">
        <v>1</v>
      </c>
      <c r="C7" t="inlineStr">
        <is>
          <t>--</t>
        </is>
      </c>
      <c r="D7" t="n">
        <v>0</v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>
        <f>IF($A7="","",IF(ISBLANK(B7),"",IF(TRIM(B7)="--","--",IF(ISNUMBER(B7),IF(B7&gt;=1,"Yes",IF(B7=0,"No","PARTIAL")),"CHECK"))))</f>
        <v/>
      </c>
      <c r="I7">
        <f>IF($A7="","",IF(ISBLANK(C7),"",IF(TRIM(C7)="--","--",IF(ISNUMBER(C7),IF(C7&gt;=1,"Yes",IF(C7=0,"No","PARTIAL")),"CHECK"))))</f>
        <v/>
      </c>
      <c r="J7">
        <f>IF($A7="","",IF(ISBLANK(D7),"",IF(TRIM(D7)="--","--",IF(ISNUMBER(D7),IF(D7&gt;=1,"Yes",IF(D7=0,"No","PARTIAL")),"CHECK"))))</f>
        <v/>
      </c>
      <c r="K7">
        <f>IF($A7="","",IF(ISBLANK(E7),"",IF(TRIM(E7)="--","--",IF(ISNUMBER(E7),IF(E7&gt;=1,"Yes",IF(E7=0,"No","PARTIAL")),"CHECK"))))</f>
        <v/>
      </c>
      <c r="L7">
        <f>IF($A7="","",IF(ISBLANK(F7),"",IF(TRIM(F7)="--","--",IF(ISNUMBER(F7),IF(F7&gt;=1,"Yes",IF(F7=0,"No","PARTIAL")),"CHECK"))))</f>
        <v/>
      </c>
      <c r="M7">
        <f>IF($A7="","",IF(ISBLANK(G7),"",IF(TRIM(G7)="--","--",IF(ISNUMBER(G7),IF(G7&gt;=1,"Yes",IF(G7=0,"No","PARTIAL")),"CHECK"))))</f>
        <v/>
      </c>
      <c r="N7">
        <f>IF(COUNTIF(H7:M7,"--")=6,"--",IF(COUNTIF(H7:M7,"Yes")+COUNTIF(H7:M7,"--")=6,"Yes","No"))</f>
        <v/>
      </c>
      <c r="O7" t="inlineStr">
        <is>
          <t>No</t>
        </is>
      </c>
      <c r="P7" t="inlineStr">
        <is>
          <t>Yes</t>
        </is>
      </c>
      <c r="Q7">
        <f>IF(AND(N7=O7,H7=P7),"PASS","FAIL")</f>
        <v/>
      </c>
      <c r="R7" t="inlineStr">
        <is>
          <t>By-others WP (Eng + Cond &amp; Wire): submittal in, wiring not started</t>
        </is>
      </c>
    </row>
    <row r="8">
      <c r="A8" t="inlineStr">
        <is>
          <t>T7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>
        <f>IF($A8="","",IF(ISBLANK(B8),"",IF(TRIM(B8)="--","--",IF(ISNUMBER(B8),IF(B8&gt;=1,"Yes",IF(B8=0,"No","PARTIAL")),"CHECK"))))</f>
        <v/>
      </c>
      <c r="I8">
        <f>IF($A8="","",IF(ISBLANK(C8),"",IF(TRIM(C8)="--","--",IF(ISNUMBER(C8),IF(C8&gt;=1,"Yes",IF(C8=0,"No","PARTIAL")),"CHECK"))))</f>
        <v/>
      </c>
      <c r="J8">
        <f>IF($A8="","",IF(ISBLANK(D8),"",IF(TRIM(D8)="--","--",IF(ISNUMBER(D8),IF(D8&gt;=1,"Yes",IF(D8=0,"No","PARTIAL")),"CHECK"))))</f>
        <v/>
      </c>
      <c r="K8">
        <f>IF($A8="","",IF(ISBLANK(E8),"",IF(TRIM(E8)="--","--",IF(ISNUMBER(E8),IF(E8&gt;=1,"Yes",IF(E8=0,"No","PARTIAL")),"CHECK"))))</f>
        <v/>
      </c>
      <c r="L8">
        <f>IF($A8="","",IF(ISBLANK(F8),"",IF(TRIM(F8)="--","--",IF(ISNUMBER(F8),IF(F8&gt;=1,"Yes",IF(F8=0,"No","PARTIAL")),"CHECK"))))</f>
        <v/>
      </c>
      <c r="M8">
        <f>IF($A8="","",IF(ISBLANK(G8),"",IF(TRIM(G8)="--","--",IF(ISNUMBER(G8),IF(G8&gt;=1,"Yes",IF(G8=0,"No","PARTIAL")),"CHECK"))))</f>
        <v/>
      </c>
      <c r="N8">
        <f>IF(COUNTIF(H8:M8,"--")=6,"--",IF(COUNTIF(H8:M8,"Yes")+COUNTIF(H8:M8,"--")=6,"Yes","No"))</f>
        <v/>
      </c>
      <c r="O8" t="inlineStr">
        <is>
          <t>No</t>
        </is>
      </c>
      <c r="Q8">
        <f>IF(AND(N8=O8,H8=P8),"PASS","FAIL")</f>
        <v/>
      </c>
      <c r="R8" t="inlineStr">
        <is>
          <t>blank Eng is not done</t>
        </is>
      </c>
    </row>
    <row r="9">
      <c r="A9" t="inlineStr">
        <is>
          <t>T8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>
        <f>IF($A9="","",IF(ISBLANK(B9),"",IF(TRIM(B9)="--","--",IF(ISNUMBER(B9),IF(B9&gt;=1,"Yes",IF(B9=0,"No","PARTIAL")),"CHECK"))))</f>
        <v/>
      </c>
      <c r="I9">
        <f>IF($A9="","",IF(ISBLANK(C9),"",IF(TRIM(C9)="--","--",IF(ISNUMBER(C9),IF(C9&gt;=1,"Yes",IF(C9=0,"No","PARTIAL")),"CHECK"))))</f>
        <v/>
      </c>
      <c r="J9">
        <f>IF($A9="","",IF(ISBLANK(D9),"",IF(TRIM(D9)="--","--",IF(ISNUMBER(D9),IF(D9&gt;=1,"Yes",IF(D9=0,"No","PARTIAL")),"CHECK"))))</f>
        <v/>
      </c>
      <c r="K9">
        <f>IF($A9="","",IF(ISBLANK(E9),"",IF(TRIM(E9)="--","--",IF(ISNUMBER(E9),IF(E9&gt;=1,"Yes",IF(E9=0,"No","PARTIAL")),"CHECK"))))</f>
        <v/>
      </c>
      <c r="L9">
        <f>IF($A9="","",IF(ISBLANK(F9),"",IF(TRIM(F9)="--","--",IF(ISNUMBER(F9),IF(F9&gt;=1,"Yes",IF(F9=0,"No","PARTIAL")),"CHECK"))))</f>
        <v/>
      </c>
      <c r="M9">
        <f>IF($A9="","",IF(ISBLANK(G9),"",IF(TRIM(G9)="--","--",IF(ISNUMBER(G9),IF(G9&gt;=1,"Yes",IF(G9=0,"No","PARTIAL")),"CHECK"))))</f>
        <v/>
      </c>
      <c r="N9">
        <f>IF(COUNTIF(H9:M9,"--")=6,"--",IF(COUNTIF(H9:M9,"Yes")+COUNTIF(H9:M9,"--")=6,"Yes","No"))</f>
        <v/>
      </c>
      <c r="O9" t="inlineStr">
        <is>
          <t>No</t>
        </is>
      </c>
      <c r="P9" t="inlineStr">
        <is>
          <t>No</t>
        </is>
      </c>
      <c r="Q9">
        <f>IF(AND(N9=O9,H9=P9),"PASS","FAIL")</f>
        <v/>
      </c>
      <c r="R9" t="inlineStr">
        <is>
          <t>nothing started</t>
        </is>
      </c>
    </row>
    <row r="10">
      <c r="A10" t="inlineStr">
        <is>
          <t>T9</t>
        </is>
      </c>
      <c r="B10" t="inlineStr">
        <is>
          <t>n/a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>
        <f>IF($A10="","",IF(ISBLANK(B10),"",IF(TRIM(B10)="--","--",IF(ISNUMBER(B10),IF(B10&gt;=1,"Yes",IF(B10=0,"No","PARTIAL")),"CHECK"))))</f>
        <v/>
      </c>
      <c r="I10">
        <f>IF($A10="","",IF(ISBLANK(C10),"",IF(TRIM(C10)="--","--",IF(ISNUMBER(C10),IF(C10&gt;=1,"Yes",IF(C10=0,"No","PARTIAL")),"CHECK"))))</f>
        <v/>
      </c>
      <c r="J10">
        <f>IF($A10="","",IF(ISBLANK(D10),"",IF(TRIM(D10)="--","--",IF(ISNUMBER(D10),IF(D10&gt;=1,"Yes",IF(D10=0,"No","PARTIAL")),"CHECK"))))</f>
        <v/>
      </c>
      <c r="K10">
        <f>IF($A10="","",IF(ISBLANK(E10),"",IF(TRIM(E10)="--","--",IF(ISNUMBER(E10),IF(E10&gt;=1,"Yes",IF(E10=0,"No","PARTIAL")),"CHECK"))))</f>
        <v/>
      </c>
      <c r="L10">
        <f>IF($A10="","",IF(ISBLANK(F10),"",IF(TRIM(F10)="--","--",IF(ISNUMBER(F10),IF(F10&gt;=1,"Yes",IF(F10=0,"No","PARTIAL")),"CHECK"))))</f>
        <v/>
      </c>
      <c r="M10">
        <f>IF($A10="","",IF(ISBLANK(G10),"",IF(TRIM(G10)="--","--",IF(ISNUMBER(G10),IF(G10&gt;=1,"Yes",IF(G10=0,"No","PARTIAL")),"CHECK"))))</f>
        <v/>
      </c>
      <c r="N10">
        <f>IF(COUNTIF(H10:M10,"--")=6,"--",IF(COUNTIF(H10:M10,"Yes")+COUNTIF(H10:M10,"--")=6,"Yes","No"))</f>
        <v/>
      </c>
      <c r="O10" t="inlineStr">
        <is>
          <t>No</t>
        </is>
      </c>
      <c r="P10" t="inlineStr">
        <is>
          <t>CHECK</t>
        </is>
      </c>
      <c r="Q10">
        <f>IF(AND(N10=O10,H10=P10),"PASS","FAIL")</f>
        <v/>
      </c>
      <c r="R10" t="inlineStr">
        <is>
          <t>stray text is flagged, not counted as done (old formula said Yes)</t>
        </is>
      </c>
    </row>
    <row r="11">
      <c r="A11" t="inlineStr">
        <is>
          <t>T10</t>
        </is>
      </c>
      <c r="B11" t="inlineStr">
        <is>
          <t xml:space="preserve"> -- 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>
        <f>IF($A11="","",IF(ISBLANK(B11),"",IF(TRIM(B11)="--","--",IF(ISNUMBER(B11),IF(B11&gt;=1,"Yes",IF(B11=0,"No","PARTIAL")),"CHECK"))))</f>
        <v/>
      </c>
      <c r="I11">
        <f>IF($A11="","",IF(ISBLANK(C11),"",IF(TRIM(C11)="--","--",IF(ISNUMBER(C11),IF(C11&gt;=1,"Yes",IF(C11=0,"No","PARTIAL")),"CHECK"))))</f>
        <v/>
      </c>
      <c r="J11">
        <f>IF($A11="","",IF(ISBLANK(D11),"",IF(TRIM(D11)="--","--",IF(ISNUMBER(D11),IF(D11&gt;=1,"Yes",IF(D11=0,"No","PARTIAL")),"CHECK"))))</f>
        <v/>
      </c>
      <c r="K11">
        <f>IF($A11="","",IF(ISBLANK(E11),"",IF(TRIM(E11)="--","--",IF(ISNUMBER(E11),IF(E11&gt;=1,"Yes",IF(E11=0,"No","PARTIAL")),"CHECK"))))</f>
        <v/>
      </c>
      <c r="L11">
        <f>IF($A11="","",IF(ISBLANK(F11),"",IF(TRIM(F11)="--","--",IF(ISNUMBER(F11),IF(F11&gt;=1,"Yes",IF(F11=0,"No","PARTIAL")),"CHECK"))))</f>
        <v/>
      </c>
      <c r="M11">
        <f>IF($A11="","",IF(ISBLANK(G11),"",IF(TRIM(G11)="--","--",IF(ISNUMBER(G11),IF(G11&gt;=1,"Yes",IF(G11=0,"No","PARTIAL")),"CHECK"))))</f>
        <v/>
      </c>
      <c r="N11">
        <f>IF(COUNTIF(H11:M11,"--")=6,"--",IF(COUNTIF(H11:M11,"Yes")+COUNTIF(H11:M11,"--")=6,"Yes","No"))</f>
        <v/>
      </c>
      <c r="O11" t="inlineStr">
        <is>
          <t>Yes</t>
        </is>
      </c>
      <c r="P11" t="inlineStr">
        <is>
          <t>--</t>
        </is>
      </c>
      <c r="Q11">
        <f>IF(AND(N11=O11,H11=P11),"PASS","FAIL")</f>
        <v/>
      </c>
      <c r="R11" t="inlineStr">
        <is>
          <t>dash with spaces still treated as not used</t>
        </is>
      </c>
    </row>
    <row r="13">
      <c r="A13" t="inlineStr">
        <is>
          <t>Result</t>
        </is>
      </c>
      <c r="Q13">
        <f>IF(COUNTIF(Q2:Q11,"PASS")=10,"ALL PASS","FAILURES")</f>
        <v/>
      </c>
    </row>
    <row r="15">
      <c r="A15" t="inlineStr">
        <is>
          <t>Rules under test: '--' = column not used / by others, excluded from completion. A WP is complete when every column it uses is done. Blank = not done. Any other text = CHECK. Gate shows No (was '--') when not complete, because '--' now means not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KIS Solutions</dc:creator>
  <dc:title xmlns:dc="http://purl.org/dc/elements/1.1/">Project Engineering Register (PER) v1.1 - blank template</dc:title>
  <dcterms:created xmlns:dcterms="http://purl.org/dc/terms/" xmlns:xsi="http://www.w3.org/2001/XMLSchema-instance" xsi:type="dcterms:W3CDTF">2026-10-21T23:07:31Z</dcterms:created>
  <dcterms:modified xmlns:dcterms="http://purl.org/dc/terms/" xmlns:xsi="http://www.w3.org/2001/XMLSchema-instance" xsi:type="dcterms:W3CDTF">2026-10-22T17:16:06Z</dcterms:modified>
  <cp:lastModifiedBy>KIS Solutions</cp:lastModifiedBy>
</cp:coreProperties>
</file>